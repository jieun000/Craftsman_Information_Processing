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drawings/drawing13.xml" ContentType="application/vnd.openxmlformats-officedocument.drawing+xml"/>
  <Override PartName="/xl/ctrlProps/ctrlProp10.xml" ContentType="application/vnd.ms-excel.controlproperties+xml"/>
  <Override PartName="/xl/drawings/drawing1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2회\spreadsheet\"/>
    </mc:Choice>
  </mc:AlternateContent>
  <xr:revisionPtr revIDLastSave="0" documentId="13_ncr:1_{483034C7-17A1-4C72-BE6A-7DA5C89B29BE}" xr6:coauthVersionLast="47" xr6:coauthVersionMax="47" xr10:uidLastSave="{00000000-0000-0000-0000-000000000000}"/>
  <bookViews>
    <workbookView xWindow="-98" yWindow="-98" windowWidth="21795" windowHeight="12975" tabRatio="888" firstSheet="2" activeTab="13" xr2:uid="{00000000-000D-0000-FFFF-FFFF00000000}"/>
  </bookViews>
  <sheets>
    <sheet name="홈" sheetId="45" r:id="rId1"/>
    <sheet name="차트1" sheetId="94" r:id="rId2"/>
    <sheet name="차트2" sheetId="96" r:id="rId3"/>
    <sheet name="차트3" sheetId="98" r:id="rId4"/>
    <sheet name="차트4" sheetId="99" r:id="rId5"/>
    <sheet name="차트5" sheetId="100" r:id="rId6"/>
    <sheet name="차트6" sheetId="101" r:id="rId7"/>
    <sheet name="매크로1" sheetId="95" r:id="rId8"/>
    <sheet name="매크로2" sheetId="97" r:id="rId9"/>
    <sheet name="매크로3" sheetId="102" r:id="rId10"/>
    <sheet name="매크로4" sheetId="103" r:id="rId11"/>
    <sheet name="매크로5" sheetId="104" r:id="rId12"/>
    <sheet name="매크로6" sheetId="105" r:id="rId13"/>
    <sheet name="매크로7" sheetId="106" r:id="rId14"/>
    <sheet name="매크로8" sheetId="86" r:id="rId15"/>
    <sheet name="매크로9" sheetId="85" r:id="rId16"/>
    <sheet name="매크로10" sheetId="84" r:id="rId17"/>
  </sheets>
  <externalReferences>
    <externalReference r:id="rId18"/>
  </externalReferences>
  <definedNames>
    <definedName name="결과">'[1]기본작업-1'!#REF!</definedName>
    <definedName name="과목">'[1]기본작업-1'!#REF!</definedName>
    <definedName name="ㄴㅇㅁㄴㅇㅁ">'[1]기본작업-1'!#REF!</definedName>
    <definedName name="번호">'[1]기본작업-1'!#REF!</definedName>
    <definedName name="시험날짜">'[1]기본작업-1'!#REF!</definedName>
    <definedName name="ㅇㄹㄹ">'[1]기본작업-1'!#REF!</definedName>
    <definedName name="이름">'[1]기본작업-1'!#REF!</definedName>
    <definedName name="점수">'[1]기본작업-1'!#REF!</definedName>
    <definedName name="학과">'[1]기본작업-1'!#REF!</definedName>
    <definedName name="학번">'[1]기본작업-1'!#REF!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84" l="1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J10" i="84"/>
  <c r="J9" i="84"/>
  <c r="J8" i="84"/>
  <c r="J7" i="84"/>
  <c r="J6" i="84"/>
  <c r="J4" i="84"/>
  <c r="E32" i="104" l="1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E4" i="104"/>
  <c r="E3" i="104"/>
  <c r="G33" i="102" l="1"/>
  <c r="G32" i="102"/>
  <c r="G31" i="102"/>
  <c r="G30" i="102"/>
  <c r="G29" i="102"/>
  <c r="G28" i="102"/>
  <c r="G27" i="102"/>
  <c r="G26" i="102"/>
  <c r="G25" i="102"/>
  <c r="G24" i="102"/>
  <c r="G23" i="102"/>
  <c r="G22" i="102"/>
  <c r="G21" i="102"/>
  <c r="G20" i="102"/>
  <c r="G19" i="102"/>
  <c r="G18" i="102"/>
  <c r="G17" i="102"/>
  <c r="G16" i="102"/>
  <c r="G15" i="102"/>
  <c r="G14" i="102"/>
  <c r="G13" i="102"/>
  <c r="G12" i="102"/>
  <c r="G11" i="102"/>
  <c r="G10" i="102"/>
  <c r="G9" i="102"/>
  <c r="G8" i="102"/>
  <c r="G7" i="102"/>
  <c r="G6" i="102"/>
  <c r="G5" i="102"/>
  <c r="G4" i="102"/>
  <c r="G3" i="102"/>
  <c r="F39" i="97" l="1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5" i="97"/>
  <c r="F14" i="97"/>
  <c r="F13" i="97"/>
  <c r="F12" i="97"/>
  <c r="F11" i="97"/>
  <c r="F10" i="97"/>
  <c r="F9" i="97"/>
  <c r="F8" i="97"/>
  <c r="F7" i="97"/>
  <c r="M33" i="95" l="1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</calcChain>
</file>

<file path=xl/sharedStrings.xml><?xml version="1.0" encoding="utf-8"?>
<sst xmlns="http://schemas.openxmlformats.org/spreadsheetml/2006/main" count="983" uniqueCount="412">
  <si>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</si>
  <si>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</si>
  <si>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</si>
  <si>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</si>
  <si>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</si>
  <si>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</si>
  <si>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</si>
  <si>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</si>
  <si>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</si>
  <si>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</si>
  <si>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</si>
  <si>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</si>
  <si>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</si>
  <si>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</si>
  <si>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서울</t>
  </si>
  <si>
    <t>부산</t>
  </si>
  <si>
    <t>광주</t>
  </si>
  <si>
    <t>대구</t>
  </si>
  <si>
    <t>강경순</t>
  </si>
  <si>
    <t>강정화</t>
  </si>
  <si>
    <t>김금선</t>
  </si>
  <si>
    <t>김병래</t>
  </si>
  <si>
    <t>김상덕</t>
  </si>
  <si>
    <t>김숙자</t>
  </si>
  <si>
    <t>박강훈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</si>
  <si>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</si>
  <si>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</si>
  <si>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</si>
  <si>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</si>
  <si>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</si>
  <si>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</si>
  <si>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</si>
  <si>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</si>
  <si>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</si>
  <si>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</si>
  <si>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</si>
  <si>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</si>
  <si>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</si>
  <si>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</si>
  <si>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</si>
  <si>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반</t>
  </si>
  <si>
    <t>성명</t>
  </si>
  <si>
    <t>엑셀</t>
    <phoneticPr fontId="2" type="noConversion"/>
  </si>
  <si>
    <t>액세스</t>
    <phoneticPr fontId="2" type="noConversion"/>
  </si>
  <si>
    <t>이름</t>
    <phoneticPr fontId="2" type="noConversion"/>
  </si>
  <si>
    <t>환율 미국(USD)</t>
    <phoneticPr fontId="2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</si>
  <si>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</si>
  <si>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</si>
  <si>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</si>
  <si>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</si>
  <si>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</si>
  <si>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</si>
  <si>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</si>
  <si>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</si>
  <si>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</si>
  <si>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</si>
  <si>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</si>
  <si>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</si>
  <si>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</si>
  <si>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</si>
  <si>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</si>
  <si>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</si>
  <si>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2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</si>
  <si>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</si>
  <si>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</si>
  <si>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</si>
  <si>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</si>
  <si>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</si>
  <si>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학년</t>
  </si>
  <si>
    <t>출석</t>
    <phoneticPr fontId="2" type="noConversion"/>
  </si>
  <si>
    <t>사랑반</t>
    <phoneticPr fontId="24" type="noConversion"/>
  </si>
  <si>
    <t>김영서</t>
    <phoneticPr fontId="24" type="noConversion"/>
  </si>
  <si>
    <t>사랑반</t>
    <phoneticPr fontId="24" type="noConversion"/>
  </si>
  <si>
    <t>이환</t>
    <phoneticPr fontId="24" type="noConversion"/>
  </si>
  <si>
    <t>사랑반</t>
    <phoneticPr fontId="24" type="noConversion"/>
  </si>
  <si>
    <t>김유준</t>
    <phoneticPr fontId="24" type="noConversion"/>
  </si>
  <si>
    <t>화평반</t>
    <phoneticPr fontId="24" type="noConversion"/>
  </si>
  <si>
    <t>김지환</t>
    <phoneticPr fontId="24" type="noConversion"/>
  </si>
  <si>
    <t>원가은</t>
    <phoneticPr fontId="24" type="noConversion"/>
  </si>
  <si>
    <t>김서찬</t>
    <phoneticPr fontId="24" type="noConversion"/>
  </si>
  <si>
    <t>노재현</t>
    <phoneticPr fontId="24" type="noConversion"/>
  </si>
  <si>
    <t>희락반</t>
    <phoneticPr fontId="24" type="noConversion"/>
  </si>
  <si>
    <t>최예진</t>
    <phoneticPr fontId="24" type="noConversion"/>
  </si>
  <si>
    <t>희락반</t>
    <phoneticPr fontId="24" type="noConversion"/>
  </si>
  <si>
    <t>전준호</t>
    <phoneticPr fontId="24" type="noConversion"/>
  </si>
  <si>
    <t>희락반</t>
    <phoneticPr fontId="24" type="noConversion"/>
  </si>
  <si>
    <t>김우인</t>
    <phoneticPr fontId="24" type="noConversion"/>
  </si>
  <si>
    <t>양선반</t>
    <phoneticPr fontId="24" type="noConversion"/>
  </si>
  <si>
    <t>신지섭</t>
  </si>
  <si>
    <t>정승우</t>
  </si>
  <si>
    <t>오래참음반</t>
    <phoneticPr fontId="24" type="noConversion"/>
  </si>
  <si>
    <t>강연지</t>
  </si>
  <si>
    <t>오래참음반</t>
    <phoneticPr fontId="24" type="noConversion"/>
  </si>
  <si>
    <t>박소연</t>
  </si>
  <si>
    <t>오래참음반</t>
    <phoneticPr fontId="24" type="noConversion"/>
  </si>
  <si>
    <t>윤지강</t>
  </si>
  <si>
    <t>손채영</t>
  </si>
  <si>
    <t>자비반</t>
    <phoneticPr fontId="24" type="noConversion"/>
  </si>
  <si>
    <t>박지민</t>
  </si>
  <si>
    <t>김하람</t>
  </si>
  <si>
    <t>김하영</t>
  </si>
  <si>
    <t>이지훈</t>
  </si>
  <si>
    <t>자비반</t>
    <phoneticPr fontId="24" type="noConversion"/>
  </si>
  <si>
    <t>이선녕</t>
  </si>
  <si>
    <t>충성반</t>
    <phoneticPr fontId="24" type="noConversion"/>
  </si>
  <si>
    <t>곽용빈</t>
  </si>
  <si>
    <t>이승아</t>
  </si>
  <si>
    <t>충성반</t>
    <phoneticPr fontId="24" type="noConversion"/>
  </si>
  <si>
    <t>한정우</t>
    <phoneticPr fontId="24" type="noConversion"/>
  </si>
  <si>
    <t>충성반</t>
    <phoneticPr fontId="24" type="noConversion"/>
  </si>
  <si>
    <t>이창재</t>
  </si>
  <si>
    <t>노석진</t>
  </si>
  <si>
    <t>권한지</t>
    <phoneticPr fontId="24" type="noConversion"/>
  </si>
  <si>
    <t>최경주</t>
  </si>
  <si>
    <t>주요도시 빗물의 산도 [단위 : pH]</t>
  </si>
  <si>
    <t>꽃</t>
    <phoneticPr fontId="2" type="noConversion"/>
  </si>
  <si>
    <t>개화일</t>
    <phoneticPr fontId="2" type="noConversion"/>
  </si>
  <si>
    <t>평년</t>
    <phoneticPr fontId="34" type="noConversion"/>
  </si>
  <si>
    <t>평년차</t>
    <phoneticPr fontId="2" type="noConversion"/>
  </si>
  <si>
    <t>벚꽃</t>
    <phoneticPr fontId="2" type="noConversion"/>
  </si>
  <si>
    <t>진달래</t>
    <phoneticPr fontId="2" type="noConversion"/>
  </si>
  <si>
    <t>개나리</t>
    <phoneticPr fontId="2" type="noConversion"/>
  </si>
  <si>
    <t>벚꽃</t>
    <phoneticPr fontId="2" type="noConversion"/>
  </si>
  <si>
    <t>동북아 1인당 GDP</t>
    <phoneticPr fontId="2" type="noConversion"/>
  </si>
  <si>
    <t>달러(USD)</t>
    <phoneticPr fontId="2" type="noConversion"/>
  </si>
  <si>
    <t>한국</t>
    <phoneticPr fontId="2" type="noConversion"/>
  </si>
  <si>
    <t>일본</t>
    <phoneticPr fontId="2" type="noConversion"/>
  </si>
  <si>
    <t>중국</t>
    <phoneticPr fontId="2" type="noConversion"/>
  </si>
  <si>
    <t>(제공 : 세계은행)</t>
    <phoneticPr fontId="2" type="noConversion"/>
  </si>
  <si>
    <t>K-POP 인지도</t>
    <phoneticPr fontId="2" type="noConversion"/>
  </si>
  <si>
    <t>한국</t>
    <phoneticPr fontId="2" type="noConversion"/>
  </si>
  <si>
    <t>인도네시아</t>
    <phoneticPr fontId="2" type="noConversion"/>
  </si>
  <si>
    <t>태국</t>
    <phoneticPr fontId="2" type="noConversion"/>
  </si>
  <si>
    <t>베트남</t>
    <phoneticPr fontId="2" type="noConversion"/>
  </si>
  <si>
    <t>미국</t>
    <phoneticPr fontId="2" type="noConversion"/>
  </si>
  <si>
    <t>필리핀</t>
    <phoneticPr fontId="2" type="noConversion"/>
  </si>
  <si>
    <t>브라질</t>
    <phoneticPr fontId="2" type="noConversion"/>
  </si>
  <si>
    <t>멕시코</t>
    <phoneticPr fontId="2" type="noConversion"/>
  </si>
  <si>
    <t>기타</t>
    <phoneticPr fontId="2" type="noConversion"/>
  </si>
  <si>
    <t>K-POP 인지도</t>
    <phoneticPr fontId="2" type="noConversion"/>
  </si>
  <si>
    <t>(자료제공 : 팬덤 연구소 블립)</t>
    <phoneticPr fontId="2" type="noConversion"/>
  </si>
  <si>
    <t>시도별 초미세먼지(㎍/㎥)</t>
    <phoneticPr fontId="2" type="noConversion"/>
  </si>
  <si>
    <t>시간평균</t>
  </si>
  <si>
    <t>일평균</t>
  </si>
  <si>
    <t>최고값</t>
  </si>
  <si>
    <t>최저값</t>
  </si>
  <si>
    <t>(제공 : 에어코리아)</t>
    <phoneticPr fontId="2" type="noConversion"/>
  </si>
  <si>
    <t>도시와 교외의 인구 비교</t>
    <phoneticPr fontId="2" type="noConversion"/>
  </si>
  <si>
    <t>대한민국</t>
    <phoneticPr fontId="2" type="noConversion"/>
  </si>
  <si>
    <t>이집트</t>
    <phoneticPr fontId="2" type="noConversion"/>
  </si>
  <si>
    <t>말레이시아</t>
    <phoneticPr fontId="2" type="noConversion"/>
  </si>
  <si>
    <t>미국</t>
    <phoneticPr fontId="2" type="noConversion"/>
  </si>
  <si>
    <t>페루</t>
    <phoneticPr fontId="2" type="noConversion"/>
  </si>
  <si>
    <t>도시인구</t>
    <phoneticPr fontId="2" type="noConversion"/>
  </si>
  <si>
    <t>농촌인구</t>
    <phoneticPr fontId="2" type="noConversion"/>
  </si>
  <si>
    <t>(자료 제공 : 데이터 컴먼스)</t>
    <phoneticPr fontId="2" type="noConversion"/>
  </si>
  <si>
    <t xml:space="preserve">오늘 날짜 : </t>
    <phoneticPr fontId="2" type="noConversion"/>
  </si>
  <si>
    <t>행사내용</t>
  </si>
  <si>
    <t>인원</t>
  </si>
  <si>
    <t>홀이름</t>
  </si>
  <si>
    <t>행사일</t>
  </si>
  <si>
    <t>남은일수</t>
    <phoneticPr fontId="2" type="noConversion"/>
  </si>
  <si>
    <t>비고</t>
  </si>
  <si>
    <t>공태성</t>
  </si>
  <si>
    <t>체육경기</t>
  </si>
  <si>
    <t>보조경기장</t>
  </si>
  <si>
    <t>96일 남음</t>
  </si>
  <si>
    <t>기승혁</t>
  </si>
  <si>
    <t>42일 남음</t>
  </si>
  <si>
    <t>김상현</t>
  </si>
  <si>
    <t>일반행사</t>
  </si>
  <si>
    <t>실내체육관</t>
  </si>
  <si>
    <t>97일 남음</t>
  </si>
  <si>
    <t>김성현</t>
  </si>
  <si>
    <t>59일 남음</t>
  </si>
  <si>
    <t>김솔지</t>
  </si>
  <si>
    <t>김윤희</t>
  </si>
  <si>
    <t>47일 남음</t>
  </si>
  <si>
    <t>김은희</t>
  </si>
  <si>
    <t>18일 남음</t>
  </si>
  <si>
    <t>김정숙</t>
  </si>
  <si>
    <t>79일 남음</t>
  </si>
  <si>
    <t>민원표</t>
  </si>
  <si>
    <t>주경기장</t>
  </si>
  <si>
    <t>52일 남음</t>
  </si>
  <si>
    <t>박상민</t>
  </si>
  <si>
    <t>30일 남음</t>
  </si>
  <si>
    <t>박정진</t>
  </si>
  <si>
    <t>129일 남음</t>
  </si>
  <si>
    <t>손진욱</t>
  </si>
  <si>
    <t>114일 남음</t>
  </si>
  <si>
    <t>안은희</t>
  </si>
  <si>
    <t>29일 남음</t>
  </si>
  <si>
    <t>안혜리</t>
  </si>
  <si>
    <t>92일 남음</t>
  </si>
  <si>
    <t>안혜정</t>
  </si>
  <si>
    <t>45일 남음</t>
  </si>
  <si>
    <t>윤석영</t>
  </si>
  <si>
    <t>87일 남음</t>
  </si>
  <si>
    <t>이미영</t>
  </si>
  <si>
    <t>137일 남음</t>
  </si>
  <si>
    <t>이범희</t>
  </si>
  <si>
    <t>37일 남음</t>
  </si>
  <si>
    <t>이솔비</t>
  </si>
  <si>
    <t>118일 남음</t>
  </si>
  <si>
    <t>이솔희</t>
  </si>
  <si>
    <t>62일 남음</t>
  </si>
  <si>
    <t>이수화</t>
  </si>
  <si>
    <t>실내연습실</t>
  </si>
  <si>
    <t>임동현</t>
  </si>
  <si>
    <t>67일 남음</t>
  </si>
  <si>
    <t>임지혜</t>
  </si>
  <si>
    <t>141일 남음</t>
  </si>
  <si>
    <t>조신정</t>
  </si>
  <si>
    <t>115일 남음</t>
  </si>
  <si>
    <t>조혜정</t>
  </si>
  <si>
    <t>5일 남음</t>
  </si>
  <si>
    <t>조호영</t>
  </si>
  <si>
    <t>21일 남음</t>
  </si>
  <si>
    <t>최수현</t>
  </si>
  <si>
    <t>55일 남음</t>
  </si>
  <si>
    <t>최승민</t>
  </si>
  <si>
    <t>6일 남음</t>
  </si>
  <si>
    <t>최은성</t>
  </si>
  <si>
    <t>8일 남음</t>
  </si>
  <si>
    <t>최인비</t>
  </si>
  <si>
    <t>83일 남음</t>
  </si>
  <si>
    <t>황준열</t>
  </si>
  <si>
    <t>관리코드</t>
  </si>
  <si>
    <t>도서명</t>
    <phoneticPr fontId="2" type="noConversion"/>
  </si>
  <si>
    <t>입고일자</t>
  </si>
  <si>
    <t>가격</t>
  </si>
  <si>
    <t>분류</t>
  </si>
  <si>
    <t>페이지</t>
  </si>
  <si>
    <t>대여료</t>
  </si>
  <si>
    <t>EBOOK-01</t>
  </si>
  <si>
    <t>스피박 넘기</t>
  </si>
  <si>
    <t>철학</t>
  </si>
  <si>
    <t>EBOOK-02</t>
  </si>
  <si>
    <t>기계비평</t>
  </si>
  <si>
    <t>인문</t>
  </si>
  <si>
    <t>EBOOK-03</t>
  </si>
  <si>
    <t>피의일요일</t>
  </si>
  <si>
    <t>소설</t>
  </si>
  <si>
    <t>EBOOK-04</t>
  </si>
  <si>
    <t>소크라테스의 변명</t>
  </si>
  <si>
    <t>EBOOK-05</t>
  </si>
  <si>
    <t>천국에서</t>
  </si>
  <si>
    <t>EBOOK-06</t>
  </si>
  <si>
    <t>백의그림자</t>
  </si>
  <si>
    <t>EBOOK-07</t>
  </si>
  <si>
    <t>에듀케이션</t>
  </si>
  <si>
    <t>시</t>
  </si>
  <si>
    <t>EBOOK-08</t>
  </si>
  <si>
    <t>마을로 간 한국전쟁</t>
  </si>
  <si>
    <t>역사</t>
  </si>
  <si>
    <t>EBOOK-09</t>
  </si>
  <si>
    <t xml:space="preserve">기호의 제국 </t>
  </si>
  <si>
    <t>EBOOK-10</t>
  </si>
  <si>
    <t>모모</t>
  </si>
  <si>
    <t>EBOOK-11</t>
  </si>
  <si>
    <t>인간실격</t>
  </si>
  <si>
    <t>EBOOK-12</t>
  </si>
  <si>
    <t>퀴르발 남작의 성</t>
  </si>
  <si>
    <t>EBOOK-13</t>
  </si>
  <si>
    <t>글자풍경</t>
  </si>
  <si>
    <t>EBOOK-14</t>
  </si>
  <si>
    <t>한국 테크노컬처 연대기</t>
  </si>
  <si>
    <t>EBOOK-15</t>
  </si>
  <si>
    <t xml:space="preserve"> 동원과 저항</t>
  </si>
  <si>
    <t>EBOOK-16</t>
  </si>
  <si>
    <t>근대의 국경 역사의 변경</t>
  </si>
  <si>
    <t>EBOOK-17</t>
  </si>
  <si>
    <t>소피의 세계</t>
  </si>
  <si>
    <t>EBOOK-18</t>
  </si>
  <si>
    <t>치즈와 구더기</t>
  </si>
  <si>
    <t>EBOOK-19</t>
  </si>
  <si>
    <t xml:space="preserve"> 오만과 편견</t>
  </si>
  <si>
    <t>EBOOK-20</t>
  </si>
  <si>
    <t>입 속의 검은 잎</t>
  </si>
  <si>
    <t>EBOOK-21</t>
  </si>
  <si>
    <t>내 이름은 빨강</t>
  </si>
  <si>
    <t>EBOOK-22</t>
  </si>
  <si>
    <t xml:space="preserve"> 만주 모던</t>
  </si>
  <si>
    <t>EBOOK-23</t>
  </si>
  <si>
    <t>러셀 서양철학사</t>
  </si>
  <si>
    <t>EBOOK-24</t>
  </si>
  <si>
    <t>데미안</t>
  </si>
  <si>
    <t>EBOOK-25</t>
  </si>
  <si>
    <t>만화의 이해</t>
  </si>
  <si>
    <t>EBOOK-26</t>
  </si>
  <si>
    <t>20세기 현대예술이론</t>
  </si>
  <si>
    <t>이름</t>
    <phoneticPr fontId="2" type="noConversion"/>
  </si>
  <si>
    <t>학과</t>
    <phoneticPr fontId="2" type="noConversion"/>
  </si>
  <si>
    <t>엑셀</t>
    <phoneticPr fontId="2" type="noConversion"/>
  </si>
  <si>
    <t>액세스</t>
    <phoneticPr fontId="2" type="noConversion"/>
  </si>
  <si>
    <t>평균</t>
    <phoneticPr fontId="2" type="noConversion"/>
  </si>
  <si>
    <t>마일리지</t>
  </si>
  <si>
    <t>김우영</t>
    <phoneticPr fontId="2" type="noConversion"/>
  </si>
  <si>
    <t>멀티미디어과</t>
    <phoneticPr fontId="2" type="noConversion"/>
  </si>
  <si>
    <t>곽봉규</t>
  </si>
  <si>
    <t>윤명애</t>
  </si>
  <si>
    <t>홍종관</t>
    <phoneticPr fontId="2" type="noConversion"/>
  </si>
  <si>
    <t>노동균</t>
  </si>
  <si>
    <t>이미희</t>
  </si>
  <si>
    <t>멀티미디어과</t>
    <phoneticPr fontId="2" type="noConversion"/>
  </si>
  <si>
    <t>곽영애</t>
  </si>
  <si>
    <t>박미영</t>
  </si>
  <si>
    <t>박갑열</t>
    <phoneticPr fontId="2" type="noConversion"/>
  </si>
  <si>
    <t>조태영</t>
  </si>
  <si>
    <t>코딩설계학과</t>
    <phoneticPr fontId="2" type="noConversion"/>
  </si>
  <si>
    <t>불참</t>
    <phoneticPr fontId="2" type="noConversion"/>
  </si>
  <si>
    <t>심용섭</t>
    <phoneticPr fontId="2" type="noConversion"/>
  </si>
  <si>
    <t>이일선</t>
  </si>
  <si>
    <t>한성권</t>
  </si>
  <si>
    <t>라순주</t>
  </si>
  <si>
    <t>전정미</t>
  </si>
  <si>
    <t>한순희</t>
    <phoneticPr fontId="2" type="noConversion"/>
  </si>
  <si>
    <t>신은희</t>
  </si>
  <si>
    <t>조병철</t>
  </si>
  <si>
    <t>드론콘텐츠과</t>
    <phoneticPr fontId="2" type="noConversion"/>
  </si>
  <si>
    <t>유재천</t>
  </si>
  <si>
    <t>곽선자</t>
  </si>
  <si>
    <t>영상미디어과</t>
    <phoneticPr fontId="2" type="noConversion"/>
  </si>
  <si>
    <t>홍재근</t>
  </si>
  <si>
    <t>함영미</t>
  </si>
  <si>
    <t>장성형</t>
  </si>
  <si>
    <t>[표1]</t>
    <phoneticPr fontId="2" type="noConversion"/>
  </si>
  <si>
    <t>교육구분</t>
    <phoneticPr fontId="2" type="noConversion"/>
  </si>
  <si>
    <t>과정명</t>
    <phoneticPr fontId="2" type="noConversion"/>
  </si>
  <si>
    <t>교육시작일</t>
    <phoneticPr fontId="2" type="noConversion"/>
  </si>
  <si>
    <t>모집정원</t>
    <phoneticPr fontId="2" type="noConversion"/>
  </si>
  <si>
    <t>수강료</t>
    <phoneticPr fontId="2" type="noConversion"/>
  </si>
  <si>
    <t>기초교육</t>
    <phoneticPr fontId="42" type="noConversion"/>
  </si>
  <si>
    <t>한글을 활용한 사무행정</t>
    <phoneticPr fontId="42" type="noConversion"/>
  </si>
  <si>
    <t>기본교육</t>
  </si>
  <si>
    <t>엑셀을 활용한 사무자동화</t>
    <phoneticPr fontId="42" type="noConversion"/>
  </si>
  <si>
    <t>파포 강의자료 개발</t>
  </si>
  <si>
    <t>전문교육</t>
    <phoneticPr fontId="42" type="noConversion"/>
  </si>
  <si>
    <t>영상 강의자료 제작</t>
  </si>
  <si>
    <t>번호</t>
    <phoneticPr fontId="2" type="noConversion"/>
  </si>
  <si>
    <t>학번</t>
    <phoneticPr fontId="2" type="noConversion"/>
  </si>
  <si>
    <t>학과</t>
    <phoneticPr fontId="2" type="noConversion"/>
  </si>
  <si>
    <t>응시일</t>
    <phoneticPr fontId="2" type="noConversion"/>
  </si>
  <si>
    <t>김우영</t>
    <phoneticPr fontId="2" type="noConversion"/>
  </si>
  <si>
    <t>컴퓨터과</t>
    <phoneticPr fontId="2" type="noConversion"/>
  </si>
  <si>
    <t>홍종관</t>
    <phoneticPr fontId="2" type="noConversion"/>
  </si>
  <si>
    <t>불참</t>
    <phoneticPr fontId="45" type="noConversion"/>
  </si>
  <si>
    <t>박갑열</t>
    <phoneticPr fontId="2" type="noConversion"/>
  </si>
  <si>
    <t>코딩과</t>
    <phoneticPr fontId="2" type="noConversion"/>
  </si>
  <si>
    <t>심용섭</t>
    <phoneticPr fontId="2" type="noConversion"/>
  </si>
  <si>
    <t>한순희</t>
    <phoneticPr fontId="2" type="noConversion"/>
  </si>
  <si>
    <t>코딩과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</si>
  <si>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</si>
  <si>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</si>
  <si>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</si>
  <si>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</si>
  <si>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불참</t>
    <phoneticPr fontId="45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</si>
  <si>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</si>
  <si>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</si>
  <si>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</si>
  <si>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</si>
  <si>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불참</t>
    <phoneticPr fontId="45" type="noConversion"/>
  </si>
  <si>
    <t>미납기간</t>
  </si>
  <si>
    <t>결제</t>
    <phoneticPr fontId="2" type="noConversion"/>
  </si>
  <si>
    <t>관계</t>
  </si>
  <si>
    <t>부양공제</t>
  </si>
  <si>
    <t>소득공제</t>
  </si>
  <si>
    <t>소득공제내용</t>
  </si>
  <si>
    <t>법인명</t>
  </si>
  <si>
    <t>사업자번호</t>
  </si>
  <si>
    <t>금액</t>
  </si>
  <si>
    <t>김가인</t>
  </si>
  <si>
    <t>모</t>
  </si>
  <si>
    <t>예</t>
  </si>
  <si>
    <t>일반의료비</t>
  </si>
  <si>
    <t>간소화자료</t>
  </si>
  <si>
    <t>사랑의원</t>
  </si>
  <si>
    <t>123-○●-6793</t>
  </si>
  <si>
    <t>신용카드</t>
  </si>
  <si>
    <t>대중교통</t>
  </si>
  <si>
    <t>상공카드</t>
  </si>
  <si>
    <t>123-○●-6791</t>
  </si>
  <si>
    <t>현금영수증</t>
  </si>
  <si>
    <t>일반사용분</t>
  </si>
  <si>
    <t/>
  </si>
  <si>
    <t>전통시장</t>
  </si>
  <si>
    <t>중앙병원</t>
  </si>
  <si>
    <t>123-○●-6794</t>
  </si>
  <si>
    <t>임윤아</t>
  </si>
  <si>
    <t>처</t>
  </si>
  <si>
    <t>아니오</t>
  </si>
  <si>
    <t>지정기부금</t>
  </si>
  <si>
    <t>법인</t>
  </si>
  <si>
    <t>사단법인</t>
  </si>
  <si>
    <t>주인철</t>
  </si>
  <si>
    <t>부</t>
  </si>
  <si>
    <t>주인해</t>
  </si>
  <si>
    <t>자</t>
  </si>
  <si>
    <t>직불카드</t>
  </si>
  <si>
    <t>알파고카드</t>
  </si>
  <si>
    <t>123-○●-6792</t>
  </si>
  <si>
    <t>주호백</t>
  </si>
  <si>
    <t>본인</t>
  </si>
  <si>
    <t>미래카드</t>
  </si>
  <si>
    <t>123-○●-6790</t>
  </si>
  <si>
    <t>비율</t>
    <phoneticPr fontId="2" type="noConversion"/>
  </si>
  <si>
    <t>[표1]</t>
    <phoneticPr fontId="2" type="noConversion"/>
  </si>
  <si>
    <t>광주</t>
    <phoneticPr fontId="2" type="noConversion"/>
  </si>
  <si>
    <t>대구</t>
    <phoneticPr fontId="2" type="noConversion"/>
  </si>
  <si>
    <t>부산</t>
    <phoneticPr fontId="2" type="noConversion"/>
  </si>
  <si>
    <t>인천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</si>
</sst>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₩&quot;#,##0;\-&quot;₩&quot;#,##0"/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.0"/>
    <numFmt numFmtId="181" formatCode="mm&quot;월&quot;\ dd&quot;일&quot;;@"/>
    <numFmt numFmtId="182" formatCode="_-* #,##0.00_-;\-* #,##0.00_-;_-* &quot;-&quot;_-;_-@_-"/>
    <numFmt numFmtId="183" formatCode="[$-F800]dddd\,\ mmmm\ dd\,\ yyyy"/>
    <numFmt numFmtId="184" formatCode="000"/>
    <numFmt numFmtId="185" formatCode="[=1]\O;[=0]\X"/>
    <numFmt numFmtId="186" formatCode="[Red][&gt;=0]#,##0;[Blue][&lt;0]*♣#,##0"/>
    <numFmt numFmtId="187" formatCode="[Red][&gt;=300]&quot;■&quot;0;[Blue][&gt;=150]&quot;□&quot;0;&quot;&quot;"/>
    <numFmt numFmtId="188" formatCode="[Blue][&gt;=70]&quot;▲점&quot;;[&gt;0]0&quot;점&quot;;&quot;0점&quot;"/>
    <numFmt numFmtId="189" formatCode="[=-1]&quot;이체&quot;;[=1]&quot;납부&quot;;"/>
    <numFmt numFmtId="190" formatCode="[Red][&gt;=0.03]&quot;★&quot;0.00%;[Blue][&gt;=0.01]&quot;★&quot;0.00%;&quot;★&quot;0.00;"/>
    <numFmt numFmtId="191" formatCode="[Red][&gt;=900]\♤0;[&gt;0]000;&quot;※&quot;;[Blue]@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8"/>
      <name val="돋움"/>
      <family val="3"/>
      <charset val="129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4A4A4A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0"/>
      <color rgb="FF000000"/>
      <name val="Arial"/>
      <family val="2"/>
    </font>
    <font>
      <sz val="8"/>
      <name val="나눔고딕"/>
      <family val="2"/>
      <charset val="129"/>
    </font>
    <font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2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10" borderId="8" applyNumberFormat="0" applyAlignment="0" applyProtection="0">
      <alignment vertical="center"/>
    </xf>
    <xf numFmtId="0" fontId="39" fillId="0" borderId="0"/>
    <xf numFmtId="0" fontId="39" fillId="0" borderId="0"/>
    <xf numFmtId="0" fontId="41" fillId="0" borderId="0"/>
    <xf numFmtId="0" fontId="44" fillId="0" borderId="0"/>
  </cellStyleXfs>
  <cellXfs count="10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6" applyFont="1" applyAlignment="1">
      <alignment vertical="center"/>
    </xf>
    <xf numFmtId="0" fontId="4" fillId="0" borderId="0" xfId="0" applyFont="1">
      <alignment vertical="center"/>
    </xf>
    <xf numFmtId="0" fontId="13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wrapText="1"/>
    </xf>
    <xf numFmtId="177" fontId="14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0" fontId="17" fillId="0" borderId="1" xfId="0" applyNumberFormat="1" applyFont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0" fontId="21" fillId="0" borderId="0" xfId="14" applyFont="1" applyAlignment="1">
      <alignment horizontal="center"/>
    </xf>
    <xf numFmtId="0" fontId="21" fillId="0" borderId="0" xfId="14" applyFont="1" applyAlignment="1"/>
    <xf numFmtId="0" fontId="21" fillId="0" borderId="0" xfId="14" applyFont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9" fontId="23" fillId="0" borderId="1" xfId="0" applyNumberFormat="1" applyFont="1" applyBorder="1" applyAlignment="1">
      <alignment horizontal="center" vertical="center" shrinkToFit="1"/>
    </xf>
    <xf numFmtId="0" fontId="4" fillId="0" borderId="1" xfId="10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12" applyFont="1" applyFill="1" applyBorder="1" applyAlignment="1">
      <alignment horizontal="center" vertical="center" wrapText="1"/>
    </xf>
    <xf numFmtId="0" fontId="1" fillId="0" borderId="1" xfId="12" applyFill="1" applyBorder="1" applyAlignment="1">
      <alignment horizontal="center" vertical="center" wrapText="1"/>
    </xf>
    <xf numFmtId="0" fontId="4" fillId="0" borderId="1" xfId="12" applyFont="1" applyFill="1" applyBorder="1" applyAlignment="1">
      <alignment horizontal="center" vertical="center"/>
    </xf>
    <xf numFmtId="0" fontId="4" fillId="0" borderId="1" xfId="11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shrinkToFit="1"/>
    </xf>
    <xf numFmtId="0" fontId="1" fillId="0" borderId="1" xfId="11" applyFill="1" applyBorder="1" applyAlignment="1">
      <alignment horizontal="center" vertical="center" wrapText="1"/>
    </xf>
    <xf numFmtId="0" fontId="1" fillId="0" borderId="1" xfId="13" applyFill="1" applyBorder="1" applyAlignment="1">
      <alignment horizontal="center" vertical="center" wrapText="1"/>
    </xf>
    <xf numFmtId="0" fontId="4" fillId="0" borderId="1" xfId="13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1" xfId="9" applyFont="1" applyFill="1" applyBorder="1" applyAlignment="1">
      <alignment horizontal="center" vertical="center"/>
    </xf>
    <xf numFmtId="180" fontId="28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29" fillId="9" borderId="1" xfId="8" applyNumberFormat="1" applyFont="1" applyFill="1" applyBorder="1" applyAlignment="1">
      <alignment horizontal="center" vertical="center"/>
    </xf>
    <xf numFmtId="0" fontId="30" fillId="9" borderId="1" xfId="8" applyFont="1" applyFill="1" applyBorder="1" applyAlignment="1">
      <alignment horizontal="center" vertical="center" wrapText="1"/>
    </xf>
    <xf numFmtId="0" fontId="31" fillId="0" borderId="6" xfId="6" applyFont="1" applyBorder="1" applyAlignment="1">
      <alignment vertical="center"/>
    </xf>
    <xf numFmtId="0" fontId="7" fillId="0" borderId="6" xfId="6" applyBorder="1" applyAlignment="1">
      <alignment vertical="center"/>
    </xf>
    <xf numFmtId="0" fontId="32" fillId="0" borderId="1" xfId="4" applyFont="1" applyBorder="1" applyAlignment="1">
      <alignment horizontal="center" vertical="center"/>
    </xf>
    <xf numFmtId="0" fontId="33" fillId="0" borderId="1" xfId="4" applyFont="1" applyBorder="1" applyAlignment="1">
      <alignment horizontal="center" vertical="center" wrapText="1"/>
    </xf>
    <xf numFmtId="0" fontId="35" fillId="0" borderId="0" xfId="4" applyFont="1"/>
    <xf numFmtId="0" fontId="35" fillId="0" borderId="1" xfId="4" applyFont="1" applyBorder="1" applyAlignment="1">
      <alignment horizontal="center" vertical="center"/>
    </xf>
    <xf numFmtId="0" fontId="36" fillId="0" borderId="1" xfId="4" applyFont="1" applyBorder="1" applyAlignment="1">
      <alignment horizontal="center" wrapText="1"/>
    </xf>
    <xf numFmtId="181" fontId="36" fillId="0" borderId="1" xfId="4" applyNumberFormat="1" applyFont="1" applyBorder="1" applyAlignment="1">
      <alignment horizontal="center" wrapText="1"/>
    </xf>
    <xf numFmtId="0" fontId="35" fillId="0" borderId="0" xfId="4" applyFont="1" applyAlignment="1">
      <alignment horizontal="center" vertical="center"/>
    </xf>
    <xf numFmtId="0" fontId="35" fillId="0" borderId="0" xfId="4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182" fontId="0" fillId="0" borderId="1" xfId="1" applyNumberFormat="1" applyFont="1" applyBorder="1">
      <alignment vertical="center"/>
    </xf>
    <xf numFmtId="10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40" fillId="0" borderId="1" xfId="16" applyFont="1" applyBorder="1" applyAlignment="1">
      <alignment horizontal="center"/>
    </xf>
    <xf numFmtId="0" fontId="40" fillId="0" borderId="9" xfId="16" applyFont="1" applyBorder="1" applyAlignment="1">
      <alignment horizontal="center"/>
    </xf>
    <xf numFmtId="0" fontId="40" fillId="0" borderId="10" xfId="17" applyFont="1" applyBorder="1" applyAlignment="1">
      <alignment horizontal="center"/>
    </xf>
    <xf numFmtId="0" fontId="40" fillId="0" borderId="1" xfId="16" applyFont="1" applyBorder="1" applyAlignment="1">
      <alignment horizontal="center" wrapText="1"/>
    </xf>
    <xf numFmtId="14" fontId="40" fillId="0" borderId="1" xfId="17" applyNumberFormat="1" applyFont="1" applyBorder="1" applyAlignment="1">
      <alignment horizontal="center" wrapText="1"/>
    </xf>
    <xf numFmtId="5" fontId="40" fillId="0" borderId="1" xfId="16" applyNumberFormat="1" applyFont="1" applyBorder="1" applyAlignment="1">
      <alignment horizontal="right" wrapText="1"/>
    </xf>
    <xf numFmtId="0" fontId="1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readingOrder="1"/>
    </xf>
    <xf numFmtId="183" fontId="21" fillId="3" borderId="1" xfId="18" applyNumberFormat="1" applyFont="1" applyFill="1" applyBorder="1" applyAlignment="1">
      <alignment horizontal="center" vertical="center"/>
    </xf>
    <xf numFmtId="0" fontId="21" fillId="3" borderId="1" xfId="18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184" fontId="43" fillId="0" borderId="8" xfId="15" applyNumberFormat="1" applyFont="1" applyFill="1" applyAlignment="1">
      <alignment horizontal="center" vertical="center"/>
    </xf>
    <xf numFmtId="0" fontId="44" fillId="0" borderId="0" xfId="19" applyAlignment="1">
      <alignment vertical="center"/>
    </xf>
    <xf numFmtId="184" fontId="44" fillId="0" borderId="1" xfId="19" applyNumberFormat="1" applyBorder="1" applyAlignment="1">
      <alignment horizontal="center" vertical="center"/>
    </xf>
    <xf numFmtId="0" fontId="5" fillId="11" borderId="1" xfId="19" applyFont="1" applyFill="1" applyBorder="1" applyAlignment="1">
      <alignment horizontal="center" vertical="center" wrapText="1"/>
    </xf>
    <xf numFmtId="0" fontId="44" fillId="0" borderId="1" xfId="19" applyBorder="1" applyAlignment="1">
      <alignment horizontal="center" vertical="center"/>
    </xf>
    <xf numFmtId="14" fontId="44" fillId="0" borderId="1" xfId="19" applyNumberFormat="1" applyBorder="1" applyAlignment="1">
      <alignment horizontal="center" vertical="center"/>
    </xf>
    <xf numFmtId="0" fontId="46" fillId="12" borderId="1" xfId="0" applyFont="1" applyFill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186" fontId="0" fillId="0" borderId="1" xfId="0" applyNumberFormat="1" applyBorder="1" applyAlignment="1">
      <alignment horizontal="center" vertical="center"/>
    </xf>
    <xf numFmtId="187" fontId="40" fillId="0" borderId="1" xfId="16" applyNumberFormat="1" applyFont="1" applyBorder="1" applyAlignment="1">
      <alignment horizontal="right" wrapText="1"/>
    </xf>
    <xf numFmtId="188" fontId="0" fillId="0" borderId="1" xfId="0" applyNumberFormat="1" applyBorder="1" applyAlignment="1">
      <alignment horizontal="center" vertical="center" readingOrder="1"/>
    </xf>
    <xf numFmtId="0" fontId="0" fillId="0" borderId="4" xfId="0" applyBorder="1" applyAlignment="1">
      <alignment horizontal="center" vertical="center"/>
    </xf>
    <xf numFmtId="189" fontId="0" fillId="0" borderId="1" xfId="0" applyNumberFormat="1" applyBorder="1" applyAlignment="1">
      <alignment horizontal="center" vertical="center"/>
    </xf>
    <xf numFmtId="190" fontId="0" fillId="0" borderId="1" xfId="1" applyNumberFormat="1" applyFont="1" applyBorder="1">
      <alignment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 applyAlignment="1">
      <alignment horizontal="right" vertical="center"/>
    </xf>
    <xf numFmtId="191" fontId="44" fillId="0" borderId="1" xfId="19" applyNumberFormat="1" applyBorder="1" applyAlignment="1">
      <alignment horizontal="center" vertical="center"/>
    </xf>
  </cellXfs>
  <cellStyles count="20">
    <cellStyle name="20% - 강조색1" xfId="10" builtinId="30"/>
    <cellStyle name="20% - 강조색2" xfId="11" builtinId="34"/>
    <cellStyle name="20% - 강조색3" xfId="12" builtinId="38"/>
    <cellStyle name="20% - 강조색4" xfId="13" builtinId="42"/>
    <cellStyle name="백분율 2" xfId="5" xr:uid="{00000000-0005-0000-0000-000004000000}"/>
    <cellStyle name="쉼표 [0]" xfId="1" builtinId="6"/>
    <cellStyle name="쉼표 [0] 2" xfId="3" xr:uid="{00000000-0005-0000-0000-000006000000}"/>
    <cellStyle name="쉼표 [0] 3" xfId="7" xr:uid="{00000000-0005-0000-0000-000007000000}"/>
    <cellStyle name="제목 2" xfId="8" builtinId="17"/>
    <cellStyle name="제목 5" xfId="6" xr:uid="{00000000-0005-0000-0000-000009000000}"/>
    <cellStyle name="좋음" xfId="9" builtinId="26"/>
    <cellStyle name="출력" xfId="15" builtinId="21"/>
    <cellStyle name="표준" xfId="0" builtinId="0"/>
    <cellStyle name="표준 2" xfId="2" xr:uid="{00000000-0005-0000-0000-00000D000000}"/>
    <cellStyle name="표준 2 2" xfId="4" xr:uid="{00000000-0005-0000-0000-00000E000000}"/>
    <cellStyle name="표준 2 3" xfId="14" xr:uid="{00000000-0005-0000-0000-00000F000000}"/>
    <cellStyle name="표준 2 4" xfId="18" xr:uid="{00000000-0005-0000-0000-000010000000}"/>
    <cellStyle name="표준 3" xfId="19" xr:uid="{00000000-0005-0000-0000-000011000000}"/>
    <cellStyle name="표준_기본작업-2" xfId="16" xr:uid="{00000000-0005-0000-0000-000012000000}"/>
    <cellStyle name="표준_기본작업-2_1" xfId="17" xr:uid="{00000000-0005-0000-0000-000013000000}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>
              <a:solidFill>
                <a:schemeClr val="accent5">
                  <a:alpha val="99000"/>
                </a:schemeClr>
              </a:solidFill>
            </a:ln>
          </c:spPr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01-4DCF-A5F7-BB2A9178D9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8-428B-8275-7D60743AE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1-4DCF-A5F7-BB2A9178D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2751"/>
        <c:axId val="15038431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차트1!$B$2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15038431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5042751"/>
        <c:crosses val="max"/>
        <c:crossBetween val="between"/>
      </c:valAx>
      <c:dateAx>
        <c:axId val="15042751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5038431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(차트2!$D$4,차트2!$F$4,차트2!$H$4,차트2!$J$4)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6-490A-A319-612DDD4AFA33}"/>
            </c:ext>
          </c:extLst>
        </c:ser>
        <c:ser>
          <c:idx val="5"/>
          <c:order val="1"/>
          <c:tx>
            <c:v>대전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(차트2!$D$9,차트2!$F$9,차트2!$H$9,차트2!$J$9)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6-490A-A319-612DDD4AFA33}"/>
            </c:ext>
          </c:extLst>
        </c:ser>
        <c:ser>
          <c:idx val="2"/>
          <c:order val="2"/>
          <c:tx>
            <c:v>대구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(차트2!$D$6,차트2!$F$6,차트2!$H$6,차트2!$J$6)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6-490A-A319-612DDD4AFA33}"/>
            </c:ext>
          </c:extLst>
        </c:ser>
        <c:ser>
          <c:idx val="1"/>
          <c:order val="3"/>
          <c:tx>
            <c:v>부산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(차트2!$D$5,차트2!$F$5,차트2!$H$5,차트2!$J$5)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6-490A-A319-612DDD4AF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차트3!$B$4</c:f>
              <c:strCache>
                <c:ptCount val="1"/>
                <c:pt idx="0">
                  <c:v>한국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차트3!$C$4:$H$4</c15:sqref>
                  </c15:fullRef>
                </c:ext>
              </c:extLst>
              <c:f>차트3!$E$4:$H$4</c:f>
              <c:numCache>
                <c:formatCode>_-* #,##0.00_-;\-* #,##0.00_-;_-* "-"_-;_-@_-</c:formatCode>
                <c:ptCount val="4"/>
                <c:pt idx="0">
                  <c:v>25359.35</c:v>
                </c:pt>
                <c:pt idx="1">
                  <c:v>38532.04</c:v>
                </c:pt>
                <c:pt idx="2">
                  <c:v>44507.68</c:v>
                </c:pt>
                <c:pt idx="3">
                  <c:v>40246.879999999997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F-4C99-ACB6-2024E5279337}"/>
            </c:ext>
          </c:extLst>
        </c:ser>
        <c:ser>
          <c:idx val="1"/>
          <c:order val="1"/>
          <c:tx>
            <c:strRef>
              <c:f>차트3!$B$5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차트3!$C$5:$H$5</c15:sqref>
                  </c15:fullRef>
                </c:ext>
              </c:extLst>
              <c:f>차트3!$E$5:$H$5</c:f>
              <c:numCache>
                <c:formatCode>_-* #,##0.00_-;\-* #,##0.00_-;_-* "-"_-;_-@_-</c:formatCode>
                <c:ptCount val="4"/>
                <c:pt idx="0">
                  <c:v>6610.04</c:v>
                </c:pt>
                <c:pt idx="1">
                  <c:v>12256.99</c:v>
                </c:pt>
                <c:pt idx="2">
                  <c:v>23087.23</c:v>
                </c:pt>
                <c:pt idx="3">
                  <c:v>31846.22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736320"/>
        <c:axId val="698730912"/>
      </c:barChart>
      <c:lineChart>
        <c:grouping val="standard"/>
        <c:varyColors val="0"/>
        <c:ser>
          <c:idx val="2"/>
          <c:order val="2"/>
          <c:tx>
            <c:strRef>
              <c:f>차트3!$B$6</c:f>
              <c:strCache>
                <c:ptCount val="1"/>
                <c:pt idx="0">
                  <c:v>중국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차트3!$C$6:$H$6</c15:sqref>
                  </c15:fullRef>
                </c:ext>
              </c:extLst>
              <c:f>차트3!$E$6:$H$6</c:f>
              <c:numCache>
                <c:formatCode>_-* #,##0.00_-;\-* #,##0.00_-;_-* "-"_-;_-@_-</c:formatCode>
                <c:ptCount val="4"/>
                <c:pt idx="0">
                  <c:v>317.88</c:v>
                </c:pt>
                <c:pt idx="1">
                  <c:v>959.37</c:v>
                </c:pt>
                <c:pt idx="2">
                  <c:v>4550.45</c:v>
                </c:pt>
                <c:pt idx="3">
                  <c:v>10261.68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353311"/>
        <c:axId val="431336511"/>
      </c:lineChart>
      <c:catAx>
        <c:axId val="698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0912"/>
        <c:crosses val="autoZero"/>
        <c:auto val="1"/>
        <c:lblAlgn val="ctr"/>
        <c:lblOffset val="100"/>
        <c:noMultiLvlLbl val="0"/>
      </c:catAx>
      <c:valAx>
        <c:axId val="6987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차트3!$H$2</c:f>
              <c:strCache>
                <c:ptCount val="1"/>
                <c:pt idx="0">
                  <c:v>달러(USD)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-* #,##0.00_-;\-* #,##0.0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6320"/>
        <c:crosses val="autoZero"/>
        <c:crossBetween val="between"/>
        <c:majorUnit val="10000"/>
        <c:minorUnit val="2500"/>
      </c:valAx>
      <c:valAx>
        <c:axId val="431336511"/>
        <c:scaling>
          <c:orientation val="minMax"/>
        </c:scaling>
        <c:delete val="0"/>
        <c:axPos val="r"/>
        <c:numFmt formatCode="_-* #,##0.00_-;\-* #,##0.00_-;_-* &quot;-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1353311"/>
        <c:crosses val="max"/>
        <c:crossBetween val="between"/>
      </c:valAx>
      <c:catAx>
        <c:axId val="431353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1336511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accent4">
            <a:lumMod val="110000"/>
            <a:satMod val="105000"/>
            <a:tint val="67000"/>
          </a:schemeClr>
        </a:gs>
        <a:gs pos="50000">
          <a:schemeClr val="accent4">
            <a:lumMod val="105000"/>
            <a:satMod val="103000"/>
            <a:tint val="73000"/>
          </a:schemeClr>
        </a:gs>
        <a:gs pos="100000">
          <a:schemeClr val="accent4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4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차트4!$B$4</c:f>
              <c:strCache>
                <c:ptCount val="1"/>
                <c:pt idx="0">
                  <c:v>K-POP 인지도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A6C-4835-9136-9578662B7FFF}"/>
              </c:ext>
            </c:extLst>
          </c:dPt>
          <c:dPt>
            <c:idx val="1"/>
            <c:bubble3D val="0"/>
            <c:explosion val="11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A6C-4835-9136-9578662B7F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A6C-4835-9136-9578662B7F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A6C-4835-9136-9578662B7F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A6C-4835-9136-9578662B7F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A6C-4835-9136-9578662B7FF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A6C-4835-9136-9578662B7FF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6A6C-4835-9136-9578662B7F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차트4!$C$3:$M$3</c15:sqref>
                  </c15:fullRef>
                </c:ext>
              </c:extLst>
              <c:f>(차트4!$C$3:$I$3,차트4!$M$3)</c:f>
              <c:strCache>
                <c:ptCount val="8"/>
                <c:pt idx="0">
                  <c:v>한국</c:v>
                </c:pt>
                <c:pt idx="1">
                  <c:v>인도네시아</c:v>
                </c:pt>
                <c:pt idx="2">
                  <c:v>태국</c:v>
                </c:pt>
                <c:pt idx="3">
                  <c:v>베트남</c:v>
                </c:pt>
                <c:pt idx="4">
                  <c:v>미국</c:v>
                </c:pt>
                <c:pt idx="5">
                  <c:v>일본</c:v>
                </c:pt>
                <c:pt idx="6">
                  <c:v>필리핀</c:v>
                </c:pt>
                <c:pt idx="7">
                  <c:v>기타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차트4!$C$4:$M$4</c15:sqref>
                  </c15:fullRef>
                </c:ext>
              </c:extLst>
              <c:f>(차트4!$C$4:$I$4,차트4!$M$4)</c:f>
              <c:numCache>
                <c:formatCode>0.00%</c:formatCode>
                <c:ptCount val="8"/>
                <c:pt idx="0">
                  <c:v>0.10100000000000001</c:v>
                </c:pt>
                <c:pt idx="1">
                  <c:v>9.9000000000000005E-2</c:v>
                </c:pt>
                <c:pt idx="2">
                  <c:v>8.1000000000000003E-2</c:v>
                </c:pt>
                <c:pt idx="3">
                  <c:v>7.3999999999999996E-2</c:v>
                </c:pt>
                <c:pt idx="4">
                  <c:v>7.3999999999999996E-2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0.31900000000000001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차트4!$J$4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차트4!$K$4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차트4!$L$4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6-6A6C-4835-9136-9578662B7F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sx="3000" sy="3000" algn="ctr" rotWithShape="0">
        <a:srgbClr val="000000">
          <a:alpha val="42000"/>
        </a:srgb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차트5!$B$2</c:f>
          <c:strCache>
            <c:ptCount val="1"/>
            <c:pt idx="0">
              <c:v>시도별 초미세먼지(㎍/㎥)</c:v>
            </c:pt>
          </c:strCache>
        </c:strRef>
      </c:tx>
      <c:overlay val="0"/>
      <c:spPr>
        <a:solidFill>
          <a:schemeClr val="accent6"/>
        </a:solidFill>
        <a:ln w="12700" cap="flat" cmpd="sng" algn="ctr">
          <a:solidFill>
            <a:schemeClr val="accent6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차트5!$B$4</c:f>
              <c:strCache>
                <c:ptCount val="1"/>
                <c:pt idx="0">
                  <c:v>시간평균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부산</c:v>
                </c:pt>
                <c:pt idx="1">
                  <c:v>대구</c:v>
                </c:pt>
                <c:pt idx="2">
                  <c:v>인천</c:v>
                </c:pt>
                <c:pt idx="3">
                  <c:v>광주</c:v>
                </c:pt>
                <c:pt idx="4">
                  <c:v>대전</c:v>
                </c:pt>
              </c:strCache>
            </c:strRef>
          </c:cat>
          <c:val>
            <c:numRef>
              <c:f>차트5!$C$4:$G$4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9</c:v>
                </c:pt>
                <c:pt idx="3">
                  <c:v>18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E7F-A68F-5E2416AF0B57}"/>
            </c:ext>
          </c:extLst>
        </c:ser>
        <c:ser>
          <c:idx val="1"/>
          <c:order val="1"/>
          <c:tx>
            <c:strRef>
              <c:f>차트5!$B$5</c:f>
              <c:strCache>
                <c:ptCount val="1"/>
                <c:pt idx="0">
                  <c:v>일평균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차트5!$C$3:$G$3</c:f>
              <c:strCache>
                <c:ptCount val="5"/>
                <c:pt idx="0">
                  <c:v>부산</c:v>
                </c:pt>
                <c:pt idx="1">
                  <c:v>대구</c:v>
                </c:pt>
                <c:pt idx="2">
                  <c:v>인천</c:v>
                </c:pt>
                <c:pt idx="3">
                  <c:v>광주</c:v>
                </c:pt>
                <c:pt idx="4">
                  <c:v>대전</c:v>
                </c:pt>
              </c:strCache>
            </c:strRef>
          </c:cat>
          <c:val>
            <c:numRef>
              <c:f>차트5!$C$5:$G$5</c:f>
              <c:numCache>
                <c:formatCode>General</c:formatCode>
                <c:ptCount val="5"/>
                <c:pt idx="0">
                  <c:v>20</c:v>
                </c:pt>
                <c:pt idx="1">
                  <c:v>11</c:v>
                </c:pt>
                <c:pt idx="2">
                  <c:v>14</c:v>
                </c:pt>
                <c:pt idx="3">
                  <c:v>22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8-4E7F-A68F-5E2416AF0B57}"/>
            </c:ext>
          </c:extLst>
        </c:ser>
        <c:ser>
          <c:idx val="2"/>
          <c:order val="2"/>
          <c:tx>
            <c:strRef>
              <c:f>차트5!$B$6</c:f>
              <c:strCache>
                <c:ptCount val="1"/>
                <c:pt idx="0">
                  <c:v>최고값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차트5!$C$3:$G$3</c:f>
              <c:strCache>
                <c:ptCount val="5"/>
                <c:pt idx="0">
                  <c:v>부산</c:v>
                </c:pt>
                <c:pt idx="1">
                  <c:v>대구</c:v>
                </c:pt>
                <c:pt idx="2">
                  <c:v>인천</c:v>
                </c:pt>
                <c:pt idx="3">
                  <c:v>광주</c:v>
                </c:pt>
                <c:pt idx="4">
                  <c:v>대전</c:v>
                </c:pt>
              </c:strCache>
            </c:strRef>
          </c:cat>
          <c:val>
            <c:numRef>
              <c:f>차트5!$C$6:$G$6</c:f>
              <c:numCache>
                <c:formatCode>General</c:formatCode>
                <c:ptCount val="5"/>
                <c:pt idx="0">
                  <c:v>34</c:v>
                </c:pt>
                <c:pt idx="1">
                  <c:v>30</c:v>
                </c:pt>
                <c:pt idx="2">
                  <c:v>29</c:v>
                </c:pt>
                <c:pt idx="3">
                  <c:v>48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8-4E7F-A68F-5E2416AF0B57}"/>
            </c:ext>
          </c:extLst>
        </c:ser>
        <c:ser>
          <c:idx val="3"/>
          <c:order val="3"/>
          <c:tx>
            <c:strRef>
              <c:f>차트5!$B$7</c:f>
              <c:strCache>
                <c:ptCount val="1"/>
                <c:pt idx="0">
                  <c:v>최저값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부산</c:v>
                </c:pt>
                <c:pt idx="1">
                  <c:v>대구</c:v>
                </c:pt>
                <c:pt idx="2">
                  <c:v>인천</c:v>
                </c:pt>
                <c:pt idx="3">
                  <c:v>광주</c:v>
                </c:pt>
                <c:pt idx="4">
                  <c:v>대전</c:v>
                </c:pt>
              </c:strCache>
            </c:strRef>
          </c:cat>
          <c:val>
            <c:numRef>
              <c:f>차트5!$C$7:$G$7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8-4E7F-A68F-5E2416AF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14711232"/>
        <c:axId val="2114708320"/>
      </c:barChart>
      <c:catAx>
        <c:axId val="211471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지역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08320"/>
        <c:crosses val="autoZero"/>
        <c:auto val="1"/>
        <c:lblAlgn val="ctr"/>
        <c:lblOffset val="100"/>
        <c:noMultiLvlLbl val="0"/>
      </c:catAx>
      <c:valAx>
        <c:axId val="21147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1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도시 인구와 교외 인구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차트6!$A$4</c:f>
              <c:strCache>
                <c:ptCount val="1"/>
                <c:pt idx="0">
                  <c:v>도시인구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9B0-44B9-8DCA-AA6CF1EC9B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차트6!$B$4:$G$4</c:f>
              <c:numCache>
                <c:formatCode>_(* #,##0_);_(* \(#,##0\);_(* "-"_);_(@_)</c:formatCode>
                <c:ptCount val="6"/>
                <c:pt idx="0">
                  <c:v>42106719</c:v>
                </c:pt>
                <c:pt idx="1">
                  <c:v>42895824</c:v>
                </c:pt>
                <c:pt idx="2">
                  <c:v>24475766</c:v>
                </c:pt>
                <c:pt idx="3">
                  <c:v>270663028</c:v>
                </c:pt>
                <c:pt idx="4">
                  <c:v>183241641</c:v>
                </c:pt>
                <c:pt idx="5">
                  <c:v>25390339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B-4B99-BF54-D2D7A9C3541C}"/>
            </c:ext>
          </c:extLst>
        </c:ser>
        <c:ser>
          <c:idx val="1"/>
          <c:order val="1"/>
          <c:tx>
            <c:strRef>
              <c:f>차트6!$A$5</c:f>
              <c:strCache>
                <c:ptCount val="1"/>
                <c:pt idx="0">
                  <c:v>농촌인구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차트6!$B$5:$G$5</c:f>
              <c:numCache>
                <c:formatCode>_(* #,##0_);_(* \(#,##0\);_(* "-"_);_(@_)</c:formatCode>
                <c:ptCount val="6"/>
                <c:pt idx="0">
                  <c:v>9602379</c:v>
                </c:pt>
                <c:pt idx="1">
                  <c:v>57492249</c:v>
                </c:pt>
                <c:pt idx="2">
                  <c:v>7474011</c:v>
                </c:pt>
                <c:pt idx="3">
                  <c:v>57576495</c:v>
                </c:pt>
                <c:pt idx="4">
                  <c:v>27807886</c:v>
                </c:pt>
                <c:pt idx="5">
                  <c:v>7120114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1-652B-4B99-BF54-D2D7A9C3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2122902128"/>
        <c:axId val="1548756832"/>
        <c:axId val="0"/>
      </c:bar3DChart>
      <c:catAx>
        <c:axId val="212290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8756832"/>
        <c:crosses val="autoZero"/>
        <c:auto val="1"/>
        <c:lblAlgn val="ctr"/>
        <c:lblOffset val="100"/>
        <c:noMultiLvlLbl val="0"/>
      </c:catAx>
      <c:valAx>
        <c:axId val="15487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29021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컴활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1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급실기 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20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일만에 끝내기</a:t>
          </a:r>
        </a:p>
      </xdr:txBody>
    </xdr:sp>
    <xdr:clientData/>
  </xdr:twoCellAnchor>
  <xdr:oneCellAnchor>
    <xdr:from>
      <xdr:col>7</xdr:col>
      <xdr:colOff>644955</xdr:colOff>
      <xdr:row>5</xdr:row>
      <xdr:rowOff>17241</xdr:rowOff>
    </xdr:from>
    <xdr:ext cx="6936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45555" y="1088804"/>
          <a:ext cx="6936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6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차트</a:t>
          </a:r>
          <a:endParaRPr lang="en-US" altLang="ko-KR" sz="1100" b="1"/>
        </a:p>
        <a:p>
          <a:pPr algn="l"/>
          <a:r>
            <a:rPr lang="ko-KR" altLang="en-US" sz="1100" b="1"/>
            <a:t>매크로</a:t>
          </a:r>
        </a:p>
      </xdr:txBody>
    </xdr:sp>
    <xdr:clientData/>
  </xdr:oneCellAnchor>
  <xdr:twoCellAnchor>
    <xdr:from>
      <xdr:col>7</xdr:col>
      <xdr:colOff>542933</xdr:colOff>
      <xdr:row>7</xdr:row>
      <xdr:rowOff>9521</xdr:rowOff>
    </xdr:from>
    <xdr:to>
      <xdr:col>7</xdr:col>
      <xdr:colOff>638183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343533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542933</xdr:colOff>
      <xdr:row>8</xdr:row>
      <xdr:rowOff>33334</xdr:rowOff>
    </xdr:from>
    <xdr:to>
      <xdr:col>7</xdr:col>
      <xdr:colOff>638183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343533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4762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별표보기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그라데이션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점수표시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화살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724400" y="857250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화살표</a:t>
          </a:r>
          <a:endParaRPr lang="en-US" altLang="ko-K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서식적용4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962650" y="214313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D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서식해제3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서식해제4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신호등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1&#44553;&#49892;&#44592;_&#50641;&#49472;_2021&#45380;_&#49345;&#49884;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3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G12" sqref="G12"/>
    </sheetView>
  </sheetViews>
  <sheetFormatPr defaultRowHeight="16.899999999999999"/>
  <sheetData/>
  <sheetProtection algorithmName="SHA-512" hashValue="pU0/dr0rmBfPh9hNWWsPAS39NQhsVUqYNnM7aYSQ90ElhkEtHGdPUjwTKqhKe8zH30vH1tdo962iWhT1TCrlbg==" saltValue="Jfiqqri0dj2Ek9z4IztEvA==" spinCount="100000" sheet="1" objects="1" scenarios="1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1"/>
  <sheetViews>
    <sheetView topLeftCell="F1" zoomScaleNormal="100" workbookViewId="0">
      <selection activeCell="J3" sqref="J3"/>
    </sheetView>
  </sheetViews>
  <sheetFormatPr defaultColWidth="9" defaultRowHeight="16.899999999999999"/>
  <cols>
    <col min="1" max="1" width="9" style="13"/>
    <col min="2" max="9" width="9" style="1"/>
    <col min="10" max="16384" width="9" style="13"/>
  </cols>
  <sheetData>
    <row r="2" spans="2:9" ht="27">
      <c r="B2" s="12" t="s">
        <v>45</v>
      </c>
      <c r="C2" s="12"/>
      <c r="D2" s="12"/>
      <c r="E2" s="12"/>
      <c r="F2" s="12"/>
      <c r="G2" s="12"/>
      <c r="H2" s="12"/>
      <c r="I2" s="12"/>
    </row>
    <row r="4" spans="2:9" ht="16.5" customHeight="1">
      <c r="B4" s="99" t="s">
        <v>46</v>
      </c>
      <c r="C4" s="14" t="s">
        <v>47</v>
      </c>
      <c r="D4" s="99" t="s">
        <v>48</v>
      </c>
      <c r="E4" s="99" t="s">
        <v>49</v>
      </c>
      <c r="F4" s="99" t="s">
        <v>50</v>
      </c>
      <c r="G4" s="99"/>
      <c r="H4" s="99" t="s">
        <v>51</v>
      </c>
      <c r="I4" s="99"/>
    </row>
    <row r="5" spans="2:9">
      <c r="B5" s="99"/>
      <c r="C5" s="14" t="s">
        <v>52</v>
      </c>
      <c r="D5" s="99"/>
      <c r="E5" s="99"/>
      <c r="F5" s="14" t="s">
        <v>53</v>
      </c>
      <c r="G5" s="14" t="s">
        <v>54</v>
      </c>
      <c r="H5" s="14" t="s">
        <v>55</v>
      </c>
      <c r="I5" s="14" t="s">
        <v>56</v>
      </c>
    </row>
    <row r="6" spans="2:9">
      <c r="B6" s="15">
        <v>43908</v>
      </c>
      <c r="C6" s="16">
        <v>1162.5</v>
      </c>
      <c r="D6" s="17" t="s">
        <v>57</v>
      </c>
      <c r="E6" s="18">
        <v>-6.4000000000000003E-3</v>
      </c>
      <c r="F6" s="19">
        <v>1182.8399999999999</v>
      </c>
      <c r="G6" s="19">
        <v>1142.1600000000001</v>
      </c>
      <c r="H6" s="19">
        <v>1173.8</v>
      </c>
      <c r="I6" s="19">
        <v>1151.2</v>
      </c>
    </row>
    <row r="7" spans="2:9">
      <c r="B7" s="15">
        <v>43907</v>
      </c>
      <c r="C7" s="16">
        <v>1170</v>
      </c>
      <c r="D7" s="17" t="s">
        <v>58</v>
      </c>
      <c r="E7" s="18">
        <v>-1.9599999999999999E-2</v>
      </c>
      <c r="F7" s="19">
        <v>1190.47</v>
      </c>
      <c r="G7" s="19">
        <v>1149.53</v>
      </c>
      <c r="H7" s="19">
        <v>1181.4000000000001</v>
      </c>
      <c r="I7" s="19">
        <v>1158.5999999999999</v>
      </c>
    </row>
    <row r="8" spans="2:9">
      <c r="B8" s="15">
        <v>43906</v>
      </c>
      <c r="C8" s="16">
        <v>1193.4000000000001</v>
      </c>
      <c r="D8" s="20" t="s">
        <v>59</v>
      </c>
      <c r="E8" s="21">
        <v>2.8999999999999998E-3</v>
      </c>
      <c r="F8" s="19">
        <v>1214.28</v>
      </c>
      <c r="G8" s="19">
        <v>1172.52</v>
      </c>
      <c r="H8" s="19">
        <v>1205</v>
      </c>
      <c r="I8" s="19">
        <v>1181.8</v>
      </c>
    </row>
    <row r="9" spans="2:9">
      <c r="B9" s="15">
        <v>43905</v>
      </c>
      <c r="C9" s="16">
        <v>1190</v>
      </c>
      <c r="D9" s="20" t="s">
        <v>60</v>
      </c>
      <c r="E9" s="21">
        <v>2.0999999999999999E-3</v>
      </c>
      <c r="F9" s="19">
        <v>1210.82</v>
      </c>
      <c r="G9" s="19">
        <v>1169.18</v>
      </c>
      <c r="H9" s="19">
        <v>1201.5999999999999</v>
      </c>
      <c r="I9" s="19">
        <v>1178.4000000000001</v>
      </c>
    </row>
    <row r="10" spans="2:9">
      <c r="B10" s="15">
        <v>43904</v>
      </c>
      <c r="C10" s="16">
        <v>1187.5</v>
      </c>
      <c r="D10" s="17" t="s">
        <v>61</v>
      </c>
      <c r="E10" s="18">
        <v>-5.4000000000000003E-3</v>
      </c>
      <c r="F10" s="19">
        <v>1208.28</v>
      </c>
      <c r="G10" s="19">
        <v>1166.72</v>
      </c>
      <c r="H10" s="19">
        <v>1199.0999999999999</v>
      </c>
      <c r="I10" s="19">
        <v>1175.9000000000001</v>
      </c>
    </row>
    <row r="13" spans="2:9" ht="27">
      <c r="B13" s="12" t="s">
        <v>62</v>
      </c>
      <c r="C13" s="12"/>
      <c r="D13" s="12"/>
      <c r="E13" s="12"/>
      <c r="F13" s="12"/>
      <c r="G13" s="12"/>
      <c r="H13" s="12"/>
      <c r="I13" s="12"/>
    </row>
    <row r="15" spans="2:9">
      <c r="B15" s="99" t="s">
        <v>46</v>
      </c>
      <c r="C15" s="14" t="s">
        <v>47</v>
      </c>
      <c r="D15" s="99" t="s">
        <v>48</v>
      </c>
      <c r="E15" s="99" t="s">
        <v>49</v>
      </c>
      <c r="F15" s="99" t="s">
        <v>50</v>
      </c>
      <c r="G15" s="99"/>
      <c r="H15" s="99" t="s">
        <v>51</v>
      </c>
      <c r="I15" s="99"/>
    </row>
    <row r="16" spans="2:9">
      <c r="B16" s="99"/>
      <c r="C16" s="14" t="s">
        <v>52</v>
      </c>
      <c r="D16" s="99"/>
      <c r="E16" s="99"/>
      <c r="F16" s="14" t="s">
        <v>53</v>
      </c>
      <c r="G16" s="14" t="s">
        <v>54</v>
      </c>
      <c r="H16" s="14" t="s">
        <v>55</v>
      </c>
      <c r="I16" s="14" t="s">
        <v>56</v>
      </c>
    </row>
    <row r="17" spans="2:9">
      <c r="B17" s="15">
        <v>43908</v>
      </c>
      <c r="C17" s="16">
        <v>179</v>
      </c>
      <c r="D17" s="17" t="s">
        <v>63</v>
      </c>
      <c r="E17" s="18">
        <v>8.0999999999999996E-3</v>
      </c>
      <c r="F17" s="19">
        <v>191.53</v>
      </c>
      <c r="G17" s="19">
        <v>170.05</v>
      </c>
      <c r="H17" s="19">
        <v>180.79</v>
      </c>
      <c r="I17" s="19">
        <v>177.21</v>
      </c>
    </row>
    <row r="18" spans="2:9">
      <c r="B18" s="15">
        <v>43907</v>
      </c>
      <c r="C18" s="16">
        <v>177.57</v>
      </c>
      <c r="D18" s="17" t="s">
        <v>64</v>
      </c>
      <c r="E18" s="18">
        <v>-2.3999999999999998E-3</v>
      </c>
      <c r="F18" s="19">
        <v>189.99</v>
      </c>
      <c r="G18" s="19">
        <v>168.7</v>
      </c>
      <c r="H18" s="19">
        <v>179.34</v>
      </c>
      <c r="I18" s="19">
        <v>175.8</v>
      </c>
    </row>
    <row r="19" spans="2:9">
      <c r="B19" s="15">
        <v>43906</v>
      </c>
      <c r="C19" s="16">
        <v>178</v>
      </c>
      <c r="D19" s="20" t="s">
        <v>65</v>
      </c>
      <c r="E19" s="21">
        <v>0.01</v>
      </c>
      <c r="F19" s="19">
        <v>190.46</v>
      </c>
      <c r="G19" s="19">
        <v>169.1</v>
      </c>
      <c r="H19" s="19">
        <v>179.78</v>
      </c>
      <c r="I19" s="19">
        <v>176.22</v>
      </c>
    </row>
    <row r="20" spans="2:9">
      <c r="B20" s="15">
        <v>43905</v>
      </c>
      <c r="C20" s="16">
        <v>176.24</v>
      </c>
      <c r="D20" s="20" t="s">
        <v>66</v>
      </c>
      <c r="E20" s="21">
        <v>-4.1999999999999997E-3</v>
      </c>
      <c r="F20" s="19">
        <v>188.57</v>
      </c>
      <c r="G20" s="19">
        <v>167.43</v>
      </c>
      <c r="H20" s="19">
        <v>178</v>
      </c>
      <c r="I20" s="19">
        <v>174.48</v>
      </c>
    </row>
    <row r="21" spans="2:9">
      <c r="B21" s="15">
        <v>43904</v>
      </c>
      <c r="C21" s="16">
        <v>176.99</v>
      </c>
      <c r="D21" s="17" t="s">
        <v>67</v>
      </c>
      <c r="E21" s="18">
        <v>-1.06E-2</v>
      </c>
      <c r="F21" s="19">
        <v>189.37</v>
      </c>
      <c r="G21" s="19">
        <v>168.15</v>
      </c>
      <c r="H21" s="19">
        <v>178.75</v>
      </c>
      <c r="I21" s="19">
        <v>175.23</v>
      </c>
    </row>
  </sheetData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J9"/>
  <sheetViews>
    <sheetView zoomScaleNormal="100" workbookViewId="0">
      <selection activeCell="L10" sqref="L10"/>
    </sheetView>
  </sheetViews>
  <sheetFormatPr defaultRowHeight="16.899999999999999"/>
  <sheetData>
    <row r="1" spans="2:10" ht="18.75" customHeight="1"/>
    <row r="2" spans="2:10" ht="38.450000000000003" customHeight="1">
      <c r="B2" s="49" t="s">
        <v>114</v>
      </c>
      <c r="C2" s="48"/>
      <c r="D2" s="48"/>
      <c r="E2" s="48"/>
      <c r="F2" s="48"/>
      <c r="G2" s="48"/>
      <c r="H2" s="48"/>
      <c r="I2" s="48"/>
      <c r="J2" s="48"/>
    </row>
    <row r="3" spans="2:10" ht="19.149999999999999">
      <c r="B3" s="47"/>
      <c r="C3" s="46">
        <v>2012</v>
      </c>
      <c r="D3" s="46">
        <v>2013</v>
      </c>
      <c r="E3" s="46">
        <v>2014</v>
      </c>
      <c r="F3" s="46">
        <v>2015</v>
      </c>
      <c r="G3" s="46">
        <v>2016</v>
      </c>
      <c r="H3" s="46">
        <v>2017</v>
      </c>
      <c r="I3" s="46">
        <v>2018</v>
      </c>
      <c r="J3" s="46">
        <v>2019</v>
      </c>
    </row>
    <row r="4" spans="2:10" ht="19.149999999999999">
      <c r="B4" s="45" t="s">
        <v>14</v>
      </c>
      <c r="C4" s="44">
        <v>4.7</v>
      </c>
      <c r="D4" s="44">
        <v>4.8</v>
      </c>
      <c r="E4" s="44">
        <v>4.8</v>
      </c>
      <c r="F4" s="44">
        <v>4.7</v>
      </c>
      <c r="G4" s="44">
        <v>4.5999999999999996</v>
      </c>
      <c r="H4" s="44">
        <v>4.5999999999999996</v>
      </c>
      <c r="I4" s="44">
        <v>4.7</v>
      </c>
      <c r="J4" s="44">
        <v>4.0999999999999996</v>
      </c>
    </row>
    <row r="5" spans="2:10" ht="19.149999999999999">
      <c r="B5" s="45" t="s">
        <v>15</v>
      </c>
      <c r="C5" s="44">
        <v>5.7</v>
      </c>
      <c r="D5" s="44">
        <v>5.5</v>
      </c>
      <c r="E5" s="44">
        <v>5.0999999999999996</v>
      </c>
      <c r="F5" s="44">
        <v>4.7</v>
      </c>
      <c r="G5" s="44">
        <v>4.4000000000000004</v>
      </c>
      <c r="H5" s="44">
        <v>4.9000000000000004</v>
      </c>
      <c r="I5" s="44">
        <v>5</v>
      </c>
      <c r="J5" s="44">
        <v>4.9000000000000004</v>
      </c>
    </row>
    <row r="6" spans="2:10" ht="19.149999999999999">
      <c r="B6" s="45" t="s">
        <v>17</v>
      </c>
      <c r="C6" s="44">
        <v>5.5</v>
      </c>
      <c r="D6" s="44">
        <v>5.7</v>
      </c>
      <c r="E6" s="44">
        <v>4.9000000000000004</v>
      </c>
      <c r="F6" s="44">
        <v>5</v>
      </c>
      <c r="G6" s="44">
        <v>4.5999999999999996</v>
      </c>
      <c r="H6" s="44">
        <v>4.7</v>
      </c>
      <c r="I6" s="44">
        <v>5</v>
      </c>
      <c r="J6" s="44">
        <v>5</v>
      </c>
    </row>
    <row r="7" spans="2:10" ht="19.149999999999999">
      <c r="B7" s="45" t="s">
        <v>38</v>
      </c>
      <c r="C7" s="44">
        <v>5.4</v>
      </c>
      <c r="D7" s="44">
        <v>4.8</v>
      </c>
      <c r="E7" s="44">
        <v>4.8</v>
      </c>
      <c r="F7" s="44">
        <v>4.7</v>
      </c>
      <c r="G7" s="44">
        <v>4.5999999999999996</v>
      </c>
      <c r="H7" s="44">
        <v>4.7</v>
      </c>
      <c r="I7" s="44">
        <v>4.5</v>
      </c>
      <c r="J7" s="44">
        <v>4.4000000000000004</v>
      </c>
    </row>
    <row r="8" spans="2:10" ht="19.149999999999999">
      <c r="B8" s="45" t="s">
        <v>16</v>
      </c>
      <c r="C8" s="44">
        <v>5.2</v>
      </c>
      <c r="D8" s="44">
        <v>4.9000000000000004</v>
      </c>
      <c r="E8" s="44">
        <v>4.7</v>
      </c>
      <c r="F8" s="44">
        <v>4.9000000000000004</v>
      </c>
      <c r="G8" s="44">
        <v>5</v>
      </c>
      <c r="H8" s="44">
        <v>5.2</v>
      </c>
      <c r="I8" s="44">
        <v>5.2</v>
      </c>
      <c r="J8" s="44">
        <v>5.2</v>
      </c>
    </row>
    <row r="9" spans="2:10" ht="19.149999999999999">
      <c r="B9" s="45" t="s">
        <v>34</v>
      </c>
      <c r="C9" s="44">
        <v>4.7</v>
      </c>
      <c r="D9" s="44">
        <v>4.7</v>
      </c>
      <c r="E9" s="44">
        <v>4.5</v>
      </c>
      <c r="F9" s="44">
        <v>4.5999999999999996</v>
      </c>
      <c r="G9" s="44">
        <v>4.3</v>
      </c>
      <c r="H9" s="44">
        <v>4.9000000000000004</v>
      </c>
      <c r="I9" s="44">
        <v>4.7</v>
      </c>
      <c r="J9" s="44">
        <v>4.8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7"/>
  <sheetViews>
    <sheetView zoomScaleNormal="100" workbookViewId="0">
      <selection activeCell="I1" sqref="I1"/>
    </sheetView>
  </sheetViews>
  <sheetFormatPr defaultRowHeight="16.899999999999999"/>
  <cols>
    <col min="1" max="1" width="1.625" customWidth="1"/>
    <col min="3" max="4" width="9.75" bestFit="1" customWidth="1"/>
    <col min="5" max="8" width="10.875" bestFit="1" customWidth="1"/>
  </cols>
  <sheetData>
    <row r="2" spans="2:8">
      <c r="B2" t="s">
        <v>123</v>
      </c>
      <c r="H2" t="s">
        <v>124</v>
      </c>
    </row>
    <row r="3" spans="2:8">
      <c r="B3" s="8"/>
      <c r="C3" s="58">
        <v>1970</v>
      </c>
      <c r="D3" s="58">
        <v>1980</v>
      </c>
      <c r="E3" s="58">
        <v>1990</v>
      </c>
      <c r="F3" s="58">
        <v>2000</v>
      </c>
      <c r="G3" s="58">
        <v>2010</v>
      </c>
      <c r="H3" s="58">
        <v>2020</v>
      </c>
    </row>
    <row r="4" spans="2:8">
      <c r="B4" s="11" t="s">
        <v>125</v>
      </c>
      <c r="C4" s="59">
        <v>2037.56</v>
      </c>
      <c r="D4" s="59">
        <v>9465.3799999999992</v>
      </c>
      <c r="E4" s="59">
        <v>25359.35</v>
      </c>
      <c r="F4" s="59">
        <v>38532.04</v>
      </c>
      <c r="G4" s="59">
        <v>44507.68</v>
      </c>
      <c r="H4" s="59">
        <v>40246.879999999997</v>
      </c>
    </row>
    <row r="5" spans="2:8">
      <c r="B5" s="11" t="s">
        <v>126</v>
      </c>
      <c r="C5" s="59">
        <v>279.3</v>
      </c>
      <c r="D5" s="59">
        <v>1715.43</v>
      </c>
      <c r="E5" s="59">
        <v>6610.04</v>
      </c>
      <c r="F5" s="59">
        <v>12256.99</v>
      </c>
      <c r="G5" s="59">
        <v>23087.23</v>
      </c>
      <c r="H5" s="59">
        <v>31846.22</v>
      </c>
    </row>
    <row r="6" spans="2:8">
      <c r="B6" s="11" t="s">
        <v>127</v>
      </c>
      <c r="C6" s="59">
        <v>113.16</v>
      </c>
      <c r="D6" s="59">
        <v>194.8</v>
      </c>
      <c r="E6" s="59">
        <v>317.88</v>
      </c>
      <c r="F6" s="59">
        <v>959.37</v>
      </c>
      <c r="G6" s="59">
        <v>4550.45</v>
      </c>
      <c r="H6" s="59">
        <v>10261.68</v>
      </c>
    </row>
    <row r="7" spans="2:8">
      <c r="G7" s="100" t="s">
        <v>128</v>
      </c>
      <c r="H7" s="100"/>
    </row>
  </sheetData>
  <mergeCells count="1">
    <mergeCell ref="G7:H7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M5"/>
  <sheetViews>
    <sheetView zoomScaleNormal="100" workbookViewId="0">
      <selection activeCell="N1" sqref="N1"/>
    </sheetView>
  </sheetViews>
  <sheetFormatPr defaultRowHeight="16.899999999999999"/>
  <cols>
    <col min="1" max="1" width="1.625" customWidth="1"/>
    <col min="2" max="2" width="12.375" customWidth="1"/>
    <col min="3" max="3" width="7.75" customWidth="1"/>
    <col min="4" max="4" width="11.5" customWidth="1"/>
    <col min="5" max="11" width="7.75" customWidth="1"/>
    <col min="12" max="12" width="11.5" customWidth="1"/>
    <col min="13" max="13" width="7.75" customWidth="1"/>
  </cols>
  <sheetData>
    <row r="2" spans="2:13">
      <c r="B2" t="s">
        <v>129</v>
      </c>
    </row>
    <row r="3" spans="2:13">
      <c r="B3" s="8"/>
      <c r="C3" s="58" t="s">
        <v>130</v>
      </c>
      <c r="D3" s="58" t="s">
        <v>131</v>
      </c>
      <c r="E3" s="58" t="s">
        <v>132</v>
      </c>
      <c r="F3" s="58" t="s">
        <v>133</v>
      </c>
      <c r="G3" s="58" t="s">
        <v>134</v>
      </c>
      <c r="H3" s="58" t="s">
        <v>126</v>
      </c>
      <c r="I3" s="58" t="s">
        <v>135</v>
      </c>
      <c r="J3" s="58" t="s">
        <v>136</v>
      </c>
      <c r="K3" s="58" t="s">
        <v>137</v>
      </c>
      <c r="L3" s="58" t="s">
        <v>150</v>
      </c>
      <c r="M3" s="58" t="s">
        <v>138</v>
      </c>
    </row>
    <row r="4" spans="2:13">
      <c r="B4" s="8" t="s">
        <v>139</v>
      </c>
      <c r="C4" s="60">
        <v>0.10100000000000001</v>
      </c>
      <c r="D4" s="60">
        <v>9.9000000000000005E-2</v>
      </c>
      <c r="E4" s="60">
        <v>8.1000000000000003E-2</v>
      </c>
      <c r="F4" s="60">
        <v>7.3999999999999996E-2</v>
      </c>
      <c r="G4" s="60">
        <v>7.3999999999999996E-2</v>
      </c>
      <c r="H4" s="60">
        <v>6.8000000000000005E-2</v>
      </c>
      <c r="I4" s="60">
        <v>6.8000000000000005E-2</v>
      </c>
      <c r="J4" s="60">
        <v>4.3999999999999997E-2</v>
      </c>
      <c r="K4" s="60">
        <v>4.2999999999999997E-2</v>
      </c>
      <c r="L4" s="60">
        <v>3.1E-2</v>
      </c>
      <c r="M4" s="60">
        <v>0.31900000000000001</v>
      </c>
    </row>
    <row r="5" spans="2:13">
      <c r="L5" s="10" t="s">
        <v>140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zoomScaleNormal="100" workbookViewId="0">
      <selection activeCell="H1" sqref="H1"/>
    </sheetView>
  </sheetViews>
  <sheetFormatPr defaultRowHeight="16.899999999999999"/>
  <cols>
    <col min="1" max="1" width="1.625" customWidth="1"/>
    <col min="2" max="2" width="12.375" bestFit="1" customWidth="1"/>
  </cols>
  <sheetData>
    <row r="1" spans="1:7">
      <c r="A1" s="13"/>
      <c r="B1" s="13"/>
      <c r="C1" s="13"/>
      <c r="D1" s="13"/>
      <c r="E1" s="13"/>
      <c r="F1" s="13"/>
      <c r="G1" s="13"/>
    </row>
    <row r="2" spans="1:7">
      <c r="A2" s="13"/>
      <c r="B2" s="13" t="s">
        <v>141</v>
      </c>
      <c r="C2" s="13"/>
      <c r="D2" s="13"/>
      <c r="E2" s="13"/>
      <c r="F2" s="13"/>
      <c r="G2" s="13"/>
    </row>
    <row r="3" spans="1:7">
      <c r="A3" s="13"/>
      <c r="B3" s="61"/>
      <c r="C3" s="62" t="s">
        <v>410</v>
      </c>
      <c r="D3" s="62" t="s">
        <v>409</v>
      </c>
      <c r="E3" s="62" t="s">
        <v>411</v>
      </c>
      <c r="F3" s="62" t="s">
        <v>408</v>
      </c>
      <c r="G3" s="62" t="s">
        <v>34</v>
      </c>
    </row>
    <row r="4" spans="1:7">
      <c r="A4" s="13"/>
      <c r="B4" s="63" t="s">
        <v>142</v>
      </c>
      <c r="C4" s="63">
        <v>19</v>
      </c>
      <c r="D4" s="63">
        <v>9</v>
      </c>
      <c r="E4" s="63">
        <v>9</v>
      </c>
      <c r="F4" s="63">
        <v>18</v>
      </c>
      <c r="G4" s="63">
        <v>8</v>
      </c>
    </row>
    <row r="5" spans="1:7">
      <c r="A5" s="13"/>
      <c r="B5" s="63" t="s">
        <v>143</v>
      </c>
      <c r="C5" s="63">
        <v>20</v>
      </c>
      <c r="D5" s="63">
        <v>11</v>
      </c>
      <c r="E5" s="63">
        <v>14</v>
      </c>
      <c r="F5" s="63">
        <v>22</v>
      </c>
      <c r="G5" s="63">
        <v>13</v>
      </c>
    </row>
    <row r="6" spans="1:7">
      <c r="A6" s="13"/>
      <c r="B6" s="63" t="s">
        <v>144</v>
      </c>
      <c r="C6" s="61">
        <v>34</v>
      </c>
      <c r="D6" s="61">
        <v>30</v>
      </c>
      <c r="E6" s="61">
        <v>29</v>
      </c>
      <c r="F6" s="61">
        <v>48</v>
      </c>
      <c r="G6" s="61">
        <v>24</v>
      </c>
    </row>
    <row r="7" spans="1:7">
      <c r="A7" s="13"/>
      <c r="B7" s="63" t="s">
        <v>145</v>
      </c>
      <c r="C7" s="63">
        <v>6</v>
      </c>
      <c r="D7" s="63">
        <v>3</v>
      </c>
      <c r="E7" s="63">
        <v>5</v>
      </c>
      <c r="F7" s="63">
        <v>11</v>
      </c>
      <c r="G7" s="63">
        <v>4</v>
      </c>
    </row>
    <row r="8" spans="1:7">
      <c r="A8" s="13"/>
      <c r="B8" s="1"/>
      <c r="C8" s="1"/>
      <c r="D8" s="1"/>
      <c r="E8" s="1"/>
      <c r="G8" s="64" t="s">
        <v>146</v>
      </c>
    </row>
    <row r="9" spans="1:7">
      <c r="A9" s="13"/>
      <c r="B9" s="13"/>
      <c r="C9" s="13"/>
      <c r="D9" s="13"/>
      <c r="E9" s="13"/>
      <c r="F9" s="13"/>
      <c r="G9" s="13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6"/>
  <sheetViews>
    <sheetView topLeftCell="A7" zoomScaleNormal="100" workbookViewId="0">
      <selection activeCell="G7" sqref="G7"/>
    </sheetView>
  </sheetViews>
  <sheetFormatPr defaultRowHeight="16.899999999999999"/>
  <cols>
    <col min="2" max="7" width="15.875" customWidth="1"/>
  </cols>
  <sheetData>
    <row r="2" spans="1:7">
      <c r="B2" t="s">
        <v>147</v>
      </c>
    </row>
    <row r="3" spans="1:7">
      <c r="A3" s="8"/>
      <c r="B3" s="58" t="s">
        <v>148</v>
      </c>
      <c r="C3" s="58" t="s">
        <v>149</v>
      </c>
      <c r="D3" s="58" t="s">
        <v>150</v>
      </c>
      <c r="E3" s="58" t="s">
        <v>151</v>
      </c>
      <c r="F3" s="58" t="s">
        <v>136</v>
      </c>
      <c r="G3" s="58" t="s">
        <v>152</v>
      </c>
    </row>
    <row r="4" spans="1:7">
      <c r="A4" s="8" t="s">
        <v>153</v>
      </c>
      <c r="B4" s="9">
        <v>42106719</v>
      </c>
      <c r="C4" s="9">
        <v>42895824</v>
      </c>
      <c r="D4" s="9">
        <v>24475766</v>
      </c>
      <c r="E4" s="9">
        <v>270663028</v>
      </c>
      <c r="F4" s="9">
        <v>183241641</v>
      </c>
      <c r="G4" s="9">
        <v>25390339</v>
      </c>
    </row>
    <row r="5" spans="1:7">
      <c r="A5" s="8" t="s">
        <v>154</v>
      </c>
      <c r="B5" s="9">
        <v>9602379</v>
      </c>
      <c r="C5" s="9">
        <v>57492249</v>
      </c>
      <c r="D5" s="9">
        <v>7474011</v>
      </c>
      <c r="E5" s="9">
        <v>57576495</v>
      </c>
      <c r="F5" s="9">
        <v>27807886</v>
      </c>
      <c r="G5" s="9">
        <v>7120114</v>
      </c>
    </row>
    <row r="6" spans="1:7">
      <c r="G6" s="65" t="s">
        <v>155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M33"/>
  <sheetViews>
    <sheetView zoomScaleNormal="100" workbookViewId="0">
      <selection activeCell="J2" sqref="J2"/>
    </sheetView>
  </sheetViews>
  <sheetFormatPr defaultColWidth="9" defaultRowHeight="18" customHeight="1"/>
  <cols>
    <col min="1" max="12" width="9" style="13"/>
    <col min="13" max="13" width="9.625" style="13" customWidth="1"/>
    <col min="14" max="16384" width="9" style="13"/>
  </cols>
  <sheetData>
    <row r="3" spans="2:13" ht="18" customHeight="1">
      <c r="B3" s="22"/>
      <c r="C3" s="22"/>
      <c r="D3" s="23"/>
      <c r="E3" s="23"/>
      <c r="F3" s="23"/>
      <c r="G3" s="23"/>
      <c r="H3" s="23"/>
      <c r="I3" s="23"/>
      <c r="J3" s="24"/>
      <c r="K3" s="24"/>
      <c r="L3" s="24"/>
      <c r="M3" s="24"/>
    </row>
    <row r="4" spans="2:13" ht="18" customHeight="1">
      <c r="B4" s="22"/>
      <c r="C4" s="22"/>
      <c r="D4" s="23"/>
      <c r="E4" s="23"/>
      <c r="F4" s="23"/>
      <c r="G4" s="23"/>
      <c r="H4" s="23"/>
      <c r="I4" s="23"/>
      <c r="J4" s="24"/>
      <c r="K4" s="24"/>
      <c r="L4" s="24"/>
      <c r="M4" s="24"/>
    </row>
    <row r="5" spans="2:13" ht="18" customHeight="1">
      <c r="B5" s="25" t="s">
        <v>68</v>
      </c>
      <c r="C5" s="26" t="s">
        <v>40</v>
      </c>
      <c r="D5" s="26" t="s">
        <v>0</v>
      </c>
      <c r="E5" s="27">
        <v>42432</v>
      </c>
      <c r="F5" s="27">
        <v>42439</v>
      </c>
      <c r="G5" s="27">
        <v>42446</v>
      </c>
      <c r="H5" s="27">
        <v>42453</v>
      </c>
      <c r="I5" s="27">
        <v>42460</v>
      </c>
      <c r="J5" s="27">
        <v>42467</v>
      </c>
      <c r="K5" s="27">
        <v>42474</v>
      </c>
      <c r="L5" s="27">
        <v>42481</v>
      </c>
      <c r="M5" s="27" t="s">
        <v>69</v>
      </c>
    </row>
    <row r="6" spans="2:13" ht="18" customHeight="1">
      <c r="B6" s="28">
        <v>1</v>
      </c>
      <c r="C6" s="29" t="s">
        <v>70</v>
      </c>
      <c r="D6" s="28" t="s">
        <v>71</v>
      </c>
      <c r="E6" s="91">
        <v>1</v>
      </c>
      <c r="F6" s="91">
        <v>1</v>
      </c>
      <c r="G6" s="91">
        <v>1</v>
      </c>
      <c r="H6" s="91">
        <v>1</v>
      </c>
      <c r="I6" s="91">
        <v>1</v>
      </c>
      <c r="J6" s="91">
        <v>1</v>
      </c>
      <c r="K6" s="91">
        <v>1</v>
      </c>
      <c r="L6" s="91">
        <v>1</v>
      </c>
      <c r="M6" s="92">
        <f>SUM(E6:L6)</f>
        <v>8</v>
      </c>
    </row>
    <row r="7" spans="2:13" ht="18" customHeight="1">
      <c r="B7" s="30">
        <v>1</v>
      </c>
      <c r="C7" s="31" t="s">
        <v>72</v>
      </c>
      <c r="D7" s="32" t="s">
        <v>73</v>
      </c>
      <c r="E7" s="91">
        <v>1</v>
      </c>
      <c r="F7" s="91">
        <v>1</v>
      </c>
      <c r="G7" s="91">
        <v>0</v>
      </c>
      <c r="H7" s="91">
        <v>1</v>
      </c>
      <c r="I7" s="91">
        <v>1</v>
      </c>
      <c r="J7" s="91">
        <v>1</v>
      </c>
      <c r="K7" s="91">
        <v>1</v>
      </c>
      <c r="L7" s="91">
        <v>1</v>
      </c>
      <c r="M7" s="92">
        <f t="shared" ref="M7:M33" si="0">SUM(E7:L7)</f>
        <v>7</v>
      </c>
    </row>
    <row r="8" spans="2:13" ht="18" customHeight="1">
      <c r="B8" s="28">
        <v>1</v>
      </c>
      <c r="C8" s="29" t="s">
        <v>74</v>
      </c>
      <c r="D8" s="28" t="s">
        <v>75</v>
      </c>
      <c r="E8" s="91">
        <v>0</v>
      </c>
      <c r="F8" s="91">
        <v>1</v>
      </c>
      <c r="G8" s="91">
        <v>1</v>
      </c>
      <c r="H8" s="91">
        <v>1</v>
      </c>
      <c r="I8" s="91">
        <v>1</v>
      </c>
      <c r="J8" s="91">
        <v>1</v>
      </c>
      <c r="K8" s="91">
        <v>1</v>
      </c>
      <c r="L8" s="91">
        <v>1</v>
      </c>
      <c r="M8" s="92">
        <f t="shared" si="0"/>
        <v>7</v>
      </c>
    </row>
    <row r="9" spans="2:13" ht="18" customHeight="1">
      <c r="B9" s="33">
        <v>1</v>
      </c>
      <c r="C9" s="34" t="s">
        <v>76</v>
      </c>
      <c r="D9" s="35" t="s">
        <v>77</v>
      </c>
      <c r="E9" s="91">
        <v>1</v>
      </c>
      <c r="F9" s="91">
        <v>1</v>
      </c>
      <c r="G9" s="91">
        <v>1</v>
      </c>
      <c r="H9" s="91">
        <v>1</v>
      </c>
      <c r="I9" s="91">
        <v>1</v>
      </c>
      <c r="J9" s="91">
        <v>1</v>
      </c>
      <c r="K9" s="91">
        <v>1</v>
      </c>
      <c r="L9" s="91">
        <v>1</v>
      </c>
      <c r="M9" s="92">
        <f t="shared" si="0"/>
        <v>8</v>
      </c>
    </row>
    <row r="10" spans="2:13" ht="18" customHeight="1">
      <c r="B10" s="33">
        <v>1</v>
      </c>
      <c r="C10" s="34" t="s">
        <v>76</v>
      </c>
      <c r="D10" s="33" t="s">
        <v>78</v>
      </c>
      <c r="E10" s="91">
        <v>0</v>
      </c>
      <c r="F10" s="91">
        <v>1</v>
      </c>
      <c r="G10" s="91">
        <v>1</v>
      </c>
      <c r="H10" s="91">
        <v>1</v>
      </c>
      <c r="I10" s="91">
        <v>1</v>
      </c>
      <c r="J10" s="91">
        <v>1</v>
      </c>
      <c r="K10" s="91">
        <v>1</v>
      </c>
      <c r="L10" s="91">
        <v>1</v>
      </c>
      <c r="M10" s="92">
        <f t="shared" si="0"/>
        <v>7</v>
      </c>
    </row>
    <row r="11" spans="2:13" ht="18" customHeight="1">
      <c r="B11" s="33">
        <v>1</v>
      </c>
      <c r="C11" s="34" t="s">
        <v>76</v>
      </c>
      <c r="D11" s="33" t="s">
        <v>79</v>
      </c>
      <c r="E11" s="91">
        <v>1</v>
      </c>
      <c r="F11" s="91">
        <v>1</v>
      </c>
      <c r="G11" s="91">
        <v>1</v>
      </c>
      <c r="H11" s="91">
        <v>1</v>
      </c>
      <c r="I11" s="91">
        <v>1</v>
      </c>
      <c r="J11" s="91">
        <v>1</v>
      </c>
      <c r="K11" s="91">
        <v>0</v>
      </c>
      <c r="L11" s="91">
        <v>0</v>
      </c>
      <c r="M11" s="92">
        <f t="shared" si="0"/>
        <v>6</v>
      </c>
    </row>
    <row r="12" spans="2:13" ht="18" customHeight="1">
      <c r="B12" s="34">
        <v>1</v>
      </c>
      <c r="C12" s="34" t="s">
        <v>76</v>
      </c>
      <c r="D12" s="33" t="s">
        <v>80</v>
      </c>
      <c r="E12" s="91">
        <v>0</v>
      </c>
      <c r="F12" s="91">
        <v>1</v>
      </c>
      <c r="G12" s="91">
        <v>1</v>
      </c>
      <c r="H12" s="91">
        <v>1</v>
      </c>
      <c r="I12" s="91">
        <v>0</v>
      </c>
      <c r="J12" s="91">
        <v>1</v>
      </c>
      <c r="K12" s="91">
        <v>1</v>
      </c>
      <c r="L12" s="91">
        <v>1</v>
      </c>
      <c r="M12" s="92">
        <f t="shared" si="0"/>
        <v>6</v>
      </c>
    </row>
    <row r="13" spans="2:13" ht="18" customHeight="1">
      <c r="B13" s="36">
        <v>1</v>
      </c>
      <c r="C13" s="36" t="s">
        <v>81</v>
      </c>
      <c r="D13" s="36" t="s">
        <v>82</v>
      </c>
      <c r="E13" s="91">
        <v>1</v>
      </c>
      <c r="F13" s="91">
        <v>1</v>
      </c>
      <c r="G13" s="91">
        <v>1</v>
      </c>
      <c r="H13" s="91">
        <v>1</v>
      </c>
      <c r="I13" s="91">
        <v>1</v>
      </c>
      <c r="J13" s="91">
        <v>1</v>
      </c>
      <c r="K13" s="91">
        <v>1</v>
      </c>
      <c r="L13" s="91">
        <v>1</v>
      </c>
      <c r="M13" s="92">
        <f t="shared" si="0"/>
        <v>8</v>
      </c>
    </row>
    <row r="14" spans="2:13" ht="18" customHeight="1">
      <c r="B14" s="36">
        <v>1</v>
      </c>
      <c r="C14" s="36" t="s">
        <v>83</v>
      </c>
      <c r="D14" s="36" t="s">
        <v>84</v>
      </c>
      <c r="E14" s="91">
        <v>1</v>
      </c>
      <c r="F14" s="91">
        <v>1</v>
      </c>
      <c r="G14" s="91">
        <v>1</v>
      </c>
      <c r="H14" s="91">
        <v>1</v>
      </c>
      <c r="I14" s="91">
        <v>1</v>
      </c>
      <c r="J14" s="91">
        <v>1</v>
      </c>
      <c r="K14" s="91">
        <v>1</v>
      </c>
      <c r="L14" s="91">
        <v>1</v>
      </c>
      <c r="M14" s="92">
        <f t="shared" si="0"/>
        <v>8</v>
      </c>
    </row>
    <row r="15" spans="2:13" ht="18" customHeight="1">
      <c r="B15" s="36">
        <v>1</v>
      </c>
      <c r="C15" s="36" t="s">
        <v>85</v>
      </c>
      <c r="D15" s="36" t="s">
        <v>86</v>
      </c>
      <c r="E15" s="91">
        <v>1</v>
      </c>
      <c r="F15" s="91">
        <v>1</v>
      </c>
      <c r="G15" s="91">
        <v>1</v>
      </c>
      <c r="H15" s="91">
        <v>0</v>
      </c>
      <c r="I15" s="91">
        <v>1</v>
      </c>
      <c r="J15" s="91">
        <v>0</v>
      </c>
      <c r="K15" s="91">
        <v>0</v>
      </c>
      <c r="L15" s="91">
        <v>0</v>
      </c>
      <c r="M15" s="92">
        <f t="shared" si="0"/>
        <v>4</v>
      </c>
    </row>
    <row r="16" spans="2:13" ht="18" customHeight="1">
      <c r="B16" s="34">
        <v>2</v>
      </c>
      <c r="C16" s="34" t="s">
        <v>87</v>
      </c>
      <c r="D16" s="33" t="s">
        <v>88</v>
      </c>
      <c r="E16" s="91">
        <v>1</v>
      </c>
      <c r="F16" s="91">
        <v>1</v>
      </c>
      <c r="G16" s="91">
        <v>1</v>
      </c>
      <c r="H16" s="91">
        <v>1</v>
      </c>
      <c r="I16" s="91">
        <v>1</v>
      </c>
      <c r="J16" s="91">
        <v>1</v>
      </c>
      <c r="K16" s="91">
        <v>1</v>
      </c>
      <c r="L16" s="91">
        <v>1</v>
      </c>
      <c r="M16" s="92">
        <f t="shared" si="0"/>
        <v>8</v>
      </c>
    </row>
    <row r="17" spans="2:13" ht="18" customHeight="1">
      <c r="B17" s="33">
        <v>2</v>
      </c>
      <c r="C17" s="34" t="s">
        <v>87</v>
      </c>
      <c r="D17" s="33" t="s">
        <v>89</v>
      </c>
      <c r="E17" s="91">
        <v>1</v>
      </c>
      <c r="F17" s="91">
        <v>1</v>
      </c>
      <c r="G17" s="91">
        <v>1</v>
      </c>
      <c r="H17" s="91">
        <v>1</v>
      </c>
      <c r="I17" s="91">
        <v>1</v>
      </c>
      <c r="J17" s="91"/>
      <c r="K17" s="91">
        <v>1</v>
      </c>
      <c r="L17" s="91">
        <v>1</v>
      </c>
      <c r="M17" s="92">
        <f t="shared" si="0"/>
        <v>7</v>
      </c>
    </row>
    <row r="18" spans="2:13" ht="18" customHeight="1">
      <c r="B18" s="37">
        <v>2</v>
      </c>
      <c r="C18" s="38" t="s">
        <v>90</v>
      </c>
      <c r="D18" s="28" t="s">
        <v>91</v>
      </c>
      <c r="E18" s="91">
        <v>1</v>
      </c>
      <c r="F18" s="91">
        <v>1</v>
      </c>
      <c r="G18" s="91">
        <v>1</v>
      </c>
      <c r="H18" s="91">
        <v>1</v>
      </c>
      <c r="I18" s="91">
        <v>1</v>
      </c>
      <c r="J18" s="91">
        <v>1</v>
      </c>
      <c r="K18" s="91">
        <v>1</v>
      </c>
      <c r="L18" s="91">
        <v>1</v>
      </c>
      <c r="M18" s="92">
        <f t="shared" si="0"/>
        <v>8</v>
      </c>
    </row>
    <row r="19" spans="2:13" ht="18" customHeight="1">
      <c r="B19" s="28">
        <v>2</v>
      </c>
      <c r="C19" s="38" t="s">
        <v>92</v>
      </c>
      <c r="D19" s="28" t="s">
        <v>93</v>
      </c>
      <c r="E19" s="91">
        <v>1</v>
      </c>
      <c r="F19" s="91">
        <v>1</v>
      </c>
      <c r="G19" s="91">
        <v>1</v>
      </c>
      <c r="H19" s="91">
        <v>1</v>
      </c>
      <c r="I19" s="91">
        <v>1</v>
      </c>
      <c r="J19" s="91">
        <v>1</v>
      </c>
      <c r="K19" s="91">
        <v>1</v>
      </c>
      <c r="L19" s="91">
        <v>1</v>
      </c>
      <c r="M19" s="92">
        <f t="shared" si="0"/>
        <v>8</v>
      </c>
    </row>
    <row r="20" spans="2:13" ht="18" customHeight="1">
      <c r="B20" s="28">
        <v>2</v>
      </c>
      <c r="C20" s="38" t="s">
        <v>94</v>
      </c>
      <c r="D20" s="28" t="s">
        <v>95</v>
      </c>
      <c r="E20" s="91">
        <v>1</v>
      </c>
      <c r="F20" s="91">
        <v>1</v>
      </c>
      <c r="G20" s="91">
        <v>1</v>
      </c>
      <c r="H20" s="91">
        <v>1</v>
      </c>
      <c r="I20" s="91">
        <v>1</v>
      </c>
      <c r="J20" s="91">
        <v>1</v>
      </c>
      <c r="K20" s="91">
        <v>1</v>
      </c>
      <c r="L20" s="91">
        <v>1</v>
      </c>
      <c r="M20" s="92">
        <f t="shared" si="0"/>
        <v>8</v>
      </c>
    </row>
    <row r="21" spans="2:13" ht="18" customHeight="1">
      <c r="B21" s="28">
        <v>2</v>
      </c>
      <c r="C21" s="38" t="s">
        <v>92</v>
      </c>
      <c r="D21" s="28" t="s">
        <v>96</v>
      </c>
      <c r="E21" s="91">
        <v>1</v>
      </c>
      <c r="F21" s="91">
        <v>1</v>
      </c>
      <c r="G21" s="91">
        <v>1</v>
      </c>
      <c r="H21" s="91">
        <v>1</v>
      </c>
      <c r="I21" s="91">
        <v>1</v>
      </c>
      <c r="J21" s="91"/>
      <c r="K21" s="91">
        <v>1</v>
      </c>
      <c r="L21" s="91">
        <v>1</v>
      </c>
      <c r="M21" s="92">
        <f t="shared" si="0"/>
        <v>7</v>
      </c>
    </row>
    <row r="22" spans="2:13" ht="18" customHeight="1">
      <c r="B22" s="39">
        <v>2</v>
      </c>
      <c r="C22" s="39" t="s">
        <v>97</v>
      </c>
      <c r="D22" s="36" t="s">
        <v>98</v>
      </c>
      <c r="E22" s="91">
        <v>1</v>
      </c>
      <c r="F22" s="91">
        <v>1</v>
      </c>
      <c r="G22" s="91">
        <v>1</v>
      </c>
      <c r="H22" s="91">
        <v>1</v>
      </c>
      <c r="I22" s="91">
        <v>1</v>
      </c>
      <c r="J22" s="91">
        <v>1</v>
      </c>
      <c r="K22" s="91">
        <v>1</v>
      </c>
      <c r="L22" s="91">
        <v>1</v>
      </c>
      <c r="M22" s="92">
        <f t="shared" si="0"/>
        <v>8</v>
      </c>
    </row>
    <row r="23" spans="2:13" ht="18" customHeight="1">
      <c r="B23" s="36">
        <v>2</v>
      </c>
      <c r="C23" s="39" t="s">
        <v>97</v>
      </c>
      <c r="D23" s="36" t="s">
        <v>99</v>
      </c>
      <c r="E23" s="91">
        <v>1</v>
      </c>
      <c r="F23" s="91">
        <v>1</v>
      </c>
      <c r="G23" s="91">
        <v>1</v>
      </c>
      <c r="H23" s="91">
        <v>1</v>
      </c>
      <c r="I23" s="91">
        <v>1</v>
      </c>
      <c r="J23" s="91">
        <v>1</v>
      </c>
      <c r="K23" s="91">
        <v>1</v>
      </c>
      <c r="L23" s="91">
        <v>1</v>
      </c>
      <c r="M23" s="92">
        <f t="shared" si="0"/>
        <v>8</v>
      </c>
    </row>
    <row r="24" spans="2:13" ht="18" customHeight="1">
      <c r="B24" s="33">
        <v>2</v>
      </c>
      <c r="C24" s="34" t="s">
        <v>97</v>
      </c>
      <c r="D24" s="33" t="s">
        <v>100</v>
      </c>
      <c r="E24" s="91">
        <v>1</v>
      </c>
      <c r="F24" s="91">
        <v>0</v>
      </c>
      <c r="G24" s="91">
        <v>1</v>
      </c>
      <c r="H24" s="91">
        <v>1</v>
      </c>
      <c r="I24" s="91">
        <v>1</v>
      </c>
      <c r="J24" s="91">
        <v>1</v>
      </c>
      <c r="K24" s="91">
        <v>1</v>
      </c>
      <c r="L24" s="91">
        <v>1</v>
      </c>
      <c r="M24" s="92">
        <f t="shared" si="0"/>
        <v>7</v>
      </c>
    </row>
    <row r="25" spans="2:13" ht="18" customHeight="1">
      <c r="B25" s="36">
        <v>2</v>
      </c>
      <c r="C25" s="39" t="s">
        <v>97</v>
      </c>
      <c r="D25" s="36" t="s">
        <v>101</v>
      </c>
      <c r="E25" s="91">
        <v>1</v>
      </c>
      <c r="F25" s="91">
        <v>1</v>
      </c>
      <c r="G25" s="91">
        <v>0</v>
      </c>
      <c r="H25" s="91">
        <v>1</v>
      </c>
      <c r="I25" s="91">
        <v>0</v>
      </c>
      <c r="J25" s="91">
        <v>0</v>
      </c>
      <c r="K25" s="91">
        <v>1</v>
      </c>
      <c r="L25" s="91">
        <v>1</v>
      </c>
      <c r="M25" s="92">
        <f t="shared" si="0"/>
        <v>5</v>
      </c>
    </row>
    <row r="26" spans="2:13" ht="18" customHeight="1">
      <c r="B26" s="36">
        <v>2</v>
      </c>
      <c r="C26" s="39" t="s">
        <v>102</v>
      </c>
      <c r="D26" s="36" t="s">
        <v>103</v>
      </c>
      <c r="E26" s="91">
        <v>0</v>
      </c>
      <c r="F26" s="91">
        <v>1</v>
      </c>
      <c r="G26" s="91">
        <v>1</v>
      </c>
      <c r="H26" s="91">
        <v>0</v>
      </c>
      <c r="I26" s="91">
        <v>1</v>
      </c>
      <c r="J26" s="91">
        <v>0</v>
      </c>
      <c r="K26" s="91">
        <v>1</v>
      </c>
      <c r="L26" s="91">
        <v>0</v>
      </c>
      <c r="M26" s="92">
        <f t="shared" si="0"/>
        <v>4</v>
      </c>
    </row>
    <row r="27" spans="2:13" ht="18" customHeight="1">
      <c r="B27" s="40">
        <v>2</v>
      </c>
      <c r="C27" s="40" t="s">
        <v>104</v>
      </c>
      <c r="D27" s="41" t="s">
        <v>105</v>
      </c>
      <c r="E27" s="91">
        <v>1</v>
      </c>
      <c r="F27" s="91">
        <v>1</v>
      </c>
      <c r="G27" s="91">
        <v>1</v>
      </c>
      <c r="H27" s="91">
        <v>1</v>
      </c>
      <c r="I27" s="91">
        <v>1</v>
      </c>
      <c r="J27" s="91">
        <v>1</v>
      </c>
      <c r="K27" s="91">
        <v>1</v>
      </c>
      <c r="L27" s="91">
        <v>1</v>
      </c>
      <c r="M27" s="92">
        <f t="shared" si="0"/>
        <v>8</v>
      </c>
    </row>
    <row r="28" spans="2:13" ht="18" customHeight="1">
      <c r="B28" s="41">
        <v>2</v>
      </c>
      <c r="C28" s="40" t="s">
        <v>104</v>
      </c>
      <c r="D28" s="41" t="s">
        <v>106</v>
      </c>
      <c r="E28" s="91">
        <v>1</v>
      </c>
      <c r="F28" s="91">
        <v>1</v>
      </c>
      <c r="G28" s="91">
        <v>1</v>
      </c>
      <c r="H28" s="91">
        <v>1</v>
      </c>
      <c r="I28" s="91">
        <v>1</v>
      </c>
      <c r="J28" s="91">
        <v>1</v>
      </c>
      <c r="K28" s="91">
        <v>1</v>
      </c>
      <c r="L28" s="91">
        <v>1</v>
      </c>
      <c r="M28" s="92">
        <f t="shared" si="0"/>
        <v>8</v>
      </c>
    </row>
    <row r="29" spans="2:13" ht="18" customHeight="1">
      <c r="B29" s="41">
        <v>2</v>
      </c>
      <c r="C29" s="40" t="s">
        <v>107</v>
      </c>
      <c r="D29" s="41" t="s">
        <v>108</v>
      </c>
      <c r="E29" s="91">
        <v>1</v>
      </c>
      <c r="F29" s="91">
        <v>1</v>
      </c>
      <c r="G29" s="91">
        <v>1</v>
      </c>
      <c r="H29" s="91">
        <v>1</v>
      </c>
      <c r="I29" s="91">
        <v>1</v>
      </c>
      <c r="J29" s="91">
        <v>1</v>
      </c>
      <c r="K29" s="91">
        <v>1</v>
      </c>
      <c r="L29" s="91">
        <v>1</v>
      </c>
      <c r="M29" s="92">
        <f t="shared" si="0"/>
        <v>8</v>
      </c>
    </row>
    <row r="30" spans="2:13" ht="18" customHeight="1">
      <c r="B30" s="41">
        <v>2</v>
      </c>
      <c r="C30" s="40" t="s">
        <v>109</v>
      </c>
      <c r="D30" s="41" t="s">
        <v>110</v>
      </c>
      <c r="E30" s="91">
        <v>1</v>
      </c>
      <c r="F30" s="91">
        <v>1</v>
      </c>
      <c r="G30" s="91">
        <v>1</v>
      </c>
      <c r="H30" s="91">
        <v>1</v>
      </c>
      <c r="I30" s="91">
        <v>1</v>
      </c>
      <c r="J30" s="91">
        <v>0</v>
      </c>
      <c r="K30" s="91">
        <v>1</v>
      </c>
      <c r="L30" s="91">
        <v>1</v>
      </c>
      <c r="M30" s="92">
        <f t="shared" si="0"/>
        <v>7</v>
      </c>
    </row>
    <row r="31" spans="2:13" ht="18" customHeight="1">
      <c r="B31" s="41">
        <v>2</v>
      </c>
      <c r="C31" s="40" t="s">
        <v>109</v>
      </c>
      <c r="D31" s="41" t="s">
        <v>111</v>
      </c>
      <c r="E31" s="91">
        <v>0</v>
      </c>
      <c r="F31" s="91">
        <v>1</v>
      </c>
      <c r="G31" s="91">
        <v>1</v>
      </c>
      <c r="H31" s="91">
        <v>1</v>
      </c>
      <c r="I31" s="91">
        <v>0</v>
      </c>
      <c r="J31" s="91">
        <v>1</v>
      </c>
      <c r="K31" s="91">
        <v>1</v>
      </c>
      <c r="L31" s="91">
        <v>1</v>
      </c>
      <c r="M31" s="92">
        <f t="shared" si="0"/>
        <v>6</v>
      </c>
    </row>
    <row r="32" spans="2:13" ht="18" customHeight="1">
      <c r="B32" s="42">
        <v>2</v>
      </c>
      <c r="C32" s="40" t="s">
        <v>107</v>
      </c>
      <c r="D32" s="43" t="s">
        <v>112</v>
      </c>
      <c r="E32" s="91">
        <v>0</v>
      </c>
      <c r="F32" s="91">
        <v>0</v>
      </c>
      <c r="G32" s="91">
        <v>1</v>
      </c>
      <c r="H32" s="91">
        <v>1</v>
      </c>
      <c r="I32" s="91">
        <v>1</v>
      </c>
      <c r="J32" s="91">
        <v>1</v>
      </c>
      <c r="K32" s="91">
        <v>1</v>
      </c>
      <c r="L32" s="91">
        <v>1</v>
      </c>
      <c r="M32" s="92">
        <f t="shared" si="0"/>
        <v>6</v>
      </c>
    </row>
    <row r="33" spans="2:13" ht="18" customHeight="1">
      <c r="B33" s="41">
        <v>2</v>
      </c>
      <c r="C33" s="40" t="s">
        <v>107</v>
      </c>
      <c r="D33" s="41" t="s">
        <v>113</v>
      </c>
      <c r="E33" s="91">
        <v>1</v>
      </c>
      <c r="F33" s="91">
        <v>1</v>
      </c>
      <c r="G33" s="91">
        <v>1</v>
      </c>
      <c r="H33" s="91">
        <v>1</v>
      </c>
      <c r="I33" s="91">
        <v>0</v>
      </c>
      <c r="J33" s="91">
        <v>1</v>
      </c>
      <c r="K33" s="91">
        <v>1</v>
      </c>
      <c r="L33" s="91">
        <v>1</v>
      </c>
      <c r="M33" s="92">
        <f t="shared" si="0"/>
        <v>7</v>
      </c>
    </row>
  </sheetData>
  <phoneticPr fontId="2" type="noConversion"/>
  <conditionalFormatting sqref="M6:M33"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{53C134C0-D287-44D1-A45D-4A6304059A9D}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{E12E2A37-DD1A-49F4-81E0-5C7D7BA8EEAB}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1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C134C0-D287-44D1-A45D-4A6304059A9D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E12E2A37-DD1A-49F4-81E0-5C7D7BA8EEAB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6:F39"/>
  <sheetViews>
    <sheetView zoomScaleNormal="100" workbookViewId="0">
      <selection activeCell="I4" sqref="I4"/>
    </sheetView>
  </sheetViews>
  <sheetFormatPr defaultColWidth="9" defaultRowHeight="15.75"/>
  <cols>
    <col min="1" max="1" width="9" style="52"/>
    <col min="2" max="2" width="9.625" style="56" customWidth="1"/>
    <col min="3" max="3" width="9.625" style="57" customWidth="1"/>
    <col min="4" max="4" width="12.375" style="57" customWidth="1"/>
    <col min="5" max="5" width="11.5" style="57" customWidth="1"/>
    <col min="6" max="6" width="9.625" style="52" customWidth="1"/>
    <col min="7" max="7" width="9" style="52"/>
    <col min="8" max="8" width="8.75" style="52" bestFit="1" customWidth="1"/>
    <col min="9" max="9" width="8.75" style="52" customWidth="1"/>
    <col min="10" max="10" width="6.75" style="52" bestFit="1" customWidth="1"/>
    <col min="11" max="12" width="9" style="52"/>
    <col min="13" max="13" width="8.75" style="52" bestFit="1" customWidth="1"/>
    <col min="14" max="14" width="8.75" style="52" customWidth="1"/>
    <col min="15" max="15" width="6.75" style="52" bestFit="1" customWidth="1"/>
    <col min="16" max="16384" width="9" style="52"/>
  </cols>
  <sheetData>
    <row r="6" spans="2:6">
      <c r="B6" s="50" t="s">
        <v>115</v>
      </c>
      <c r="C6" s="51" t="s">
        <v>26</v>
      </c>
      <c r="D6" s="51" t="s">
        <v>116</v>
      </c>
      <c r="E6" s="51" t="s">
        <v>117</v>
      </c>
      <c r="F6" s="51" t="s">
        <v>118</v>
      </c>
    </row>
    <row r="7" spans="2:6">
      <c r="B7" s="53" t="s">
        <v>119</v>
      </c>
      <c r="C7" s="54" t="s">
        <v>31</v>
      </c>
      <c r="D7" s="55">
        <v>42462</v>
      </c>
      <c r="E7" s="55">
        <v>42461</v>
      </c>
      <c r="F7" s="54">
        <f t="shared" ref="F7:F39" si="0">D7-E7</f>
        <v>1</v>
      </c>
    </row>
    <row r="8" spans="2:6">
      <c r="B8" s="53" t="s">
        <v>120</v>
      </c>
      <c r="C8" s="54" t="s">
        <v>31</v>
      </c>
      <c r="D8" s="55">
        <v>42456</v>
      </c>
      <c r="E8" s="55">
        <v>42457</v>
      </c>
      <c r="F8" s="54">
        <f t="shared" si="0"/>
        <v>-1</v>
      </c>
    </row>
    <row r="9" spans="2:6">
      <c r="B9" s="53" t="s">
        <v>121</v>
      </c>
      <c r="C9" s="54" t="s">
        <v>31</v>
      </c>
      <c r="D9" s="55">
        <v>42454</v>
      </c>
      <c r="E9" s="55">
        <v>42454</v>
      </c>
      <c r="F9" s="54">
        <f t="shared" si="0"/>
        <v>0</v>
      </c>
    </row>
    <row r="10" spans="2:6">
      <c r="B10" s="53" t="s">
        <v>122</v>
      </c>
      <c r="C10" s="54" t="s">
        <v>16</v>
      </c>
      <c r="D10" s="55">
        <v>42458</v>
      </c>
      <c r="E10" s="55">
        <v>42462</v>
      </c>
      <c r="F10" s="54">
        <f t="shared" si="0"/>
        <v>-4</v>
      </c>
    </row>
    <row r="11" spans="2:6">
      <c r="B11" s="53" t="s">
        <v>120</v>
      </c>
      <c r="C11" s="54" t="s">
        <v>16</v>
      </c>
      <c r="D11" s="55">
        <v>42456</v>
      </c>
      <c r="E11" s="55">
        <v>42456</v>
      </c>
      <c r="F11" s="54">
        <f t="shared" si="0"/>
        <v>0</v>
      </c>
    </row>
    <row r="12" spans="2:6">
      <c r="B12" s="53" t="s">
        <v>121</v>
      </c>
      <c r="C12" s="54" t="s">
        <v>16</v>
      </c>
      <c r="D12" s="55">
        <v>42448</v>
      </c>
      <c r="E12" s="55">
        <v>42452</v>
      </c>
      <c r="F12" s="54">
        <f t="shared" si="0"/>
        <v>-4</v>
      </c>
    </row>
    <row r="13" spans="2:6">
      <c r="B13" s="53" t="s">
        <v>122</v>
      </c>
      <c r="C13" s="54" t="s">
        <v>17</v>
      </c>
      <c r="D13" s="55">
        <v>42455</v>
      </c>
      <c r="E13" s="55">
        <v>42460</v>
      </c>
      <c r="F13" s="54">
        <f t="shared" si="0"/>
        <v>-5</v>
      </c>
    </row>
    <row r="14" spans="2:6">
      <c r="B14" s="53" t="s">
        <v>120</v>
      </c>
      <c r="C14" s="54" t="s">
        <v>17</v>
      </c>
      <c r="D14" s="55">
        <v>42453</v>
      </c>
      <c r="E14" s="55">
        <v>42455</v>
      </c>
      <c r="F14" s="54">
        <f t="shared" si="0"/>
        <v>-2</v>
      </c>
    </row>
    <row r="15" spans="2:6">
      <c r="B15" s="53" t="s">
        <v>121</v>
      </c>
      <c r="C15" s="54" t="s">
        <v>17</v>
      </c>
      <c r="D15" s="55">
        <v>42445</v>
      </c>
      <c r="E15" s="55">
        <v>42448</v>
      </c>
      <c r="F15" s="54">
        <f t="shared" si="0"/>
        <v>-3</v>
      </c>
    </row>
    <row r="16" spans="2:6">
      <c r="B16" s="53" t="s">
        <v>122</v>
      </c>
      <c r="C16" s="54" t="s">
        <v>34</v>
      </c>
      <c r="D16" s="55">
        <v>42460</v>
      </c>
      <c r="E16" s="55">
        <v>42465</v>
      </c>
      <c r="F16" s="54">
        <v>0</v>
      </c>
    </row>
    <row r="17" spans="2:6">
      <c r="B17" s="53" t="s">
        <v>120</v>
      </c>
      <c r="C17" s="54" t="s">
        <v>34</v>
      </c>
      <c r="D17" s="55">
        <v>42456</v>
      </c>
      <c r="E17" s="55">
        <v>42458</v>
      </c>
      <c r="F17" s="54">
        <f t="shared" si="0"/>
        <v>-2</v>
      </c>
    </row>
    <row r="18" spans="2:6">
      <c r="B18" s="53" t="s">
        <v>121</v>
      </c>
      <c r="C18" s="54" t="s">
        <v>34</v>
      </c>
      <c r="D18" s="55">
        <v>42452</v>
      </c>
      <c r="E18" s="55">
        <v>42450</v>
      </c>
      <c r="F18" s="54">
        <f t="shared" si="0"/>
        <v>2</v>
      </c>
    </row>
    <row r="19" spans="2:6">
      <c r="B19" s="53" t="s">
        <v>122</v>
      </c>
      <c r="C19" s="54" t="s">
        <v>15</v>
      </c>
      <c r="D19" s="55">
        <v>42455</v>
      </c>
      <c r="E19" s="55">
        <v>42457</v>
      </c>
      <c r="F19" s="54">
        <f t="shared" si="0"/>
        <v>-2</v>
      </c>
    </row>
    <row r="20" spans="2:6">
      <c r="B20" s="53" t="s">
        <v>120</v>
      </c>
      <c r="C20" s="54" t="s">
        <v>15</v>
      </c>
      <c r="D20" s="55">
        <v>42447</v>
      </c>
      <c r="E20" s="55">
        <v>42448</v>
      </c>
      <c r="F20" s="54">
        <f t="shared" si="0"/>
        <v>-1</v>
      </c>
    </row>
    <row r="21" spans="2:6">
      <c r="B21" s="53" t="s">
        <v>121</v>
      </c>
      <c r="C21" s="54" t="s">
        <v>15</v>
      </c>
      <c r="D21" s="55">
        <v>42445</v>
      </c>
      <c r="E21" s="55">
        <v>42446</v>
      </c>
      <c r="F21" s="54">
        <f t="shared" si="0"/>
        <v>-1</v>
      </c>
    </row>
    <row r="22" spans="2:6">
      <c r="B22" s="53" t="s">
        <v>122</v>
      </c>
      <c r="C22" s="54" t="s">
        <v>35</v>
      </c>
      <c r="D22" s="55">
        <v>42452</v>
      </c>
      <c r="E22" s="55">
        <v>42453</v>
      </c>
      <c r="F22" s="54">
        <f t="shared" si="0"/>
        <v>-1</v>
      </c>
    </row>
    <row r="23" spans="2:6">
      <c r="B23" s="53" t="s">
        <v>120</v>
      </c>
      <c r="C23" s="54" t="s">
        <v>35</v>
      </c>
      <c r="D23" s="55">
        <v>42445</v>
      </c>
      <c r="E23" s="55">
        <v>42449</v>
      </c>
      <c r="F23" s="54">
        <f t="shared" si="0"/>
        <v>-4</v>
      </c>
    </row>
    <row r="24" spans="2:6">
      <c r="B24" s="53" t="s">
        <v>121</v>
      </c>
      <c r="C24" s="54" t="s">
        <v>35</v>
      </c>
      <c r="D24" s="55">
        <v>42444</v>
      </c>
      <c r="E24" s="55">
        <v>42443</v>
      </c>
      <c r="F24" s="54">
        <f t="shared" si="0"/>
        <v>1</v>
      </c>
    </row>
    <row r="25" spans="2:6">
      <c r="B25" s="53" t="s">
        <v>122</v>
      </c>
      <c r="C25" s="54" t="s">
        <v>14</v>
      </c>
      <c r="D25" s="55">
        <v>42466</v>
      </c>
      <c r="E25" s="55">
        <v>42470</v>
      </c>
      <c r="F25" s="54">
        <f t="shared" si="0"/>
        <v>-4</v>
      </c>
    </row>
    <row r="26" spans="2:6">
      <c r="B26" s="53" t="s">
        <v>121</v>
      </c>
      <c r="C26" s="54" t="s">
        <v>14</v>
      </c>
      <c r="D26" s="55">
        <v>42456</v>
      </c>
      <c r="E26" s="55">
        <v>42455</v>
      </c>
      <c r="F26" s="54">
        <f t="shared" si="0"/>
        <v>1</v>
      </c>
    </row>
    <row r="27" spans="2:6">
      <c r="B27" s="53" t="s">
        <v>120</v>
      </c>
      <c r="C27" s="54" t="s">
        <v>14</v>
      </c>
      <c r="D27" s="55">
        <v>42456</v>
      </c>
      <c r="E27" s="55">
        <v>42458</v>
      </c>
      <c r="F27" s="54">
        <f t="shared" si="0"/>
        <v>-2</v>
      </c>
    </row>
    <row r="28" spans="2:6">
      <c r="B28" s="53" t="s">
        <v>122</v>
      </c>
      <c r="C28" s="54" t="s">
        <v>36</v>
      </c>
      <c r="D28" s="55">
        <v>42467</v>
      </c>
      <c r="E28" s="55">
        <v>42470</v>
      </c>
      <c r="F28" s="54">
        <f t="shared" si="0"/>
        <v>-3</v>
      </c>
    </row>
    <row r="29" spans="2:6">
      <c r="B29" s="53" t="s">
        <v>120</v>
      </c>
      <c r="C29" s="54" t="s">
        <v>36</v>
      </c>
      <c r="D29" s="55">
        <v>42459</v>
      </c>
      <c r="E29" s="55">
        <v>42460</v>
      </c>
      <c r="F29" s="54">
        <f t="shared" si="0"/>
        <v>-1</v>
      </c>
    </row>
    <row r="30" spans="2:6">
      <c r="B30" s="53" t="s">
        <v>121</v>
      </c>
      <c r="C30" s="54" t="s">
        <v>36</v>
      </c>
      <c r="D30" s="55">
        <v>42458</v>
      </c>
      <c r="E30" s="55">
        <v>42460</v>
      </c>
      <c r="F30" s="54">
        <f t="shared" si="0"/>
        <v>-2</v>
      </c>
    </row>
    <row r="31" spans="2:6">
      <c r="B31" s="53" t="s">
        <v>122</v>
      </c>
      <c r="C31" s="54" t="s">
        <v>37</v>
      </c>
      <c r="D31" s="55">
        <v>42458</v>
      </c>
      <c r="E31" s="55">
        <v>42462</v>
      </c>
      <c r="F31" s="54">
        <f t="shared" si="0"/>
        <v>-4</v>
      </c>
    </row>
    <row r="32" spans="2:6">
      <c r="B32" s="53" t="s">
        <v>121</v>
      </c>
      <c r="C32" s="54" t="s">
        <v>37</v>
      </c>
      <c r="D32" s="55">
        <v>42453</v>
      </c>
      <c r="E32" s="55">
        <v>42452</v>
      </c>
      <c r="F32" s="54">
        <f t="shared" si="0"/>
        <v>1</v>
      </c>
    </row>
    <row r="33" spans="2:6">
      <c r="B33" s="53" t="s">
        <v>120</v>
      </c>
      <c r="C33" s="54" t="s">
        <v>37</v>
      </c>
      <c r="D33" s="55">
        <v>42452</v>
      </c>
      <c r="E33" s="55">
        <v>42449</v>
      </c>
      <c r="F33" s="54">
        <f t="shared" si="0"/>
        <v>3</v>
      </c>
    </row>
    <row r="34" spans="2:6">
      <c r="B34" s="53" t="s">
        <v>122</v>
      </c>
      <c r="C34" s="54" t="s">
        <v>38</v>
      </c>
      <c r="D34" s="55">
        <v>42469</v>
      </c>
      <c r="E34" s="55">
        <v>42473</v>
      </c>
      <c r="F34" s="54">
        <f t="shared" si="0"/>
        <v>-4</v>
      </c>
    </row>
    <row r="35" spans="2:6">
      <c r="B35" s="53" t="s">
        <v>120</v>
      </c>
      <c r="C35" s="54" t="s">
        <v>38</v>
      </c>
      <c r="D35" s="55">
        <v>42464</v>
      </c>
      <c r="E35" s="55">
        <v>42464</v>
      </c>
      <c r="F35" s="54">
        <f t="shared" si="0"/>
        <v>0</v>
      </c>
    </row>
    <row r="36" spans="2:6">
      <c r="B36" s="53" t="s">
        <v>121</v>
      </c>
      <c r="C36" s="54" t="s">
        <v>38</v>
      </c>
      <c r="D36" s="55">
        <v>42462</v>
      </c>
      <c r="E36" s="55">
        <v>42462</v>
      </c>
      <c r="F36" s="54">
        <f t="shared" si="0"/>
        <v>0</v>
      </c>
    </row>
    <row r="37" spans="2:6">
      <c r="B37" s="53" t="s">
        <v>122</v>
      </c>
      <c r="C37" s="54" t="s">
        <v>39</v>
      </c>
      <c r="D37" s="55">
        <v>42460</v>
      </c>
      <c r="E37" s="55">
        <v>42465</v>
      </c>
      <c r="F37" s="54">
        <f t="shared" si="0"/>
        <v>-5</v>
      </c>
    </row>
    <row r="38" spans="2:6">
      <c r="B38" s="53" t="s">
        <v>120</v>
      </c>
      <c r="C38" s="54" t="s">
        <v>39</v>
      </c>
      <c r="D38" s="55">
        <v>42457</v>
      </c>
      <c r="E38" s="55">
        <v>42459</v>
      </c>
      <c r="F38" s="54">
        <f t="shared" si="0"/>
        <v>-2</v>
      </c>
    </row>
    <row r="39" spans="2:6">
      <c r="B39" s="53" t="s">
        <v>121</v>
      </c>
      <c r="C39" s="54" t="s">
        <v>39</v>
      </c>
      <c r="D39" s="55">
        <v>42452</v>
      </c>
      <c r="E39" s="55">
        <v>42455</v>
      </c>
      <c r="F39" s="54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2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2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1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33"/>
  <sheetViews>
    <sheetView zoomScaleNormal="100" workbookViewId="0">
      <selection activeCell="L6" sqref="L6"/>
    </sheetView>
  </sheetViews>
  <sheetFormatPr defaultRowHeight="16.899999999999999"/>
  <cols>
    <col min="1" max="1" width="1.625" customWidth="1"/>
    <col min="5" max="5" width="14.375" bestFit="1" customWidth="1"/>
    <col min="6" max="6" width="11.125" bestFit="1" customWidth="1"/>
    <col min="8" max="8" width="11.5" customWidth="1"/>
  </cols>
  <sheetData>
    <row r="1" spans="2:8">
      <c r="G1" t="s">
        <v>156</v>
      </c>
      <c r="H1" s="66">
        <v>44287</v>
      </c>
    </row>
    <row r="2" spans="2:8">
      <c r="B2" s="11" t="s">
        <v>41</v>
      </c>
      <c r="C2" s="11" t="s">
        <v>157</v>
      </c>
      <c r="D2" s="11" t="s">
        <v>158</v>
      </c>
      <c r="E2" s="11" t="s">
        <v>159</v>
      </c>
      <c r="F2" s="11" t="s">
        <v>160</v>
      </c>
      <c r="G2" s="11" t="s">
        <v>161</v>
      </c>
      <c r="H2" s="11" t="s">
        <v>162</v>
      </c>
    </row>
    <row r="3" spans="2:8">
      <c r="B3" s="11" t="s">
        <v>163</v>
      </c>
      <c r="C3" s="11" t="s">
        <v>164</v>
      </c>
      <c r="D3" s="8">
        <v>313</v>
      </c>
      <c r="E3" s="11" t="s">
        <v>165</v>
      </c>
      <c r="F3" s="67">
        <v>44324</v>
      </c>
      <c r="G3" s="93">
        <f>_xlfn.DAYS($H$1,F3)</f>
        <v>-37</v>
      </c>
      <c r="H3" s="11" t="s">
        <v>166</v>
      </c>
    </row>
    <row r="4" spans="2:8">
      <c r="B4" s="11" t="s">
        <v>167</v>
      </c>
      <c r="C4" s="11" t="s">
        <v>164</v>
      </c>
      <c r="D4" s="8">
        <v>320</v>
      </c>
      <c r="E4" s="11" t="s">
        <v>165</v>
      </c>
      <c r="F4" s="67">
        <v>44270</v>
      </c>
      <c r="G4" s="93">
        <f t="shared" ref="G4:G33" si="0">_xlfn.DAYS($H$1,F4)</f>
        <v>17</v>
      </c>
      <c r="H4" s="11" t="s">
        <v>168</v>
      </c>
    </row>
    <row r="5" spans="2:8">
      <c r="B5" s="11" t="s">
        <v>169</v>
      </c>
      <c r="C5" s="11" t="s">
        <v>170</v>
      </c>
      <c r="D5" s="8">
        <v>350</v>
      </c>
      <c r="E5" s="11" t="s">
        <v>171</v>
      </c>
      <c r="F5" s="67">
        <v>44325</v>
      </c>
      <c r="G5" s="93">
        <f t="shared" si="0"/>
        <v>-38</v>
      </c>
      <c r="H5" s="11" t="s">
        <v>172</v>
      </c>
    </row>
    <row r="6" spans="2:8">
      <c r="B6" s="11" t="s">
        <v>173</v>
      </c>
      <c r="C6" s="11" t="s">
        <v>170</v>
      </c>
      <c r="D6" s="8">
        <v>255</v>
      </c>
      <c r="E6" s="11" t="s">
        <v>171</v>
      </c>
      <c r="F6" s="67">
        <v>44287</v>
      </c>
      <c r="G6" s="93">
        <f t="shared" si="0"/>
        <v>0</v>
      </c>
      <c r="H6" s="11" t="s">
        <v>174</v>
      </c>
    </row>
    <row r="7" spans="2:8">
      <c r="B7" s="11" t="s">
        <v>175</v>
      </c>
      <c r="C7" s="11" t="s">
        <v>164</v>
      </c>
      <c r="D7" s="8">
        <v>80</v>
      </c>
      <c r="E7" s="11" t="s">
        <v>171</v>
      </c>
      <c r="F7" s="67">
        <v>44200</v>
      </c>
      <c r="G7" s="93">
        <f t="shared" si="0"/>
        <v>87</v>
      </c>
      <c r="H7" s="11"/>
    </row>
    <row r="8" spans="2:8">
      <c r="B8" s="11" t="s">
        <v>176</v>
      </c>
      <c r="C8" s="11" t="s">
        <v>170</v>
      </c>
      <c r="D8" s="8">
        <v>394</v>
      </c>
      <c r="E8" s="11" t="s">
        <v>171</v>
      </c>
      <c r="F8" s="67">
        <v>44275</v>
      </c>
      <c r="G8" s="93">
        <f t="shared" si="0"/>
        <v>12</v>
      </c>
      <c r="H8" s="11" t="s">
        <v>177</v>
      </c>
    </row>
    <row r="9" spans="2:8">
      <c r="B9" s="11" t="s">
        <v>178</v>
      </c>
      <c r="C9" s="11" t="s">
        <v>164</v>
      </c>
      <c r="D9" s="8">
        <v>380</v>
      </c>
      <c r="E9" s="11" t="s">
        <v>165</v>
      </c>
      <c r="F9" s="67">
        <v>44246</v>
      </c>
      <c r="G9" s="93">
        <f t="shared" si="0"/>
        <v>41</v>
      </c>
      <c r="H9" s="11" t="s">
        <v>179</v>
      </c>
    </row>
    <row r="10" spans="2:8">
      <c r="B10" s="11" t="s">
        <v>180</v>
      </c>
      <c r="C10" s="11" t="s">
        <v>164</v>
      </c>
      <c r="D10" s="8">
        <v>357</v>
      </c>
      <c r="E10" s="11" t="s">
        <v>165</v>
      </c>
      <c r="F10" s="67">
        <v>44307</v>
      </c>
      <c r="G10" s="93">
        <f t="shared" si="0"/>
        <v>-20</v>
      </c>
      <c r="H10" s="11" t="s">
        <v>181</v>
      </c>
    </row>
    <row r="11" spans="2:8">
      <c r="B11" s="11" t="s">
        <v>182</v>
      </c>
      <c r="C11" s="11" t="s">
        <v>164</v>
      </c>
      <c r="D11" s="8">
        <v>990</v>
      </c>
      <c r="E11" s="11" t="s">
        <v>183</v>
      </c>
      <c r="F11" s="67">
        <v>44280</v>
      </c>
      <c r="G11" s="93">
        <f t="shared" si="0"/>
        <v>7</v>
      </c>
      <c r="H11" s="11" t="s">
        <v>184</v>
      </c>
    </row>
    <row r="12" spans="2:8">
      <c r="B12" s="11" t="s">
        <v>185</v>
      </c>
      <c r="C12" s="11" t="s">
        <v>164</v>
      </c>
      <c r="D12" s="8">
        <v>430</v>
      </c>
      <c r="E12" s="11" t="s">
        <v>183</v>
      </c>
      <c r="F12" s="67">
        <v>44258</v>
      </c>
      <c r="G12" s="93">
        <f t="shared" si="0"/>
        <v>29</v>
      </c>
      <c r="H12" s="11" t="s">
        <v>186</v>
      </c>
    </row>
    <row r="13" spans="2:8">
      <c r="B13" s="11" t="s">
        <v>187</v>
      </c>
      <c r="C13" s="11" t="s">
        <v>164</v>
      </c>
      <c r="D13" s="8">
        <v>277</v>
      </c>
      <c r="E13" s="11" t="s">
        <v>165</v>
      </c>
      <c r="F13" s="67">
        <v>44357</v>
      </c>
      <c r="G13" s="93">
        <f t="shared" si="0"/>
        <v>-70</v>
      </c>
      <c r="H13" s="11" t="s">
        <v>188</v>
      </c>
    </row>
    <row r="14" spans="2:8">
      <c r="B14" s="11" t="s">
        <v>189</v>
      </c>
      <c r="C14" s="11" t="s">
        <v>170</v>
      </c>
      <c r="D14" s="8">
        <v>445</v>
      </c>
      <c r="E14" s="11" t="s">
        <v>165</v>
      </c>
      <c r="F14" s="67">
        <v>44342</v>
      </c>
      <c r="G14" s="93">
        <f t="shared" si="0"/>
        <v>-55</v>
      </c>
      <c r="H14" s="11" t="s">
        <v>190</v>
      </c>
    </row>
    <row r="15" spans="2:8">
      <c r="B15" s="11" t="s">
        <v>191</v>
      </c>
      <c r="C15" s="11" t="s">
        <v>164</v>
      </c>
      <c r="D15" s="8">
        <v>210</v>
      </c>
      <c r="E15" s="11" t="s">
        <v>165</v>
      </c>
      <c r="F15" s="67">
        <v>44257</v>
      </c>
      <c r="G15" s="93">
        <f t="shared" si="0"/>
        <v>30</v>
      </c>
      <c r="H15" s="11" t="s">
        <v>192</v>
      </c>
    </row>
    <row r="16" spans="2:8">
      <c r="B16" s="11" t="s">
        <v>193</v>
      </c>
      <c r="C16" s="11" t="s">
        <v>170</v>
      </c>
      <c r="D16" s="8">
        <v>521</v>
      </c>
      <c r="E16" s="11" t="s">
        <v>165</v>
      </c>
      <c r="F16" s="67">
        <v>44320</v>
      </c>
      <c r="G16" s="93">
        <f t="shared" si="0"/>
        <v>-33</v>
      </c>
      <c r="H16" s="11" t="s">
        <v>194</v>
      </c>
    </row>
    <row r="17" spans="2:8">
      <c r="B17" s="11" t="s">
        <v>195</v>
      </c>
      <c r="C17" s="11" t="s">
        <v>170</v>
      </c>
      <c r="D17" s="8">
        <v>558</v>
      </c>
      <c r="E17" s="11" t="s">
        <v>165</v>
      </c>
      <c r="F17" s="67">
        <v>44273</v>
      </c>
      <c r="G17" s="93">
        <f t="shared" si="0"/>
        <v>14</v>
      </c>
      <c r="H17" s="11" t="s">
        <v>196</v>
      </c>
    </row>
    <row r="18" spans="2:8">
      <c r="B18" s="11" t="s">
        <v>197</v>
      </c>
      <c r="C18" s="11" t="s">
        <v>170</v>
      </c>
      <c r="D18" s="8">
        <v>289</v>
      </c>
      <c r="E18" s="11" t="s">
        <v>171</v>
      </c>
      <c r="F18" s="67">
        <v>44315</v>
      </c>
      <c r="G18" s="93">
        <f t="shared" si="0"/>
        <v>-28</v>
      </c>
      <c r="H18" s="11" t="s">
        <v>198</v>
      </c>
    </row>
    <row r="19" spans="2:8">
      <c r="B19" s="11" t="s">
        <v>199</v>
      </c>
      <c r="C19" s="11" t="s">
        <v>170</v>
      </c>
      <c r="D19" s="8">
        <v>395</v>
      </c>
      <c r="E19" s="11" t="s">
        <v>171</v>
      </c>
      <c r="F19" s="67">
        <v>44365</v>
      </c>
      <c r="G19" s="93">
        <f t="shared" si="0"/>
        <v>-78</v>
      </c>
      <c r="H19" s="11" t="s">
        <v>200</v>
      </c>
    </row>
    <row r="20" spans="2:8">
      <c r="B20" s="11" t="s">
        <v>201</v>
      </c>
      <c r="C20" s="11" t="s">
        <v>164</v>
      </c>
      <c r="D20" s="8">
        <v>390</v>
      </c>
      <c r="E20" s="11" t="s">
        <v>165</v>
      </c>
      <c r="F20" s="67">
        <v>44265</v>
      </c>
      <c r="G20" s="93">
        <f t="shared" si="0"/>
        <v>22</v>
      </c>
      <c r="H20" s="11" t="s">
        <v>202</v>
      </c>
    </row>
    <row r="21" spans="2:8">
      <c r="B21" s="11" t="s">
        <v>203</v>
      </c>
      <c r="C21" s="11" t="s">
        <v>164</v>
      </c>
      <c r="D21" s="8">
        <v>250</v>
      </c>
      <c r="E21" s="11" t="s">
        <v>165</v>
      </c>
      <c r="F21" s="67">
        <v>44346</v>
      </c>
      <c r="G21" s="93">
        <f t="shared" si="0"/>
        <v>-59</v>
      </c>
      <c r="H21" s="11" t="s">
        <v>204</v>
      </c>
    </row>
    <row r="22" spans="2:8">
      <c r="B22" s="11" t="s">
        <v>205</v>
      </c>
      <c r="C22" s="11" t="s">
        <v>164</v>
      </c>
      <c r="D22" s="8">
        <v>170</v>
      </c>
      <c r="E22" s="11" t="s">
        <v>171</v>
      </c>
      <c r="F22" s="67">
        <v>44290</v>
      </c>
      <c r="G22" s="93">
        <f t="shared" si="0"/>
        <v>-3</v>
      </c>
      <c r="H22" s="11" t="s">
        <v>206</v>
      </c>
    </row>
    <row r="23" spans="2:8">
      <c r="B23" s="11" t="s">
        <v>207</v>
      </c>
      <c r="C23" s="11" t="s">
        <v>170</v>
      </c>
      <c r="D23" s="8">
        <v>110</v>
      </c>
      <c r="E23" s="11" t="s">
        <v>208</v>
      </c>
      <c r="F23" s="67">
        <v>44175</v>
      </c>
      <c r="G23" s="93">
        <f t="shared" si="0"/>
        <v>112</v>
      </c>
      <c r="H23" s="11"/>
    </row>
    <row r="24" spans="2:8">
      <c r="B24" s="11" t="s">
        <v>209</v>
      </c>
      <c r="C24" s="11" t="s">
        <v>164</v>
      </c>
      <c r="D24" s="8">
        <v>570</v>
      </c>
      <c r="E24" s="11" t="s">
        <v>183</v>
      </c>
      <c r="F24" s="67">
        <v>44295</v>
      </c>
      <c r="G24" s="93">
        <f t="shared" si="0"/>
        <v>-8</v>
      </c>
      <c r="H24" s="11" t="s">
        <v>210</v>
      </c>
    </row>
    <row r="25" spans="2:8">
      <c r="B25" s="11" t="s">
        <v>211</v>
      </c>
      <c r="C25" s="11" t="s">
        <v>164</v>
      </c>
      <c r="D25" s="8">
        <v>250</v>
      </c>
      <c r="E25" s="11" t="s">
        <v>165</v>
      </c>
      <c r="F25" s="67">
        <v>44369</v>
      </c>
      <c r="G25" s="93">
        <f t="shared" si="0"/>
        <v>-82</v>
      </c>
      <c r="H25" s="11" t="s">
        <v>212</v>
      </c>
    </row>
    <row r="26" spans="2:8">
      <c r="B26" s="11" t="s">
        <v>213</v>
      </c>
      <c r="C26" s="11" t="s">
        <v>164</v>
      </c>
      <c r="D26" s="8">
        <v>387</v>
      </c>
      <c r="E26" s="11" t="s">
        <v>165</v>
      </c>
      <c r="F26" s="67">
        <v>44343</v>
      </c>
      <c r="G26" s="93">
        <f t="shared" si="0"/>
        <v>-56</v>
      </c>
      <c r="H26" s="11" t="s">
        <v>214</v>
      </c>
    </row>
    <row r="27" spans="2:8">
      <c r="B27" s="11" t="s">
        <v>215</v>
      </c>
      <c r="C27" s="11" t="s">
        <v>170</v>
      </c>
      <c r="D27" s="8">
        <v>50</v>
      </c>
      <c r="E27" s="11" t="s">
        <v>208</v>
      </c>
      <c r="F27" s="67">
        <v>44233</v>
      </c>
      <c r="G27" s="93">
        <f t="shared" si="0"/>
        <v>54</v>
      </c>
      <c r="H27" s="11" t="s">
        <v>216</v>
      </c>
    </row>
    <row r="28" spans="2:8">
      <c r="B28" s="11" t="s">
        <v>217</v>
      </c>
      <c r="C28" s="11" t="s">
        <v>170</v>
      </c>
      <c r="D28" s="8">
        <v>153</v>
      </c>
      <c r="E28" s="11" t="s">
        <v>208</v>
      </c>
      <c r="F28" s="67">
        <v>44249</v>
      </c>
      <c r="G28" s="93">
        <f t="shared" si="0"/>
        <v>38</v>
      </c>
      <c r="H28" s="11" t="s">
        <v>218</v>
      </c>
    </row>
    <row r="29" spans="2:8">
      <c r="B29" s="11" t="s">
        <v>219</v>
      </c>
      <c r="C29" s="11" t="s">
        <v>164</v>
      </c>
      <c r="D29" s="8">
        <v>890</v>
      </c>
      <c r="E29" s="11" t="s">
        <v>183</v>
      </c>
      <c r="F29" s="67">
        <v>44283</v>
      </c>
      <c r="G29" s="93">
        <f t="shared" si="0"/>
        <v>4</v>
      </c>
      <c r="H29" s="11" t="s">
        <v>220</v>
      </c>
    </row>
    <row r="30" spans="2:8">
      <c r="B30" s="11" t="s">
        <v>221</v>
      </c>
      <c r="C30" s="11" t="s">
        <v>170</v>
      </c>
      <c r="D30" s="8">
        <v>415</v>
      </c>
      <c r="E30" s="11" t="s">
        <v>165</v>
      </c>
      <c r="F30" s="67">
        <v>44234</v>
      </c>
      <c r="G30" s="93">
        <f t="shared" si="0"/>
        <v>53</v>
      </c>
      <c r="H30" s="11" t="s">
        <v>222</v>
      </c>
    </row>
    <row r="31" spans="2:8">
      <c r="B31" s="11" t="s">
        <v>223</v>
      </c>
      <c r="C31" s="11" t="s">
        <v>170</v>
      </c>
      <c r="D31" s="8">
        <v>382</v>
      </c>
      <c r="E31" s="11" t="s">
        <v>171</v>
      </c>
      <c r="F31" s="67">
        <v>44236</v>
      </c>
      <c r="G31" s="93">
        <f t="shared" si="0"/>
        <v>51</v>
      </c>
      <c r="H31" s="11" t="s">
        <v>224</v>
      </c>
    </row>
    <row r="32" spans="2:8">
      <c r="B32" s="11" t="s">
        <v>225</v>
      </c>
      <c r="C32" s="11" t="s">
        <v>164</v>
      </c>
      <c r="D32" s="8">
        <v>280</v>
      </c>
      <c r="E32" s="11" t="s">
        <v>165</v>
      </c>
      <c r="F32" s="67">
        <v>44311</v>
      </c>
      <c r="G32" s="93">
        <f t="shared" si="0"/>
        <v>-24</v>
      </c>
      <c r="H32" s="11" t="s">
        <v>226</v>
      </c>
    </row>
    <row r="33" spans="2:8">
      <c r="B33" s="11" t="s">
        <v>227</v>
      </c>
      <c r="C33" s="11" t="s">
        <v>164</v>
      </c>
      <c r="D33" s="8">
        <v>597</v>
      </c>
      <c r="E33" s="11" t="s">
        <v>183</v>
      </c>
      <c r="F33" s="67">
        <v>44226</v>
      </c>
      <c r="G33" s="93">
        <f t="shared" si="0"/>
        <v>61</v>
      </c>
      <c r="H33" s="11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3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별표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C9440B8-D6CF-4208-9C3D-7B474442AA34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1" id="{2B0378FB-EDA1-482A-B794-95231ED5EC62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D3:D33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H28"/>
  <sheetViews>
    <sheetView zoomScaleNormal="100" workbookViewId="0">
      <selection activeCell="K8" sqref="K8"/>
    </sheetView>
  </sheetViews>
  <sheetFormatPr defaultRowHeight="16.899999999999999"/>
  <cols>
    <col min="1" max="1" width="1.625" customWidth="1"/>
    <col min="2" max="2" width="12.125" bestFit="1" customWidth="1"/>
    <col min="3" max="3" width="21.375" bestFit="1" customWidth="1"/>
    <col min="4" max="4" width="12" customWidth="1"/>
    <col min="5" max="5" width="10" customWidth="1"/>
    <col min="6" max="6" width="11.875" customWidth="1"/>
    <col min="7" max="8" width="9.125" customWidth="1"/>
  </cols>
  <sheetData>
    <row r="2" spans="2:8">
      <c r="B2" s="68" t="s">
        <v>228</v>
      </c>
      <c r="C2" s="69" t="s">
        <v>229</v>
      </c>
      <c r="D2" s="70" t="s">
        <v>230</v>
      </c>
      <c r="E2" s="69" t="s">
        <v>231</v>
      </c>
      <c r="F2" s="69" t="s">
        <v>232</v>
      </c>
      <c r="G2" s="68" t="s">
        <v>233</v>
      </c>
      <c r="H2" s="68" t="s">
        <v>234</v>
      </c>
    </row>
    <row r="3" spans="2:8">
      <c r="B3" s="71" t="s">
        <v>235</v>
      </c>
      <c r="C3" s="71" t="s">
        <v>236</v>
      </c>
      <c r="D3" s="72">
        <v>43977</v>
      </c>
      <c r="E3" s="73">
        <v>13500</v>
      </c>
      <c r="F3" s="71" t="s">
        <v>237</v>
      </c>
      <c r="G3" s="94">
        <v>318</v>
      </c>
      <c r="H3" s="73">
        <v>500</v>
      </c>
    </row>
    <row r="4" spans="2:8">
      <c r="B4" s="71" t="s">
        <v>238</v>
      </c>
      <c r="C4" s="71" t="s">
        <v>239</v>
      </c>
      <c r="D4" s="72">
        <v>43980</v>
      </c>
      <c r="E4" s="73">
        <v>18000</v>
      </c>
      <c r="F4" s="71" t="s">
        <v>240</v>
      </c>
      <c r="G4" s="94">
        <v>125</v>
      </c>
      <c r="H4" s="73">
        <v>1000</v>
      </c>
    </row>
    <row r="5" spans="2:8">
      <c r="B5" s="71" t="s">
        <v>241</v>
      </c>
      <c r="C5" s="71" t="s">
        <v>242</v>
      </c>
      <c r="D5" s="72">
        <v>43983</v>
      </c>
      <c r="E5" s="73">
        <v>29500</v>
      </c>
      <c r="F5" s="71" t="s">
        <v>243</v>
      </c>
      <c r="G5" s="94">
        <v>152</v>
      </c>
      <c r="H5" s="73">
        <v>1000</v>
      </c>
    </row>
    <row r="6" spans="2:8">
      <c r="B6" s="71" t="s">
        <v>244</v>
      </c>
      <c r="C6" s="71" t="s">
        <v>245</v>
      </c>
      <c r="D6" s="72">
        <v>43986</v>
      </c>
      <c r="E6" s="73">
        <v>10350</v>
      </c>
      <c r="F6" s="71" t="s">
        <v>237</v>
      </c>
      <c r="G6" s="94">
        <v>336</v>
      </c>
      <c r="H6" s="73">
        <v>1500</v>
      </c>
    </row>
    <row r="7" spans="2:8">
      <c r="B7" s="71" t="s">
        <v>246</v>
      </c>
      <c r="C7" s="71" t="s">
        <v>247</v>
      </c>
      <c r="D7" s="72">
        <v>43989</v>
      </c>
      <c r="E7" s="73">
        <v>25000</v>
      </c>
      <c r="F7" s="71" t="s">
        <v>243</v>
      </c>
      <c r="G7" s="94">
        <v>352</v>
      </c>
      <c r="H7" s="73">
        <v>1000</v>
      </c>
    </row>
    <row r="8" spans="2:8">
      <c r="B8" s="71" t="s">
        <v>248</v>
      </c>
      <c r="C8" s="71" t="s">
        <v>249</v>
      </c>
      <c r="D8" s="72">
        <v>43992</v>
      </c>
      <c r="E8" s="73">
        <v>25000</v>
      </c>
      <c r="F8" s="71" t="s">
        <v>243</v>
      </c>
      <c r="G8" s="94">
        <v>196</v>
      </c>
      <c r="H8" s="73">
        <v>500</v>
      </c>
    </row>
    <row r="9" spans="2:8">
      <c r="B9" s="71" t="s">
        <v>250</v>
      </c>
      <c r="C9" s="71" t="s">
        <v>251</v>
      </c>
      <c r="D9" s="72">
        <v>44017</v>
      </c>
      <c r="E9" s="73">
        <v>5600</v>
      </c>
      <c r="F9" s="71" t="s">
        <v>252</v>
      </c>
      <c r="G9" s="94">
        <v>184</v>
      </c>
      <c r="H9" s="73">
        <v>500</v>
      </c>
    </row>
    <row r="10" spans="2:8">
      <c r="B10" s="71" t="s">
        <v>253</v>
      </c>
      <c r="C10" s="71" t="s">
        <v>254</v>
      </c>
      <c r="D10" s="72">
        <v>44042</v>
      </c>
      <c r="E10" s="73">
        <v>16500</v>
      </c>
      <c r="F10" s="71" t="s">
        <v>255</v>
      </c>
      <c r="G10" s="94">
        <v>320</v>
      </c>
      <c r="H10" s="73">
        <v>1000</v>
      </c>
    </row>
    <row r="11" spans="2:8">
      <c r="B11" s="71" t="s">
        <v>256</v>
      </c>
      <c r="C11" s="71" t="s">
        <v>257</v>
      </c>
      <c r="D11" s="72">
        <v>44067</v>
      </c>
      <c r="E11" s="73">
        <v>12600</v>
      </c>
      <c r="F11" s="71" t="s">
        <v>237</v>
      </c>
      <c r="G11" s="94">
        <v>214</v>
      </c>
      <c r="H11" s="73">
        <v>10000</v>
      </c>
    </row>
    <row r="12" spans="2:8">
      <c r="B12" s="71" t="s">
        <v>258</v>
      </c>
      <c r="C12" s="71" t="s">
        <v>259</v>
      </c>
      <c r="D12" s="72">
        <v>44092</v>
      </c>
      <c r="E12" s="73">
        <v>10800</v>
      </c>
      <c r="F12" s="71" t="s">
        <v>243</v>
      </c>
      <c r="G12" s="94">
        <v>367</v>
      </c>
      <c r="H12" s="73">
        <v>1000</v>
      </c>
    </row>
    <row r="13" spans="2:8">
      <c r="B13" s="71" t="s">
        <v>260</v>
      </c>
      <c r="C13" s="71" t="s">
        <v>261</v>
      </c>
      <c r="D13" s="72">
        <v>44117</v>
      </c>
      <c r="E13" s="73">
        <v>7200</v>
      </c>
      <c r="F13" s="71" t="s">
        <v>240</v>
      </c>
      <c r="G13" s="94">
        <v>191</v>
      </c>
      <c r="H13" s="73">
        <v>500</v>
      </c>
    </row>
    <row r="14" spans="2:8">
      <c r="B14" s="71" t="s">
        <v>262</v>
      </c>
      <c r="C14" s="71" t="s">
        <v>263</v>
      </c>
      <c r="D14" s="72">
        <v>44142</v>
      </c>
      <c r="E14" s="73">
        <v>9900</v>
      </c>
      <c r="F14" s="71" t="s">
        <v>243</v>
      </c>
      <c r="G14" s="94">
        <v>304</v>
      </c>
      <c r="H14" s="73">
        <v>1000</v>
      </c>
    </row>
    <row r="15" spans="2:8">
      <c r="B15" s="71" t="s">
        <v>264</v>
      </c>
      <c r="C15" s="71" t="s">
        <v>265</v>
      </c>
      <c r="D15" s="72">
        <v>44167</v>
      </c>
      <c r="E15" s="73">
        <v>13500</v>
      </c>
      <c r="F15" s="71" t="s">
        <v>240</v>
      </c>
      <c r="G15" s="94">
        <v>300</v>
      </c>
      <c r="H15" s="73">
        <v>2000</v>
      </c>
    </row>
    <row r="16" spans="2:8">
      <c r="B16" s="71" t="s">
        <v>266</v>
      </c>
      <c r="C16" s="71" t="s">
        <v>267</v>
      </c>
      <c r="D16" s="72">
        <v>44192</v>
      </c>
      <c r="E16" s="73">
        <v>14250</v>
      </c>
      <c r="F16" s="71" t="s">
        <v>240</v>
      </c>
      <c r="G16" s="94">
        <v>58</v>
      </c>
      <c r="H16" s="73">
        <v>1000</v>
      </c>
    </row>
    <row r="17" spans="2:8">
      <c r="B17" s="71" t="s">
        <v>268</v>
      </c>
      <c r="C17" s="71" t="s">
        <v>269</v>
      </c>
      <c r="D17" s="72">
        <v>44217</v>
      </c>
      <c r="E17" s="73">
        <v>20700</v>
      </c>
      <c r="F17" s="71" t="s">
        <v>255</v>
      </c>
      <c r="G17" s="94">
        <v>376</v>
      </c>
      <c r="H17" s="73">
        <v>1000</v>
      </c>
    </row>
    <row r="18" spans="2:8">
      <c r="B18" s="71" t="s">
        <v>270</v>
      </c>
      <c r="C18" s="71" t="s">
        <v>271</v>
      </c>
      <c r="D18" s="72">
        <v>44242</v>
      </c>
      <c r="E18" s="73">
        <v>13500</v>
      </c>
      <c r="F18" s="71" t="s">
        <v>255</v>
      </c>
      <c r="G18" s="94">
        <v>302</v>
      </c>
      <c r="H18" s="73">
        <v>1000</v>
      </c>
    </row>
    <row r="19" spans="2:8">
      <c r="B19" s="71" t="s">
        <v>272</v>
      </c>
      <c r="C19" s="71" t="s">
        <v>273</v>
      </c>
      <c r="D19" s="72">
        <v>44258</v>
      </c>
      <c r="E19" s="73">
        <v>24300</v>
      </c>
      <c r="F19" s="71" t="s">
        <v>237</v>
      </c>
      <c r="G19" s="94">
        <v>748</v>
      </c>
      <c r="H19" s="73">
        <v>2000</v>
      </c>
    </row>
    <row r="20" spans="2:8">
      <c r="B20" s="71" t="s">
        <v>274</v>
      </c>
      <c r="C20" s="71" t="s">
        <v>275</v>
      </c>
      <c r="D20" s="72">
        <v>44274</v>
      </c>
      <c r="E20" s="73">
        <v>25300</v>
      </c>
      <c r="F20" s="71" t="s">
        <v>255</v>
      </c>
      <c r="G20" s="94">
        <v>80</v>
      </c>
      <c r="H20" s="73">
        <v>500</v>
      </c>
    </row>
    <row r="21" spans="2:8">
      <c r="B21" s="71" t="s">
        <v>276</v>
      </c>
      <c r="C21" s="71" t="s">
        <v>277</v>
      </c>
      <c r="D21" s="72">
        <v>44290</v>
      </c>
      <c r="E21" s="73">
        <v>9900</v>
      </c>
      <c r="F21" s="71" t="s">
        <v>243</v>
      </c>
      <c r="G21" s="94">
        <v>91</v>
      </c>
      <c r="H21" s="73">
        <v>1000</v>
      </c>
    </row>
    <row r="22" spans="2:8">
      <c r="B22" s="71" t="s">
        <v>278</v>
      </c>
      <c r="C22" s="71" t="s">
        <v>279</v>
      </c>
      <c r="D22" s="72">
        <v>44306</v>
      </c>
      <c r="E22" s="73">
        <v>8100</v>
      </c>
      <c r="F22" s="71" t="s">
        <v>252</v>
      </c>
      <c r="G22" s="94">
        <v>146</v>
      </c>
      <c r="H22" s="73">
        <v>1000</v>
      </c>
    </row>
    <row r="23" spans="2:8">
      <c r="B23" s="71" t="s">
        <v>280</v>
      </c>
      <c r="C23" s="71" t="s">
        <v>281</v>
      </c>
      <c r="D23" s="72">
        <v>44322</v>
      </c>
      <c r="E23" s="73">
        <v>11700</v>
      </c>
      <c r="F23" s="71" t="s">
        <v>243</v>
      </c>
      <c r="G23" s="94">
        <v>392</v>
      </c>
      <c r="H23" s="73">
        <v>1500</v>
      </c>
    </row>
    <row r="24" spans="2:8">
      <c r="B24" s="71" t="s">
        <v>282</v>
      </c>
      <c r="C24" s="71" t="s">
        <v>283</v>
      </c>
      <c r="D24" s="72">
        <v>44338</v>
      </c>
      <c r="E24" s="73">
        <v>25200</v>
      </c>
      <c r="F24" s="71" t="s">
        <v>255</v>
      </c>
      <c r="G24" s="94">
        <v>518</v>
      </c>
      <c r="H24" s="73">
        <v>1500</v>
      </c>
    </row>
    <row r="25" spans="2:8">
      <c r="B25" s="71" t="s">
        <v>284</v>
      </c>
      <c r="C25" s="71" t="s">
        <v>285</v>
      </c>
      <c r="D25" s="72">
        <v>44354</v>
      </c>
      <c r="E25" s="73">
        <v>37800</v>
      </c>
      <c r="F25" s="71" t="s">
        <v>237</v>
      </c>
      <c r="G25" s="94">
        <v>1308</v>
      </c>
      <c r="H25" s="73">
        <v>2000</v>
      </c>
    </row>
    <row r="26" spans="2:8">
      <c r="B26" s="71" t="s">
        <v>286</v>
      </c>
      <c r="C26" s="71" t="s">
        <v>287</v>
      </c>
      <c r="D26" s="72">
        <v>44370</v>
      </c>
      <c r="E26" s="73">
        <v>7200</v>
      </c>
      <c r="F26" s="71" t="s">
        <v>243</v>
      </c>
      <c r="G26" s="94">
        <v>113</v>
      </c>
      <c r="H26" s="73">
        <v>1500</v>
      </c>
    </row>
    <row r="27" spans="2:8">
      <c r="B27" s="71" t="s">
        <v>288</v>
      </c>
      <c r="C27" s="71" t="s">
        <v>289</v>
      </c>
      <c r="D27" s="72">
        <v>44386</v>
      </c>
      <c r="E27" s="73">
        <v>17100</v>
      </c>
      <c r="F27" s="71" t="s">
        <v>240</v>
      </c>
      <c r="G27" s="94">
        <v>256</v>
      </c>
      <c r="H27" s="73">
        <v>500</v>
      </c>
    </row>
    <row r="28" spans="2:8">
      <c r="B28" s="71" t="s">
        <v>290</v>
      </c>
      <c r="C28" s="71" t="s">
        <v>291</v>
      </c>
      <c r="D28" s="72">
        <v>44402</v>
      </c>
      <c r="E28" s="73">
        <v>22000</v>
      </c>
      <c r="F28" s="71" t="s">
        <v>240</v>
      </c>
      <c r="G28" s="94">
        <v>78</v>
      </c>
      <c r="H28" s="73">
        <v>500</v>
      </c>
    </row>
  </sheetData>
  <phoneticPr fontId="2" type="noConversion"/>
  <conditionalFormatting sqref="E3:E28">
    <cfRule type="dataBar" priority="1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{FBF62AB1-F186-4212-A921-D8D8B9FB2F79}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서식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그라데이션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F62AB1-F186-4212-A921-D8D8B9FB2F79}">
            <x14:dataBar minLength="0" maxLength="10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m:sqref>E3:E28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F32"/>
  <sheetViews>
    <sheetView zoomScaleNormal="100" workbookViewId="0">
      <selection activeCell="K4" sqref="K4"/>
    </sheetView>
  </sheetViews>
  <sheetFormatPr defaultRowHeight="16.899999999999999"/>
  <cols>
    <col min="1" max="1" width="9.625" customWidth="1"/>
    <col min="2" max="2" width="13" bestFit="1" customWidth="1"/>
    <col min="3" max="5" width="7.125" customWidth="1"/>
  </cols>
  <sheetData>
    <row r="2" spans="1:6">
      <c r="A2" s="74" t="s">
        <v>292</v>
      </c>
      <c r="B2" s="75" t="s">
        <v>293</v>
      </c>
      <c r="C2" s="75" t="s">
        <v>294</v>
      </c>
      <c r="D2" s="75" t="s">
        <v>295</v>
      </c>
      <c r="E2" s="75" t="s">
        <v>296</v>
      </c>
      <c r="F2" s="76" t="s">
        <v>297</v>
      </c>
    </row>
    <row r="3" spans="1:6">
      <c r="A3" s="77" t="s">
        <v>298</v>
      </c>
      <c r="B3" s="78" t="s">
        <v>299</v>
      </c>
      <c r="C3" s="95">
        <v>87</v>
      </c>
      <c r="D3" s="95">
        <v>89</v>
      </c>
      <c r="E3" s="95">
        <f>AVERAGEA(C3:D3)</f>
        <v>88</v>
      </c>
      <c r="F3" s="8">
        <v>5</v>
      </c>
    </row>
    <row r="4" spans="1:6">
      <c r="A4" s="77" t="s">
        <v>300</v>
      </c>
      <c r="B4" s="78" t="s">
        <v>299</v>
      </c>
      <c r="C4" s="95">
        <v>56</v>
      </c>
      <c r="D4" s="95">
        <v>97</v>
      </c>
      <c r="E4" s="95">
        <f t="shared" ref="E4:E32" si="0">AVERAGEA(C4:D4)</f>
        <v>76.5</v>
      </c>
      <c r="F4" s="8">
        <v>4</v>
      </c>
    </row>
    <row r="5" spans="1:6">
      <c r="A5" s="77" t="s">
        <v>301</v>
      </c>
      <c r="B5" s="78" t="s">
        <v>299</v>
      </c>
      <c r="C5" s="95">
        <v>92</v>
      </c>
      <c r="D5" s="95">
        <v>89</v>
      </c>
      <c r="E5" s="95">
        <f t="shared" si="0"/>
        <v>90.5</v>
      </c>
      <c r="F5" s="8">
        <v>5</v>
      </c>
    </row>
    <row r="6" spans="1:6">
      <c r="A6" s="77" t="s">
        <v>302</v>
      </c>
      <c r="B6" s="78" t="s">
        <v>299</v>
      </c>
      <c r="C6" s="95">
        <v>86</v>
      </c>
      <c r="D6" s="95">
        <v>90</v>
      </c>
      <c r="E6" s="95">
        <f t="shared" si="0"/>
        <v>88</v>
      </c>
      <c r="F6" s="8">
        <v>5</v>
      </c>
    </row>
    <row r="7" spans="1:6">
      <c r="A7" s="77" t="s">
        <v>303</v>
      </c>
      <c r="B7" s="78" t="s">
        <v>299</v>
      </c>
      <c r="C7" s="95">
        <v>80</v>
      </c>
      <c r="D7" s="95">
        <v>93</v>
      </c>
      <c r="E7" s="95">
        <f t="shared" si="0"/>
        <v>86.5</v>
      </c>
      <c r="F7" s="8">
        <v>5</v>
      </c>
    </row>
    <row r="8" spans="1:6">
      <c r="A8" s="77" t="s">
        <v>304</v>
      </c>
      <c r="B8" s="78" t="s">
        <v>305</v>
      </c>
      <c r="C8" s="95">
        <v>30</v>
      </c>
      <c r="D8" s="95">
        <v>56</v>
      </c>
      <c r="E8" s="95">
        <f t="shared" si="0"/>
        <v>43</v>
      </c>
      <c r="F8" s="8">
        <v>3</v>
      </c>
    </row>
    <row r="9" spans="1:6">
      <c r="A9" s="77" t="s">
        <v>306</v>
      </c>
      <c r="B9" s="78" t="s">
        <v>299</v>
      </c>
      <c r="C9" s="95">
        <v>97</v>
      </c>
      <c r="D9" s="95">
        <v>69</v>
      </c>
      <c r="E9" s="95">
        <f t="shared" si="0"/>
        <v>83</v>
      </c>
      <c r="F9" s="8">
        <v>5</v>
      </c>
    </row>
    <row r="10" spans="1:6">
      <c r="A10" s="77" t="s">
        <v>307</v>
      </c>
      <c r="B10" s="78" t="s">
        <v>299</v>
      </c>
      <c r="C10" s="95">
        <v>93</v>
      </c>
      <c r="D10" s="95">
        <v>87</v>
      </c>
      <c r="E10" s="95">
        <f t="shared" si="0"/>
        <v>90</v>
      </c>
      <c r="F10" s="8">
        <v>5</v>
      </c>
    </row>
    <row r="11" spans="1:6">
      <c r="A11" s="77" t="s">
        <v>308</v>
      </c>
      <c r="B11" s="78" t="s">
        <v>299</v>
      </c>
      <c r="C11" s="95">
        <v>91</v>
      </c>
      <c r="D11" s="95">
        <v>95</v>
      </c>
      <c r="E11" s="95">
        <f t="shared" si="0"/>
        <v>93</v>
      </c>
      <c r="F11" s="8">
        <v>5</v>
      </c>
    </row>
    <row r="12" spans="1:6">
      <c r="A12" s="77" t="s">
        <v>309</v>
      </c>
      <c r="B12" s="78" t="s">
        <v>310</v>
      </c>
      <c r="C12" s="95" t="s">
        <v>311</v>
      </c>
      <c r="D12" s="95">
        <v>95</v>
      </c>
      <c r="E12" s="95">
        <f t="shared" si="0"/>
        <v>47.5</v>
      </c>
      <c r="F12" s="8">
        <v>2</v>
      </c>
    </row>
    <row r="13" spans="1:6">
      <c r="A13" s="77" t="s">
        <v>312</v>
      </c>
      <c r="B13" s="78" t="s">
        <v>310</v>
      </c>
      <c r="C13" s="95">
        <v>45</v>
      </c>
      <c r="D13" s="95">
        <v>97</v>
      </c>
      <c r="E13" s="95">
        <f t="shared" si="0"/>
        <v>71</v>
      </c>
      <c r="F13" s="8">
        <v>3.5</v>
      </c>
    </row>
    <row r="14" spans="1:6">
      <c r="A14" s="77" t="s">
        <v>313</v>
      </c>
      <c r="B14" s="78" t="s">
        <v>310</v>
      </c>
      <c r="C14" s="95">
        <v>60</v>
      </c>
      <c r="D14" s="95">
        <v>95</v>
      </c>
      <c r="E14" s="95">
        <f t="shared" si="0"/>
        <v>77.5</v>
      </c>
      <c r="F14" s="8">
        <v>3.5</v>
      </c>
    </row>
    <row r="15" spans="1:6">
      <c r="A15" s="77" t="s">
        <v>314</v>
      </c>
      <c r="B15" s="78" t="s">
        <v>310</v>
      </c>
      <c r="C15" s="95">
        <v>95</v>
      </c>
      <c r="D15" s="95">
        <v>82</v>
      </c>
      <c r="E15" s="95">
        <f t="shared" si="0"/>
        <v>88.5</v>
      </c>
      <c r="F15" s="8">
        <v>4</v>
      </c>
    </row>
    <row r="16" spans="1:6">
      <c r="A16" s="77" t="s">
        <v>315</v>
      </c>
      <c r="B16" s="78" t="s">
        <v>310</v>
      </c>
      <c r="C16" s="95">
        <v>93</v>
      </c>
      <c r="D16" s="95" t="s">
        <v>311</v>
      </c>
      <c r="E16" s="95">
        <f t="shared" si="0"/>
        <v>46.5</v>
      </c>
      <c r="F16" s="8">
        <v>2</v>
      </c>
    </row>
    <row r="17" spans="1:6">
      <c r="A17" s="77" t="s">
        <v>316</v>
      </c>
      <c r="B17" s="78" t="s">
        <v>310</v>
      </c>
      <c r="C17" s="95">
        <v>87</v>
      </c>
      <c r="D17" s="95">
        <v>89</v>
      </c>
      <c r="E17" s="95">
        <f t="shared" si="0"/>
        <v>88</v>
      </c>
      <c r="F17" s="8">
        <v>4</v>
      </c>
    </row>
    <row r="18" spans="1:6">
      <c r="A18" s="77" t="s">
        <v>317</v>
      </c>
      <c r="B18" s="78" t="s">
        <v>310</v>
      </c>
      <c r="C18" s="95">
        <v>93</v>
      </c>
      <c r="D18" s="95">
        <v>91</v>
      </c>
      <c r="E18" s="95">
        <f t="shared" si="0"/>
        <v>92</v>
      </c>
      <c r="F18" s="8">
        <v>4</v>
      </c>
    </row>
    <row r="19" spans="1:6">
      <c r="A19" s="77" t="s">
        <v>318</v>
      </c>
      <c r="B19" s="78" t="s">
        <v>310</v>
      </c>
      <c r="C19" s="95" t="s">
        <v>311</v>
      </c>
      <c r="D19" s="95">
        <v>93</v>
      </c>
      <c r="E19" s="95">
        <f t="shared" si="0"/>
        <v>46.5</v>
      </c>
      <c r="F19" s="8">
        <v>2</v>
      </c>
    </row>
    <row r="20" spans="1:6">
      <c r="A20" s="77" t="s">
        <v>319</v>
      </c>
      <c r="B20" s="78" t="s">
        <v>320</v>
      </c>
      <c r="C20" s="95">
        <v>80</v>
      </c>
      <c r="D20" s="95">
        <v>97</v>
      </c>
      <c r="E20" s="95">
        <f t="shared" si="0"/>
        <v>88.5</v>
      </c>
      <c r="F20" s="8">
        <v>5</v>
      </c>
    </row>
    <row r="21" spans="1:6">
      <c r="A21" s="77" t="s">
        <v>321</v>
      </c>
      <c r="B21" s="78" t="s">
        <v>320</v>
      </c>
      <c r="C21" s="95">
        <v>75</v>
      </c>
      <c r="D21" s="95">
        <v>82</v>
      </c>
      <c r="E21" s="95">
        <f t="shared" si="0"/>
        <v>78.5</v>
      </c>
      <c r="F21" s="8">
        <v>4</v>
      </c>
    </row>
    <row r="22" spans="1:6">
      <c r="A22" s="77" t="s">
        <v>23</v>
      </c>
      <c r="B22" s="78" t="s">
        <v>320</v>
      </c>
      <c r="C22" s="95">
        <v>91</v>
      </c>
      <c r="D22" s="95">
        <v>70</v>
      </c>
      <c r="E22" s="95">
        <f t="shared" si="0"/>
        <v>80.5</v>
      </c>
      <c r="F22" s="8">
        <v>5</v>
      </c>
    </row>
    <row r="23" spans="1:6">
      <c r="A23" s="77" t="s">
        <v>18</v>
      </c>
      <c r="B23" s="78" t="s">
        <v>320</v>
      </c>
      <c r="C23" s="95">
        <v>55</v>
      </c>
      <c r="D23" s="95" t="s">
        <v>311</v>
      </c>
      <c r="E23" s="95">
        <f t="shared" si="0"/>
        <v>27.5</v>
      </c>
      <c r="F23" s="8">
        <v>2</v>
      </c>
    </row>
    <row r="24" spans="1:6">
      <c r="A24" s="77" t="s">
        <v>21</v>
      </c>
      <c r="B24" s="78" t="s">
        <v>320</v>
      </c>
      <c r="C24" s="95">
        <v>86</v>
      </c>
      <c r="D24" s="95" t="s">
        <v>311</v>
      </c>
      <c r="E24" s="95">
        <f t="shared" si="0"/>
        <v>43</v>
      </c>
      <c r="F24" s="8">
        <v>2</v>
      </c>
    </row>
    <row r="25" spans="1:6">
      <c r="A25" s="77" t="s">
        <v>20</v>
      </c>
      <c r="B25" s="78" t="s">
        <v>320</v>
      </c>
      <c r="C25" s="95">
        <v>97</v>
      </c>
      <c r="D25" s="95">
        <v>97</v>
      </c>
      <c r="E25" s="95">
        <f t="shared" si="0"/>
        <v>97</v>
      </c>
      <c r="F25" s="8">
        <v>5</v>
      </c>
    </row>
    <row r="26" spans="1:6">
      <c r="A26" s="77" t="s">
        <v>322</v>
      </c>
      <c r="B26" s="78" t="s">
        <v>320</v>
      </c>
      <c r="C26" s="95">
        <v>43</v>
      </c>
      <c r="D26" s="95">
        <v>80</v>
      </c>
      <c r="E26" s="95">
        <f t="shared" si="0"/>
        <v>61.5</v>
      </c>
      <c r="F26" s="8">
        <v>4</v>
      </c>
    </row>
    <row r="27" spans="1:6">
      <c r="A27" s="77" t="s">
        <v>19</v>
      </c>
      <c r="B27" s="78" t="s">
        <v>323</v>
      </c>
      <c r="C27" s="95">
        <v>92</v>
      </c>
      <c r="D27" s="95">
        <v>64</v>
      </c>
      <c r="E27" s="95">
        <f t="shared" si="0"/>
        <v>78</v>
      </c>
      <c r="F27" s="8">
        <v>3.5</v>
      </c>
    </row>
    <row r="28" spans="1:6">
      <c r="A28" s="77" t="s">
        <v>324</v>
      </c>
      <c r="B28" s="78" t="s">
        <v>323</v>
      </c>
      <c r="C28" s="95">
        <v>80</v>
      </c>
      <c r="D28" s="95">
        <v>44</v>
      </c>
      <c r="E28" s="95">
        <f t="shared" si="0"/>
        <v>62</v>
      </c>
      <c r="F28" s="8">
        <v>3.5</v>
      </c>
    </row>
    <row r="29" spans="1:6">
      <c r="A29" s="77" t="s">
        <v>24</v>
      </c>
      <c r="B29" s="78" t="s">
        <v>323</v>
      </c>
      <c r="C29" s="95">
        <v>75</v>
      </c>
      <c r="D29" s="95" t="s">
        <v>311</v>
      </c>
      <c r="E29" s="95">
        <f t="shared" si="0"/>
        <v>37.5</v>
      </c>
      <c r="F29" s="8">
        <v>3</v>
      </c>
    </row>
    <row r="30" spans="1:6">
      <c r="A30" s="77" t="s">
        <v>325</v>
      </c>
      <c r="B30" s="78" t="s">
        <v>323</v>
      </c>
      <c r="C30" s="95" t="s">
        <v>311</v>
      </c>
      <c r="D30" s="95">
        <v>86</v>
      </c>
      <c r="E30" s="95">
        <f t="shared" si="0"/>
        <v>43</v>
      </c>
      <c r="F30" s="8">
        <v>3</v>
      </c>
    </row>
    <row r="31" spans="1:6">
      <c r="A31" s="77" t="s">
        <v>326</v>
      </c>
      <c r="B31" s="78" t="s">
        <v>323</v>
      </c>
      <c r="C31" s="95">
        <v>53</v>
      </c>
      <c r="D31" s="95">
        <v>73</v>
      </c>
      <c r="E31" s="95">
        <f t="shared" si="0"/>
        <v>63</v>
      </c>
      <c r="F31" s="8">
        <v>3.5</v>
      </c>
    </row>
    <row r="32" spans="1:6">
      <c r="A32" s="77" t="s">
        <v>22</v>
      </c>
      <c r="B32" s="78" t="s">
        <v>323</v>
      </c>
      <c r="C32" s="95">
        <v>99</v>
      </c>
      <c r="D32" s="95">
        <v>87</v>
      </c>
      <c r="E32" s="95">
        <f t="shared" si="0"/>
        <v>93</v>
      </c>
      <c r="F32" s="8">
        <v>4</v>
      </c>
    </row>
  </sheetData>
  <phoneticPr fontId="2" type="noConversion"/>
  <conditionalFormatting sqref="F3:F32">
    <cfRule type="iconSet" priority="2">
      <iconSet iconSet="3Arrows">
        <cfvo type="percent" val="0"/>
        <cfvo type="num" val="3"/>
        <cfvo type="num" val="4"/>
      </iconSet>
    </cfRule>
    <cfRule type="iconSet" priority="1">
      <iconSet iconSet="3Arrows">
        <cfvo type="percent" val="0"/>
        <cfvo type="num" val="3"/>
        <cfvo type="num" val="4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점수표시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1"/>
  <sheetViews>
    <sheetView zoomScaleNormal="100" workbookViewId="0">
      <selection activeCell="E3" sqref="E3:E31"/>
    </sheetView>
  </sheetViews>
  <sheetFormatPr defaultRowHeight="16.899999999999999"/>
  <cols>
    <col min="1" max="1" width="10.5" customWidth="1"/>
    <col min="2" max="2" width="27.125" customWidth="1"/>
    <col min="3" max="3" width="11" bestFit="1" customWidth="1"/>
    <col min="4" max="4" width="10.125" bestFit="1" customWidth="1"/>
    <col min="5" max="5" width="10.5" bestFit="1" customWidth="1"/>
  </cols>
  <sheetData>
    <row r="1" spans="1:5">
      <c r="A1" t="s">
        <v>327</v>
      </c>
    </row>
    <row r="2" spans="1:5">
      <c r="A2" s="79" t="s">
        <v>328</v>
      </c>
      <c r="B2" s="80" t="s">
        <v>329</v>
      </c>
      <c r="C2" s="79" t="s">
        <v>330</v>
      </c>
      <c r="D2" s="80" t="s">
        <v>331</v>
      </c>
      <c r="E2" s="80" t="s">
        <v>332</v>
      </c>
    </row>
    <row r="3" spans="1:5">
      <c r="A3" s="61" t="s">
        <v>333</v>
      </c>
      <c r="B3" s="81" t="s">
        <v>334</v>
      </c>
      <c r="C3" s="82">
        <v>44217</v>
      </c>
      <c r="D3" s="61">
        <v>15</v>
      </c>
      <c r="E3" s="83">
        <v>56000</v>
      </c>
    </row>
    <row r="4" spans="1:5">
      <c r="A4" s="61" t="s">
        <v>335</v>
      </c>
      <c r="B4" s="81" t="s">
        <v>336</v>
      </c>
      <c r="C4" s="82">
        <v>44169</v>
      </c>
      <c r="D4" s="61">
        <v>15</v>
      </c>
      <c r="E4" s="83">
        <v>87000</v>
      </c>
    </row>
    <row r="5" spans="1:5">
      <c r="A5" s="61" t="s">
        <v>335</v>
      </c>
      <c r="B5" s="81" t="s">
        <v>337</v>
      </c>
      <c r="C5" s="82">
        <v>44207</v>
      </c>
      <c r="D5" s="61">
        <v>15</v>
      </c>
      <c r="E5" s="83">
        <v>78000</v>
      </c>
    </row>
    <row r="6" spans="1:5">
      <c r="A6" s="61" t="s">
        <v>335</v>
      </c>
      <c r="B6" s="81" t="s">
        <v>337</v>
      </c>
      <c r="C6" s="82">
        <v>44169</v>
      </c>
      <c r="D6" s="61">
        <v>20</v>
      </c>
      <c r="E6" s="83">
        <v>78000</v>
      </c>
    </row>
    <row r="7" spans="1:5">
      <c r="A7" s="61" t="s">
        <v>338</v>
      </c>
      <c r="B7" s="81" t="s">
        <v>339</v>
      </c>
      <c r="C7" s="82">
        <v>44174</v>
      </c>
      <c r="D7" s="61">
        <v>20</v>
      </c>
      <c r="E7" s="83">
        <v>18000</v>
      </c>
    </row>
    <row r="8" spans="1:5">
      <c r="A8" s="61" t="s">
        <v>335</v>
      </c>
      <c r="B8" s="81" t="s">
        <v>336</v>
      </c>
      <c r="C8" s="82">
        <v>44176</v>
      </c>
      <c r="D8" s="61">
        <v>15</v>
      </c>
      <c r="E8" s="83">
        <v>87000</v>
      </c>
    </row>
    <row r="9" spans="1:5">
      <c r="A9" s="61" t="s">
        <v>338</v>
      </c>
      <c r="B9" s="81" t="s">
        <v>339</v>
      </c>
      <c r="C9" s="82">
        <v>44176</v>
      </c>
      <c r="D9" s="61">
        <v>15</v>
      </c>
      <c r="E9" s="83">
        <v>18000</v>
      </c>
    </row>
    <row r="10" spans="1:5">
      <c r="A10" s="61" t="s">
        <v>333</v>
      </c>
      <c r="B10" s="81" t="s">
        <v>334</v>
      </c>
      <c r="C10" s="82">
        <v>44217</v>
      </c>
      <c r="D10" s="61">
        <v>15</v>
      </c>
      <c r="E10" s="83">
        <v>56000</v>
      </c>
    </row>
    <row r="11" spans="1:5">
      <c r="A11" s="61" t="s">
        <v>335</v>
      </c>
      <c r="B11" s="81" t="s">
        <v>339</v>
      </c>
      <c r="C11" s="82">
        <v>44211</v>
      </c>
      <c r="D11" s="61">
        <v>15</v>
      </c>
      <c r="E11" s="83">
        <v>155000</v>
      </c>
    </row>
    <row r="12" spans="1:5">
      <c r="A12" s="61" t="s">
        <v>338</v>
      </c>
      <c r="B12" s="81" t="s">
        <v>334</v>
      </c>
      <c r="C12" s="82">
        <v>44181</v>
      </c>
      <c r="D12" s="61">
        <v>10</v>
      </c>
      <c r="E12" s="83">
        <v>18000</v>
      </c>
    </row>
    <row r="13" spans="1:5">
      <c r="A13" s="61" t="s">
        <v>335</v>
      </c>
      <c r="B13" s="81" t="s">
        <v>339</v>
      </c>
      <c r="C13" s="82">
        <v>44217</v>
      </c>
      <c r="D13" s="61">
        <v>10</v>
      </c>
      <c r="E13" s="83">
        <v>155000</v>
      </c>
    </row>
    <row r="14" spans="1:5">
      <c r="A14" s="61" t="s">
        <v>335</v>
      </c>
      <c r="B14" s="81" t="s">
        <v>337</v>
      </c>
      <c r="C14" s="82">
        <v>44225</v>
      </c>
      <c r="D14" s="61">
        <v>10</v>
      </c>
      <c r="E14" s="83">
        <v>78000</v>
      </c>
    </row>
    <row r="15" spans="1:5">
      <c r="A15" s="61" t="s">
        <v>335</v>
      </c>
      <c r="B15" s="81" t="s">
        <v>336</v>
      </c>
      <c r="C15" s="82">
        <v>44217</v>
      </c>
      <c r="D15" s="61">
        <v>10</v>
      </c>
      <c r="E15" s="83">
        <v>87000</v>
      </c>
    </row>
    <row r="16" spans="1:5">
      <c r="A16" s="61" t="s">
        <v>333</v>
      </c>
      <c r="B16" s="81" t="s">
        <v>334</v>
      </c>
      <c r="C16" s="82">
        <v>44181</v>
      </c>
      <c r="D16" s="61">
        <v>10</v>
      </c>
      <c r="E16" s="83">
        <v>56000</v>
      </c>
    </row>
    <row r="17" spans="1:5">
      <c r="A17" s="61" t="s">
        <v>335</v>
      </c>
      <c r="B17" s="81" t="s">
        <v>337</v>
      </c>
      <c r="C17" s="82">
        <v>44225</v>
      </c>
      <c r="D17" s="61">
        <v>10</v>
      </c>
      <c r="E17" s="83">
        <v>78000</v>
      </c>
    </row>
    <row r="18" spans="1:5">
      <c r="A18" s="61" t="s">
        <v>335</v>
      </c>
      <c r="B18" s="81" t="s">
        <v>339</v>
      </c>
      <c r="C18" s="82">
        <v>44211</v>
      </c>
      <c r="D18" s="61">
        <v>10</v>
      </c>
      <c r="E18" s="83">
        <v>155000</v>
      </c>
    </row>
    <row r="19" spans="1:5">
      <c r="A19" s="61" t="s">
        <v>338</v>
      </c>
      <c r="B19" s="81" t="s">
        <v>334</v>
      </c>
      <c r="C19" s="82">
        <v>44181</v>
      </c>
      <c r="D19" s="61">
        <v>10</v>
      </c>
      <c r="E19" s="83">
        <v>18000</v>
      </c>
    </row>
    <row r="20" spans="1:5">
      <c r="A20" s="61" t="s">
        <v>335</v>
      </c>
      <c r="B20" s="81" t="s">
        <v>337</v>
      </c>
      <c r="C20" s="82">
        <v>44204</v>
      </c>
      <c r="D20" s="61">
        <v>15</v>
      </c>
      <c r="E20" s="83">
        <v>78000</v>
      </c>
    </row>
    <row r="21" spans="1:5">
      <c r="A21" s="61" t="s">
        <v>335</v>
      </c>
      <c r="B21" s="81" t="s">
        <v>337</v>
      </c>
      <c r="C21" s="82">
        <v>44225</v>
      </c>
      <c r="D21" s="61">
        <v>15</v>
      </c>
      <c r="E21" s="83">
        <v>78000</v>
      </c>
    </row>
    <row r="22" spans="1:5">
      <c r="A22" s="61" t="s">
        <v>335</v>
      </c>
      <c r="B22" s="81" t="s">
        <v>336</v>
      </c>
      <c r="C22" s="82">
        <v>44169</v>
      </c>
      <c r="D22" s="61">
        <v>15</v>
      </c>
      <c r="E22" s="83">
        <v>87000</v>
      </c>
    </row>
    <row r="23" spans="1:5">
      <c r="A23" s="61" t="s">
        <v>335</v>
      </c>
      <c r="B23" s="81" t="s">
        <v>339</v>
      </c>
      <c r="C23" s="82">
        <v>44211</v>
      </c>
      <c r="D23" s="61">
        <v>15</v>
      </c>
      <c r="E23" s="83">
        <v>155000</v>
      </c>
    </row>
    <row r="24" spans="1:5">
      <c r="A24" s="61" t="s">
        <v>335</v>
      </c>
      <c r="B24" s="81" t="s">
        <v>337</v>
      </c>
      <c r="C24" s="82">
        <v>44204</v>
      </c>
      <c r="D24" s="61">
        <v>15</v>
      </c>
      <c r="E24" s="83">
        <v>78000</v>
      </c>
    </row>
    <row r="25" spans="1:5">
      <c r="A25" s="61" t="s">
        <v>335</v>
      </c>
      <c r="B25" s="81" t="s">
        <v>339</v>
      </c>
      <c r="C25" s="82">
        <v>44207</v>
      </c>
      <c r="D25" s="61">
        <v>5</v>
      </c>
      <c r="E25" s="83">
        <v>155000</v>
      </c>
    </row>
    <row r="26" spans="1:5">
      <c r="A26" s="61" t="s">
        <v>335</v>
      </c>
      <c r="B26" s="81" t="s">
        <v>337</v>
      </c>
      <c r="C26" s="82">
        <v>44181</v>
      </c>
      <c r="D26" s="61">
        <v>5</v>
      </c>
      <c r="E26" s="83">
        <v>78000</v>
      </c>
    </row>
    <row r="27" spans="1:5">
      <c r="A27" s="61" t="s">
        <v>335</v>
      </c>
      <c r="B27" s="81" t="s">
        <v>336</v>
      </c>
      <c r="C27" s="82">
        <v>44211</v>
      </c>
      <c r="D27" s="61">
        <v>5</v>
      </c>
      <c r="E27" s="83">
        <v>87000</v>
      </c>
    </row>
    <row r="28" spans="1:5">
      <c r="A28" s="61" t="s">
        <v>338</v>
      </c>
      <c r="B28" s="81" t="s">
        <v>336</v>
      </c>
      <c r="C28" s="82">
        <v>44181</v>
      </c>
      <c r="D28" s="61">
        <v>5</v>
      </c>
      <c r="E28" s="83">
        <v>18000</v>
      </c>
    </row>
    <row r="29" spans="1:5">
      <c r="A29" s="61" t="s">
        <v>338</v>
      </c>
      <c r="B29" s="81" t="s">
        <v>337</v>
      </c>
      <c r="C29" s="82">
        <v>44217</v>
      </c>
      <c r="D29" s="61">
        <v>5</v>
      </c>
      <c r="E29" s="83">
        <v>18000</v>
      </c>
    </row>
    <row r="30" spans="1:5">
      <c r="A30" s="61" t="s">
        <v>335</v>
      </c>
      <c r="B30" s="81" t="s">
        <v>339</v>
      </c>
      <c r="C30" s="82">
        <v>44211</v>
      </c>
      <c r="D30" s="61">
        <v>5</v>
      </c>
      <c r="E30" s="83">
        <v>155000</v>
      </c>
    </row>
    <row r="31" spans="1:5">
      <c r="A31" s="61" t="s">
        <v>335</v>
      </c>
      <c r="B31" s="81" t="s">
        <v>339</v>
      </c>
      <c r="C31" s="82">
        <v>44181</v>
      </c>
      <c r="D31" s="61">
        <v>5</v>
      </c>
      <c r="E31" s="83">
        <v>155000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해제2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G32"/>
  <sheetViews>
    <sheetView tabSelected="1" zoomScaleNormal="100" workbookViewId="0">
      <selection activeCell="H1" sqref="H1"/>
    </sheetView>
  </sheetViews>
  <sheetFormatPr defaultRowHeight="16.899999999999999"/>
  <cols>
    <col min="1" max="1" width="9" style="85"/>
    <col min="2" max="2" width="11.375" style="85" customWidth="1"/>
    <col min="3" max="4" width="9" style="85"/>
    <col min="5" max="5" width="10.625" style="85" bestFit="1" customWidth="1"/>
    <col min="6" max="16384" width="9" style="85"/>
  </cols>
  <sheetData>
    <row r="2" spans="1:7">
      <c r="A2" s="84" t="s">
        <v>340</v>
      </c>
      <c r="B2" s="84" t="s">
        <v>341</v>
      </c>
      <c r="C2" s="84" t="s">
        <v>44</v>
      </c>
      <c r="D2" s="84" t="s">
        <v>342</v>
      </c>
      <c r="E2" s="84" t="s">
        <v>343</v>
      </c>
      <c r="F2" s="84" t="s">
        <v>42</v>
      </c>
      <c r="G2" s="84" t="s">
        <v>43</v>
      </c>
    </row>
    <row r="3" spans="1:7">
      <c r="A3" s="86">
        <v>1</v>
      </c>
      <c r="B3" s="87">
        <v>201846129</v>
      </c>
      <c r="C3" s="87" t="s">
        <v>344</v>
      </c>
      <c r="D3" s="88" t="s">
        <v>345</v>
      </c>
      <c r="E3" s="89">
        <v>44397</v>
      </c>
      <c r="F3" s="101">
        <v>871</v>
      </c>
      <c r="G3" s="101">
        <v>893</v>
      </c>
    </row>
    <row r="4" spans="1:7">
      <c r="A4" s="86">
        <v>2</v>
      </c>
      <c r="B4" s="87">
        <v>202112153</v>
      </c>
      <c r="C4" s="87" t="s">
        <v>300</v>
      </c>
      <c r="D4" s="88" t="s">
        <v>345</v>
      </c>
      <c r="E4" s="89">
        <v>44425</v>
      </c>
      <c r="F4" s="101">
        <v>562</v>
      </c>
      <c r="G4" s="101">
        <v>975</v>
      </c>
    </row>
    <row r="5" spans="1:7">
      <c r="A5" s="86">
        <v>3</v>
      </c>
      <c r="B5" s="87">
        <v>201984432</v>
      </c>
      <c r="C5" s="87" t="s">
        <v>301</v>
      </c>
      <c r="D5" s="88" t="s">
        <v>345</v>
      </c>
      <c r="E5" s="89">
        <v>44477</v>
      </c>
      <c r="F5" s="101">
        <v>0</v>
      </c>
      <c r="G5" s="101">
        <v>893</v>
      </c>
    </row>
    <row r="6" spans="1:7">
      <c r="A6" s="86">
        <v>4</v>
      </c>
      <c r="B6" s="87">
        <v>201846148</v>
      </c>
      <c r="C6" s="87" t="s">
        <v>346</v>
      </c>
      <c r="D6" s="88" t="s">
        <v>345</v>
      </c>
      <c r="E6" s="89">
        <v>44425</v>
      </c>
      <c r="F6" s="101">
        <v>914</v>
      </c>
      <c r="G6" s="101">
        <v>936</v>
      </c>
    </row>
    <row r="7" spans="1:7">
      <c r="A7" s="86">
        <v>5</v>
      </c>
      <c r="B7" s="87">
        <v>201984161</v>
      </c>
      <c r="C7" s="87" t="s">
        <v>303</v>
      </c>
      <c r="D7" s="88" t="s">
        <v>345</v>
      </c>
      <c r="E7" s="89">
        <v>44449</v>
      </c>
      <c r="F7" s="101" t="s">
        <v>347</v>
      </c>
      <c r="G7" s="101">
        <v>936</v>
      </c>
    </row>
    <row r="8" spans="1:7">
      <c r="A8" s="86">
        <v>6</v>
      </c>
      <c r="B8" s="87">
        <v>201834126</v>
      </c>
      <c r="C8" s="87" t="s">
        <v>304</v>
      </c>
      <c r="D8" s="88" t="s">
        <v>345</v>
      </c>
      <c r="E8" s="89">
        <v>44397</v>
      </c>
      <c r="F8" s="101">
        <v>300</v>
      </c>
      <c r="G8" s="101">
        <v>0</v>
      </c>
    </row>
    <row r="9" spans="1:7">
      <c r="A9" s="86">
        <v>7</v>
      </c>
      <c r="B9" s="87">
        <v>201984128</v>
      </c>
      <c r="C9" s="87" t="s">
        <v>306</v>
      </c>
      <c r="D9" s="88" t="s">
        <v>345</v>
      </c>
      <c r="E9" s="89">
        <v>44425</v>
      </c>
      <c r="F9" s="101">
        <v>975</v>
      </c>
      <c r="G9" s="101">
        <v>690</v>
      </c>
    </row>
    <row r="10" spans="1:7">
      <c r="A10" s="86">
        <v>8</v>
      </c>
      <c r="B10" s="87">
        <v>201984149</v>
      </c>
      <c r="C10" s="87" t="s">
        <v>307</v>
      </c>
      <c r="D10" s="88" t="s">
        <v>345</v>
      </c>
      <c r="E10" s="89">
        <v>44449</v>
      </c>
      <c r="F10" s="101">
        <v>936</v>
      </c>
      <c r="G10" s="101">
        <v>871</v>
      </c>
    </row>
    <row r="11" spans="1:7">
      <c r="A11" s="86">
        <v>9</v>
      </c>
      <c r="B11" s="87">
        <v>201886155</v>
      </c>
      <c r="C11" s="87" t="s">
        <v>348</v>
      </c>
      <c r="D11" s="88" t="s">
        <v>345</v>
      </c>
      <c r="E11" s="89">
        <v>44449</v>
      </c>
      <c r="F11" s="101">
        <v>914</v>
      </c>
      <c r="G11" s="101">
        <v>950</v>
      </c>
    </row>
    <row r="12" spans="1:7">
      <c r="A12" s="86">
        <v>10</v>
      </c>
      <c r="B12" s="87">
        <v>201884127</v>
      </c>
      <c r="C12" s="87" t="s">
        <v>309</v>
      </c>
      <c r="D12" s="88" t="s">
        <v>349</v>
      </c>
      <c r="E12" s="89">
        <v>44477</v>
      </c>
      <c r="F12" s="101">
        <v>870</v>
      </c>
      <c r="G12" s="101" t="s">
        <v>347</v>
      </c>
    </row>
    <row r="13" spans="1:7">
      <c r="A13" s="86">
        <v>11</v>
      </c>
      <c r="B13" s="87">
        <v>202105143</v>
      </c>
      <c r="C13" s="87" t="s">
        <v>350</v>
      </c>
      <c r="D13" s="88" t="s">
        <v>349</v>
      </c>
      <c r="E13" s="89">
        <v>44425</v>
      </c>
      <c r="F13" s="101">
        <v>450</v>
      </c>
      <c r="G13" s="101">
        <v>979</v>
      </c>
    </row>
    <row r="14" spans="1:7">
      <c r="A14" s="86">
        <v>12</v>
      </c>
      <c r="B14" s="87">
        <v>202184164</v>
      </c>
      <c r="C14" s="87" t="s">
        <v>313</v>
      </c>
      <c r="D14" s="88" t="s">
        <v>349</v>
      </c>
      <c r="E14" s="89">
        <v>44425</v>
      </c>
      <c r="F14" s="101">
        <v>600</v>
      </c>
      <c r="G14" s="101">
        <v>0</v>
      </c>
    </row>
    <row r="15" spans="1:7">
      <c r="A15" s="86">
        <v>13</v>
      </c>
      <c r="B15" s="87">
        <v>202113149</v>
      </c>
      <c r="C15" s="87" t="s">
        <v>314</v>
      </c>
      <c r="D15" s="88" t="s">
        <v>349</v>
      </c>
      <c r="E15" s="89">
        <v>44449</v>
      </c>
      <c r="F15" s="101">
        <v>957</v>
      </c>
      <c r="G15" s="101">
        <v>829</v>
      </c>
    </row>
    <row r="16" spans="1:7">
      <c r="A16" s="86">
        <v>14</v>
      </c>
      <c r="B16" s="87">
        <v>202146140</v>
      </c>
      <c r="C16" s="87" t="s">
        <v>315</v>
      </c>
      <c r="D16" s="88" t="s">
        <v>349</v>
      </c>
      <c r="E16" s="89">
        <v>44397</v>
      </c>
      <c r="F16" s="101">
        <v>0</v>
      </c>
      <c r="G16" s="101">
        <v>60</v>
      </c>
    </row>
    <row r="17" spans="1:7">
      <c r="A17" s="86">
        <v>15</v>
      </c>
      <c r="B17" s="87">
        <v>202164127</v>
      </c>
      <c r="C17" s="87" t="s">
        <v>316</v>
      </c>
      <c r="D17" s="88" t="s">
        <v>349</v>
      </c>
      <c r="E17" s="89">
        <v>44449</v>
      </c>
      <c r="F17" s="101">
        <v>875</v>
      </c>
      <c r="G17" s="101">
        <v>893</v>
      </c>
    </row>
    <row r="18" spans="1:7">
      <c r="A18" s="86">
        <v>16</v>
      </c>
      <c r="B18" s="87">
        <v>201846153</v>
      </c>
      <c r="C18" s="87" t="s">
        <v>351</v>
      </c>
      <c r="D18" s="88" t="s">
        <v>352</v>
      </c>
      <c r="E18" s="89">
        <v>44449</v>
      </c>
      <c r="F18" s="101">
        <v>936</v>
      </c>
      <c r="G18" s="101">
        <v>914</v>
      </c>
    </row>
    <row r="19" spans="1:7">
      <c r="A19" s="86">
        <v>17</v>
      </c>
      <c r="B19" s="87">
        <v>201984135</v>
      </c>
      <c r="C19" s="87" t="s">
        <v>318</v>
      </c>
      <c r="D19" s="88" t="s">
        <v>352</v>
      </c>
      <c r="E19" s="89">
        <v>44397</v>
      </c>
      <c r="F19" s="101">
        <v>450</v>
      </c>
      <c r="G19" s="101" t="s">
        <v>347</v>
      </c>
    </row>
    <row r="20" spans="1:7">
      <c r="A20" s="86">
        <v>18</v>
      </c>
      <c r="B20" s="87">
        <v>201816161</v>
      </c>
      <c r="C20" s="87" t="s">
        <v>319</v>
      </c>
      <c r="D20" s="88" t="s">
        <v>353</v>
      </c>
      <c r="E20" s="89">
        <v>44425</v>
      </c>
      <c r="F20" s="101">
        <v>800</v>
      </c>
      <c r="G20" s="101">
        <v>975</v>
      </c>
    </row>
    <row r="21" spans="1:7">
      <c r="A21" s="86">
        <v>19</v>
      </c>
      <c r="B21" s="87">
        <v>202016144</v>
      </c>
      <c r="C21" s="87" t="s">
        <v>321</v>
      </c>
      <c r="D21" s="88" t="s">
        <v>354</v>
      </c>
      <c r="E21" s="89">
        <v>44397</v>
      </c>
      <c r="F21" s="101">
        <v>750</v>
      </c>
      <c r="G21" s="101">
        <v>825</v>
      </c>
    </row>
    <row r="22" spans="1:7">
      <c r="A22" s="86">
        <v>20</v>
      </c>
      <c r="B22" s="87">
        <v>201984431</v>
      </c>
      <c r="C22" s="87" t="s">
        <v>23</v>
      </c>
      <c r="D22" s="88" t="s">
        <v>355</v>
      </c>
      <c r="E22" s="89">
        <v>44449</v>
      </c>
      <c r="F22" s="101">
        <v>0</v>
      </c>
      <c r="G22" s="101">
        <v>700</v>
      </c>
    </row>
    <row r="23" spans="1:7">
      <c r="A23" s="86">
        <v>21</v>
      </c>
      <c r="B23" s="87">
        <v>202084155</v>
      </c>
      <c r="C23" s="87" t="s">
        <v>18</v>
      </c>
      <c r="D23" s="88" t="s">
        <v>356</v>
      </c>
      <c r="E23" s="89">
        <v>44477</v>
      </c>
      <c r="F23" s="101">
        <v>550</v>
      </c>
      <c r="G23" s="101">
        <v>450</v>
      </c>
    </row>
    <row r="24" spans="1:7">
      <c r="A24" s="86">
        <v>22</v>
      </c>
      <c r="B24" s="87">
        <v>202007162</v>
      </c>
      <c r="C24" s="87" t="s">
        <v>21</v>
      </c>
      <c r="D24" s="88" t="s">
        <v>354</v>
      </c>
      <c r="E24" s="89">
        <v>44477</v>
      </c>
      <c r="F24" s="101">
        <v>860</v>
      </c>
      <c r="G24" s="101">
        <v>350</v>
      </c>
    </row>
    <row r="25" spans="1:7">
      <c r="A25" s="86">
        <v>23</v>
      </c>
      <c r="B25" s="87">
        <v>201984141</v>
      </c>
      <c r="C25" s="87" t="s">
        <v>20</v>
      </c>
      <c r="D25" s="88" t="s">
        <v>353</v>
      </c>
      <c r="E25" s="89">
        <v>44477</v>
      </c>
      <c r="F25" s="101">
        <v>975</v>
      </c>
      <c r="G25" s="101">
        <v>0</v>
      </c>
    </row>
    <row r="26" spans="1:7">
      <c r="A26" s="86">
        <v>24</v>
      </c>
      <c r="B26" s="87">
        <v>201984150</v>
      </c>
      <c r="C26" s="87" t="s">
        <v>322</v>
      </c>
      <c r="D26" s="88" t="s">
        <v>356</v>
      </c>
      <c r="E26" s="89">
        <v>44477</v>
      </c>
      <c r="F26" s="101" t="s">
        <v>357</v>
      </c>
      <c r="G26" s="101">
        <v>800</v>
      </c>
    </row>
    <row r="27" spans="1:7">
      <c r="A27" s="86">
        <v>25</v>
      </c>
      <c r="B27" s="87">
        <v>201984151</v>
      </c>
      <c r="C27" s="87" t="s">
        <v>19</v>
      </c>
      <c r="D27" s="88" t="s">
        <v>358</v>
      </c>
      <c r="E27" s="89">
        <v>44397</v>
      </c>
      <c r="F27" s="101">
        <v>925</v>
      </c>
      <c r="G27" s="101">
        <v>642</v>
      </c>
    </row>
    <row r="28" spans="1:7">
      <c r="A28" s="86">
        <v>26</v>
      </c>
      <c r="B28" s="87">
        <v>201984143</v>
      </c>
      <c r="C28" s="87" t="s">
        <v>324</v>
      </c>
      <c r="D28" s="88" t="s">
        <v>359</v>
      </c>
      <c r="E28" s="89">
        <v>44425</v>
      </c>
      <c r="F28" s="101">
        <v>800</v>
      </c>
      <c r="G28" s="101">
        <v>440</v>
      </c>
    </row>
    <row r="29" spans="1:7">
      <c r="A29" s="86">
        <v>27</v>
      </c>
      <c r="B29" s="87">
        <v>201984133</v>
      </c>
      <c r="C29" s="87" t="s">
        <v>24</v>
      </c>
      <c r="D29" s="88" t="s">
        <v>358</v>
      </c>
      <c r="E29" s="89">
        <v>44449</v>
      </c>
      <c r="F29" s="101">
        <v>40</v>
      </c>
      <c r="G29" s="101">
        <v>800</v>
      </c>
    </row>
    <row r="30" spans="1:7">
      <c r="A30" s="86">
        <v>28</v>
      </c>
      <c r="B30" s="87">
        <v>202105160</v>
      </c>
      <c r="C30" s="87" t="s">
        <v>325</v>
      </c>
      <c r="D30" s="88" t="s">
        <v>358</v>
      </c>
      <c r="E30" s="89">
        <v>44425</v>
      </c>
      <c r="F30" s="101">
        <v>0</v>
      </c>
      <c r="G30" s="101">
        <v>862</v>
      </c>
    </row>
    <row r="31" spans="1:7">
      <c r="A31" s="86">
        <v>29</v>
      </c>
      <c r="B31" s="87">
        <v>202113139</v>
      </c>
      <c r="C31" s="87" t="s">
        <v>326</v>
      </c>
      <c r="D31" s="88" t="s">
        <v>360</v>
      </c>
      <c r="E31" s="89">
        <v>44449</v>
      </c>
      <c r="F31" s="101">
        <v>533</v>
      </c>
      <c r="G31" s="101">
        <v>733</v>
      </c>
    </row>
    <row r="32" spans="1:7">
      <c r="A32" s="86">
        <v>30</v>
      </c>
      <c r="B32" s="87">
        <v>201984153</v>
      </c>
      <c r="C32" s="87" t="s">
        <v>22</v>
      </c>
      <c r="D32" s="88" t="s">
        <v>361</v>
      </c>
      <c r="E32" s="89">
        <v>44397</v>
      </c>
      <c r="F32" s="101">
        <v>999</v>
      </c>
      <c r="G32" s="101" t="s">
        <v>362</v>
      </c>
    </row>
  </sheetData>
  <phoneticPr fontId="2" type="noConversion"/>
  <conditionalFormatting sqref="A3:G32">
    <cfRule type="expression" dxfId="0" priority="1">
      <formula>AND(LEFT($B3,4)=2021,MONTH($E3)=8)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서식적용5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서식해제3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F33"/>
  <sheetViews>
    <sheetView zoomScaleNormal="100" workbookViewId="0">
      <selection activeCell="G1" sqref="G1"/>
    </sheetView>
  </sheetViews>
  <sheetFormatPr defaultRowHeight="16.899999999999999"/>
  <cols>
    <col min="3" max="3" width="14" customWidth="1"/>
    <col min="4" max="5" width="11.125" bestFit="1" customWidth="1"/>
  </cols>
  <sheetData>
    <row r="2" spans="2:6">
      <c r="B2" s="2" t="s">
        <v>25</v>
      </c>
      <c r="C2" s="3" t="s">
        <v>26</v>
      </c>
      <c r="D2" s="3" t="s">
        <v>27</v>
      </c>
      <c r="E2" s="3" t="s">
        <v>28</v>
      </c>
      <c r="F2" s="4" t="s">
        <v>29</v>
      </c>
    </row>
    <row r="3" spans="2:6">
      <c r="B3" s="5" t="s">
        <v>30</v>
      </c>
      <c r="C3" s="6" t="s">
        <v>31</v>
      </c>
      <c r="D3" s="7">
        <v>43854</v>
      </c>
      <c r="E3" s="7">
        <v>43914</v>
      </c>
      <c r="F3" s="96">
        <v>0</v>
      </c>
    </row>
    <row r="4" spans="2:6">
      <c r="B4" s="5" t="s">
        <v>32</v>
      </c>
      <c r="C4" s="6" t="s">
        <v>31</v>
      </c>
      <c r="D4" s="7">
        <v>43891</v>
      </c>
      <c r="E4" s="7">
        <v>43925</v>
      </c>
      <c r="F4" s="96">
        <v>-3</v>
      </c>
    </row>
    <row r="5" spans="2:6">
      <c r="B5" s="5" t="s">
        <v>33</v>
      </c>
      <c r="C5" s="6" t="s">
        <v>31</v>
      </c>
      <c r="D5" s="7">
        <v>43951</v>
      </c>
      <c r="E5" s="7">
        <v>43917</v>
      </c>
      <c r="F5" s="96">
        <v>-1</v>
      </c>
    </row>
    <row r="6" spans="2:6">
      <c r="B6" s="5" t="s">
        <v>30</v>
      </c>
      <c r="C6" s="6" t="s">
        <v>16</v>
      </c>
      <c r="D6" s="7">
        <v>43908</v>
      </c>
      <c r="E6" s="7">
        <v>43912</v>
      </c>
      <c r="F6" s="96">
        <v>-4</v>
      </c>
    </row>
    <row r="7" spans="2:6">
      <c r="B7" s="5" t="s">
        <v>30</v>
      </c>
      <c r="C7" s="6" t="s">
        <v>17</v>
      </c>
      <c r="D7" s="7">
        <v>43905</v>
      </c>
      <c r="E7" s="7">
        <v>43908</v>
      </c>
      <c r="F7" s="96">
        <v>-3</v>
      </c>
    </row>
    <row r="8" spans="2:6">
      <c r="B8" s="5" t="s">
        <v>30</v>
      </c>
      <c r="C8" s="6" t="s">
        <v>34</v>
      </c>
      <c r="D8" s="7">
        <v>43912</v>
      </c>
      <c r="E8" s="7">
        <v>43915</v>
      </c>
      <c r="F8" s="96">
        <v>-3</v>
      </c>
    </row>
    <row r="9" spans="2:6">
      <c r="B9" s="5" t="s">
        <v>30</v>
      </c>
      <c r="C9" s="6" t="s">
        <v>15</v>
      </c>
      <c r="D9" s="7">
        <v>44058</v>
      </c>
      <c r="E9" s="7">
        <v>43906</v>
      </c>
      <c r="F9" s="96">
        <v>-1</v>
      </c>
    </row>
    <row r="10" spans="2:6">
      <c r="B10" s="5" t="s">
        <v>30</v>
      </c>
      <c r="C10" s="6" t="s">
        <v>35</v>
      </c>
      <c r="D10" s="7">
        <v>43904</v>
      </c>
      <c r="E10" s="7">
        <v>43905</v>
      </c>
      <c r="F10" s="96">
        <v>-1</v>
      </c>
    </row>
    <row r="11" spans="2:6">
      <c r="B11" s="5" t="s">
        <v>30</v>
      </c>
      <c r="C11" s="6" t="s">
        <v>14</v>
      </c>
      <c r="D11" s="7">
        <v>43916</v>
      </c>
      <c r="E11" s="7">
        <v>43915</v>
      </c>
      <c r="F11" s="96">
        <v>1</v>
      </c>
    </row>
    <row r="12" spans="2:6">
      <c r="B12" s="5" t="s">
        <v>30</v>
      </c>
      <c r="C12" s="6" t="s">
        <v>36</v>
      </c>
      <c r="D12" s="7">
        <v>43918</v>
      </c>
      <c r="E12" s="7">
        <v>43920</v>
      </c>
      <c r="F12" s="96">
        <v>-2</v>
      </c>
    </row>
    <row r="13" spans="2:6">
      <c r="B13" s="5" t="s">
        <v>30</v>
      </c>
      <c r="C13" s="6" t="s">
        <v>37</v>
      </c>
      <c r="D13" s="7">
        <v>43913</v>
      </c>
      <c r="E13" s="7">
        <v>43912</v>
      </c>
      <c r="F13" s="96">
        <v>1</v>
      </c>
    </row>
    <row r="14" spans="2:6">
      <c r="B14" s="5" t="s">
        <v>30</v>
      </c>
      <c r="C14" s="6" t="s">
        <v>38</v>
      </c>
      <c r="D14" s="7">
        <v>43922</v>
      </c>
      <c r="E14" s="7">
        <v>43922</v>
      </c>
      <c r="F14" s="96">
        <v>0</v>
      </c>
    </row>
    <row r="15" spans="2:6">
      <c r="B15" s="5" t="s">
        <v>30</v>
      </c>
      <c r="C15" s="6" t="s">
        <v>39</v>
      </c>
      <c r="D15" s="7">
        <v>43912</v>
      </c>
      <c r="E15" s="7">
        <v>43915</v>
      </c>
      <c r="F15" s="96">
        <v>-3</v>
      </c>
    </row>
    <row r="16" spans="2:6">
      <c r="B16" s="5" t="s">
        <v>32</v>
      </c>
      <c r="C16" s="6" t="s">
        <v>16</v>
      </c>
      <c r="D16" s="7">
        <v>43918</v>
      </c>
      <c r="E16" s="7">
        <v>43922</v>
      </c>
      <c r="F16" s="96">
        <v>-4</v>
      </c>
    </row>
    <row r="17" spans="2:6">
      <c r="B17" s="5" t="s">
        <v>32</v>
      </c>
      <c r="C17" s="6" t="s">
        <v>17</v>
      </c>
      <c r="D17" s="7">
        <v>43915</v>
      </c>
      <c r="E17" s="7">
        <v>43920</v>
      </c>
      <c r="F17" s="96">
        <v>-5</v>
      </c>
    </row>
    <row r="18" spans="2:6">
      <c r="B18" s="5" t="s">
        <v>32</v>
      </c>
      <c r="C18" s="6" t="s">
        <v>34</v>
      </c>
      <c r="D18" s="7">
        <v>43920</v>
      </c>
      <c r="E18" s="7">
        <v>43925</v>
      </c>
      <c r="F18" s="96">
        <v>-5</v>
      </c>
    </row>
    <row r="19" spans="2:6">
      <c r="B19" s="5" t="s">
        <v>32</v>
      </c>
      <c r="C19" s="6" t="s">
        <v>15</v>
      </c>
      <c r="D19" s="7">
        <v>43915</v>
      </c>
      <c r="E19" s="7">
        <v>43917</v>
      </c>
      <c r="F19" s="96">
        <v>-2</v>
      </c>
    </row>
    <row r="20" spans="2:6">
      <c r="B20" s="5" t="s">
        <v>32</v>
      </c>
      <c r="C20" s="6" t="s">
        <v>35</v>
      </c>
      <c r="D20" s="7">
        <v>43912</v>
      </c>
      <c r="E20" s="7">
        <v>43913</v>
      </c>
      <c r="F20" s="96">
        <v>-1</v>
      </c>
    </row>
    <row r="21" spans="2:6">
      <c r="B21" s="5" t="s">
        <v>32</v>
      </c>
      <c r="C21" s="6" t="s">
        <v>14</v>
      </c>
      <c r="D21" s="7">
        <v>43926</v>
      </c>
      <c r="E21" s="7">
        <v>43930</v>
      </c>
      <c r="F21" s="96">
        <v>-4</v>
      </c>
    </row>
    <row r="22" spans="2:6">
      <c r="B22" s="5" t="s">
        <v>32</v>
      </c>
      <c r="C22" s="6" t="s">
        <v>36</v>
      </c>
      <c r="D22" s="7">
        <v>43927</v>
      </c>
      <c r="E22" s="7">
        <v>43930</v>
      </c>
      <c r="F22" s="96">
        <v>-3</v>
      </c>
    </row>
    <row r="23" spans="2:6">
      <c r="B23" s="5" t="s">
        <v>32</v>
      </c>
      <c r="C23" s="6" t="s">
        <v>37</v>
      </c>
      <c r="D23" s="7">
        <v>43979</v>
      </c>
      <c r="E23" s="7">
        <v>43891</v>
      </c>
      <c r="F23" s="96">
        <v>2</v>
      </c>
    </row>
    <row r="24" spans="2:6">
      <c r="B24" s="5" t="s">
        <v>32</v>
      </c>
      <c r="C24" s="6" t="s">
        <v>38</v>
      </c>
      <c r="D24" s="7">
        <v>43929</v>
      </c>
      <c r="E24" s="7">
        <v>43933</v>
      </c>
      <c r="F24" s="96">
        <v>-4</v>
      </c>
    </row>
    <row r="25" spans="2:6">
      <c r="B25" s="5" t="s">
        <v>32</v>
      </c>
      <c r="C25" s="6" t="s">
        <v>39</v>
      </c>
      <c r="D25" s="7">
        <v>43951</v>
      </c>
      <c r="E25" s="7">
        <v>43894</v>
      </c>
      <c r="F25" s="96">
        <v>1</v>
      </c>
    </row>
    <row r="26" spans="2:6">
      <c r="B26" s="5" t="s">
        <v>33</v>
      </c>
      <c r="C26" s="6" t="s">
        <v>16</v>
      </c>
      <c r="D26" s="7">
        <v>43916</v>
      </c>
      <c r="E26" s="7">
        <v>43916</v>
      </c>
      <c r="F26" s="96">
        <v>0</v>
      </c>
    </row>
    <row r="27" spans="2:6">
      <c r="B27" s="5" t="s">
        <v>33</v>
      </c>
      <c r="C27" s="6" t="s">
        <v>17</v>
      </c>
      <c r="D27" s="7">
        <v>43913</v>
      </c>
      <c r="E27" s="7">
        <v>43915</v>
      </c>
      <c r="F27" s="96">
        <v>-2</v>
      </c>
    </row>
    <row r="28" spans="2:6">
      <c r="B28" s="5" t="s">
        <v>33</v>
      </c>
      <c r="C28" s="6" t="s">
        <v>34</v>
      </c>
      <c r="D28" s="7">
        <v>43916</v>
      </c>
      <c r="E28" s="7">
        <v>43918</v>
      </c>
      <c r="F28" s="96">
        <v>-2</v>
      </c>
    </row>
    <row r="29" spans="2:6">
      <c r="B29" s="5" t="s">
        <v>33</v>
      </c>
      <c r="C29" s="6" t="s">
        <v>15</v>
      </c>
      <c r="D29" s="7">
        <v>43907</v>
      </c>
      <c r="E29" s="7">
        <v>43908</v>
      </c>
      <c r="F29" s="96">
        <v>-1</v>
      </c>
    </row>
    <row r="30" spans="2:6">
      <c r="B30" s="5" t="s">
        <v>33</v>
      </c>
      <c r="C30" s="6" t="s">
        <v>35</v>
      </c>
      <c r="D30" s="7">
        <v>43845</v>
      </c>
      <c r="E30" s="7">
        <v>43909</v>
      </c>
      <c r="F30" s="96">
        <v>-4</v>
      </c>
    </row>
    <row r="31" spans="2:6">
      <c r="B31" s="5" t="s">
        <v>33</v>
      </c>
      <c r="C31" s="6" t="s">
        <v>14</v>
      </c>
      <c r="D31" s="7">
        <v>43947</v>
      </c>
      <c r="E31" s="7">
        <v>43918</v>
      </c>
      <c r="F31" s="96">
        <v>1</v>
      </c>
    </row>
    <row r="32" spans="2:6">
      <c r="B32" s="5" t="s">
        <v>33</v>
      </c>
      <c r="C32" s="6" t="s">
        <v>36</v>
      </c>
      <c r="D32" s="7">
        <v>43919</v>
      </c>
      <c r="E32" s="7">
        <v>43920</v>
      </c>
      <c r="F32" s="96">
        <v>-1</v>
      </c>
    </row>
    <row r="33" spans="2:6">
      <c r="B33" s="5" t="s">
        <v>33</v>
      </c>
      <c r="C33" s="6" t="s">
        <v>37</v>
      </c>
      <c r="D33" s="7">
        <v>43912</v>
      </c>
      <c r="E33" s="7">
        <v>43909</v>
      </c>
      <c r="F33" s="96">
        <v>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서식적용6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서식해제4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H32"/>
  <sheetViews>
    <sheetView zoomScaleNormal="100" workbookViewId="0">
      <selection activeCell="I8" sqref="I8"/>
    </sheetView>
  </sheetViews>
  <sheetFormatPr defaultRowHeight="16.899999999999999"/>
  <cols>
    <col min="4" max="4" width="12.875" bestFit="1" customWidth="1"/>
    <col min="8" max="8" width="9.875" bestFit="1" customWidth="1"/>
  </cols>
  <sheetData>
    <row r="2" spans="2:8"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363</v>
      </c>
      <c r="H2" s="90" t="s">
        <v>364</v>
      </c>
    </row>
    <row r="3" spans="2:8">
      <c r="B3" s="11">
        <v>24</v>
      </c>
      <c r="C3" s="11" t="s">
        <v>6</v>
      </c>
      <c r="D3" s="11" t="s">
        <v>7</v>
      </c>
      <c r="E3" s="9">
        <v>13200</v>
      </c>
      <c r="F3" s="11">
        <v>5</v>
      </c>
      <c r="G3" s="11">
        <v>3</v>
      </c>
      <c r="H3" s="97">
        <v>-1</v>
      </c>
    </row>
    <row r="4" spans="2:8">
      <c r="B4" s="11">
        <v>41</v>
      </c>
      <c r="C4" s="11" t="s">
        <v>8</v>
      </c>
      <c r="D4" s="11" t="s">
        <v>9</v>
      </c>
      <c r="E4" s="9">
        <v>22500</v>
      </c>
      <c r="F4" s="11">
        <v>3</v>
      </c>
      <c r="G4" s="11">
        <v>0</v>
      </c>
      <c r="H4" s="97">
        <v>1</v>
      </c>
    </row>
    <row r="5" spans="2:8">
      <c r="B5" s="11">
        <v>50</v>
      </c>
      <c r="C5" s="11" t="s">
        <v>10</v>
      </c>
      <c r="D5" s="11" t="s">
        <v>11</v>
      </c>
      <c r="E5" s="9">
        <v>45000</v>
      </c>
      <c r="F5" s="11">
        <v>15</v>
      </c>
      <c r="G5" s="11">
        <v>0</v>
      </c>
      <c r="H5" s="97">
        <v>0</v>
      </c>
    </row>
    <row r="6" spans="2:8">
      <c r="B6" s="11">
        <v>29</v>
      </c>
      <c r="C6" s="11" t="s">
        <v>12</v>
      </c>
      <c r="D6" s="11" t="s">
        <v>13</v>
      </c>
      <c r="E6" s="9">
        <v>14200</v>
      </c>
      <c r="F6" s="11">
        <v>15</v>
      </c>
      <c r="G6" s="11">
        <v>0</v>
      </c>
      <c r="H6" s="97">
        <v>-1</v>
      </c>
    </row>
    <row r="7" spans="2:8">
      <c r="B7" s="11">
        <v>42</v>
      </c>
      <c r="C7" s="11" t="s">
        <v>12</v>
      </c>
      <c r="D7" s="11" t="s">
        <v>13</v>
      </c>
      <c r="E7" s="9">
        <v>28400</v>
      </c>
      <c r="F7" s="11">
        <v>5</v>
      </c>
      <c r="G7" s="11">
        <v>1</v>
      </c>
      <c r="H7" s="97">
        <v>1</v>
      </c>
    </row>
    <row r="8" spans="2:8">
      <c r="B8" s="11">
        <v>7</v>
      </c>
      <c r="C8" s="11" t="s">
        <v>12</v>
      </c>
      <c r="D8" s="11" t="s">
        <v>13</v>
      </c>
      <c r="E8" s="9">
        <v>13000</v>
      </c>
      <c r="F8" s="11">
        <v>10</v>
      </c>
      <c r="G8" s="11">
        <v>0</v>
      </c>
      <c r="H8" s="97">
        <v>0</v>
      </c>
    </row>
    <row r="9" spans="2:8">
      <c r="B9" s="11">
        <v>45</v>
      </c>
      <c r="C9" s="11" t="s">
        <v>10</v>
      </c>
      <c r="D9" s="11" t="s">
        <v>11</v>
      </c>
      <c r="E9" s="9">
        <v>24000</v>
      </c>
      <c r="F9" s="11">
        <v>14</v>
      </c>
      <c r="G9" s="11">
        <v>1</v>
      </c>
      <c r="H9" s="97">
        <v>1</v>
      </c>
    </row>
    <row r="10" spans="2:8">
      <c r="B10" s="11">
        <v>16</v>
      </c>
      <c r="C10" s="11" t="s">
        <v>12</v>
      </c>
      <c r="D10" s="11" t="s">
        <v>13</v>
      </c>
      <c r="E10" s="9">
        <v>12900</v>
      </c>
      <c r="F10" s="11">
        <v>5</v>
      </c>
      <c r="G10" s="11">
        <v>1</v>
      </c>
      <c r="H10" s="97">
        <v>-1</v>
      </c>
    </row>
    <row r="11" spans="2:8">
      <c r="B11" s="11">
        <v>16</v>
      </c>
      <c r="C11" s="11" t="s">
        <v>6</v>
      </c>
      <c r="D11" s="11" t="s">
        <v>7</v>
      </c>
      <c r="E11" s="9">
        <v>12800</v>
      </c>
      <c r="F11" s="11">
        <v>6</v>
      </c>
      <c r="G11" s="11">
        <v>1</v>
      </c>
      <c r="H11" s="97">
        <v>1</v>
      </c>
    </row>
    <row r="12" spans="2:8">
      <c r="B12" s="11">
        <v>51</v>
      </c>
      <c r="C12" s="11" t="s">
        <v>6</v>
      </c>
      <c r="D12" s="11" t="s">
        <v>7</v>
      </c>
      <c r="E12" s="9">
        <v>33000</v>
      </c>
      <c r="F12" s="11">
        <v>8</v>
      </c>
      <c r="G12" s="11">
        <v>0</v>
      </c>
      <c r="H12" s="97">
        <v>0</v>
      </c>
    </row>
    <row r="13" spans="2:8">
      <c r="B13" s="11">
        <v>46</v>
      </c>
      <c r="C13" s="11" t="s">
        <v>6</v>
      </c>
      <c r="D13" s="11" t="s">
        <v>7</v>
      </c>
      <c r="E13" s="9">
        <v>19800</v>
      </c>
      <c r="F13" s="11">
        <v>8</v>
      </c>
      <c r="G13" s="11">
        <v>2</v>
      </c>
      <c r="H13" s="97">
        <v>0</v>
      </c>
    </row>
    <row r="14" spans="2:8">
      <c r="B14" s="11">
        <v>22</v>
      </c>
      <c r="C14" s="11" t="s">
        <v>6</v>
      </c>
      <c r="D14" s="11" t="s">
        <v>7</v>
      </c>
      <c r="E14" s="9">
        <v>13200</v>
      </c>
      <c r="F14" s="11">
        <v>21</v>
      </c>
      <c r="G14" s="11">
        <v>0</v>
      </c>
      <c r="H14" s="97">
        <v>-1</v>
      </c>
    </row>
    <row r="15" spans="2:8">
      <c r="B15" s="11">
        <v>6</v>
      </c>
      <c r="C15" s="11" t="s">
        <v>6</v>
      </c>
      <c r="D15" s="11" t="s">
        <v>7</v>
      </c>
      <c r="E15" s="9">
        <v>12800</v>
      </c>
      <c r="F15" s="11">
        <v>7</v>
      </c>
      <c r="G15" s="11">
        <v>0</v>
      </c>
      <c r="H15" s="97">
        <v>1</v>
      </c>
    </row>
    <row r="16" spans="2:8">
      <c r="B16" s="11">
        <v>22</v>
      </c>
      <c r="C16" s="11" t="s">
        <v>8</v>
      </c>
      <c r="D16" s="11" t="s">
        <v>9</v>
      </c>
      <c r="E16" s="9">
        <v>13500</v>
      </c>
      <c r="F16" s="11">
        <v>21</v>
      </c>
      <c r="G16" s="11">
        <v>2</v>
      </c>
      <c r="H16" s="97">
        <v>-1</v>
      </c>
    </row>
    <row r="17" spans="2:8">
      <c r="B17" s="11">
        <v>21</v>
      </c>
      <c r="C17" s="11" t="s">
        <v>10</v>
      </c>
      <c r="D17" s="11" t="s">
        <v>11</v>
      </c>
      <c r="E17" s="9">
        <v>13700</v>
      </c>
      <c r="F17" s="11">
        <v>20</v>
      </c>
      <c r="G17" s="11">
        <v>0</v>
      </c>
      <c r="H17" s="97">
        <v>1</v>
      </c>
    </row>
    <row r="18" spans="2:8">
      <c r="B18" s="11">
        <v>13</v>
      </c>
      <c r="C18" s="11" t="s">
        <v>12</v>
      </c>
      <c r="D18" s="11" t="s">
        <v>13</v>
      </c>
      <c r="E18" s="9">
        <v>12900</v>
      </c>
      <c r="F18" s="11">
        <v>8</v>
      </c>
      <c r="G18" s="11">
        <v>0</v>
      </c>
      <c r="H18" s="97">
        <v>-1</v>
      </c>
    </row>
    <row r="19" spans="2:8">
      <c r="B19" s="11">
        <v>29</v>
      </c>
      <c r="C19" s="11" t="s">
        <v>6</v>
      </c>
      <c r="D19" s="11" t="s">
        <v>7</v>
      </c>
      <c r="E19" s="9">
        <v>13200</v>
      </c>
      <c r="F19" s="11">
        <v>24</v>
      </c>
      <c r="G19" s="11">
        <v>0</v>
      </c>
      <c r="H19" s="97">
        <v>-1</v>
      </c>
    </row>
    <row r="20" spans="2:8">
      <c r="B20" s="11">
        <v>61</v>
      </c>
      <c r="C20" s="11" t="s">
        <v>8</v>
      </c>
      <c r="D20" s="11" t="s">
        <v>9</v>
      </c>
      <c r="E20" s="9">
        <v>32200</v>
      </c>
      <c r="F20" s="11">
        <v>23</v>
      </c>
      <c r="G20" s="11">
        <v>1</v>
      </c>
      <c r="H20" s="97">
        <v>1</v>
      </c>
    </row>
    <row r="21" spans="2:8">
      <c r="B21" s="11">
        <v>12</v>
      </c>
      <c r="C21" s="11" t="s">
        <v>8</v>
      </c>
      <c r="D21" s="11" t="s">
        <v>9</v>
      </c>
      <c r="E21" s="9">
        <v>12600</v>
      </c>
      <c r="F21" s="11">
        <v>20</v>
      </c>
      <c r="G21" s="11">
        <v>2</v>
      </c>
      <c r="H21" s="97">
        <v>-1</v>
      </c>
    </row>
    <row r="22" spans="2:8">
      <c r="B22" s="11">
        <v>64</v>
      </c>
      <c r="C22" s="11" t="s">
        <v>12</v>
      </c>
      <c r="D22" s="11" t="s">
        <v>13</v>
      </c>
      <c r="E22" s="9">
        <v>43900</v>
      </c>
      <c r="F22" s="11">
        <v>7</v>
      </c>
      <c r="G22" s="11">
        <v>0</v>
      </c>
      <c r="H22" s="97">
        <v>1</v>
      </c>
    </row>
    <row r="23" spans="2:8">
      <c r="B23" s="11">
        <v>29</v>
      </c>
      <c r="C23" s="11" t="s">
        <v>6</v>
      </c>
      <c r="D23" s="11" t="s">
        <v>7</v>
      </c>
      <c r="E23" s="9">
        <v>13200</v>
      </c>
      <c r="F23" s="11">
        <v>17</v>
      </c>
      <c r="G23" s="11">
        <v>2</v>
      </c>
      <c r="H23" s="97">
        <v>-1</v>
      </c>
    </row>
    <row r="24" spans="2:8">
      <c r="B24" s="11">
        <v>17</v>
      </c>
      <c r="C24" s="11" t="s">
        <v>8</v>
      </c>
      <c r="D24" s="11" t="s">
        <v>9</v>
      </c>
      <c r="E24" s="9">
        <v>12600</v>
      </c>
      <c r="F24" s="11">
        <v>21</v>
      </c>
      <c r="G24" s="11">
        <v>2</v>
      </c>
      <c r="H24" s="97">
        <v>1</v>
      </c>
    </row>
    <row r="25" spans="2:8">
      <c r="B25" s="11">
        <v>29</v>
      </c>
      <c r="C25" s="11" t="s">
        <v>10</v>
      </c>
      <c r="D25" s="11" t="s">
        <v>11</v>
      </c>
      <c r="E25" s="9">
        <v>13700</v>
      </c>
      <c r="F25" s="11">
        <v>2</v>
      </c>
      <c r="G25" s="11">
        <v>2</v>
      </c>
      <c r="H25" s="97">
        <v>1</v>
      </c>
    </row>
    <row r="26" spans="2:8">
      <c r="B26" s="11">
        <v>26</v>
      </c>
      <c r="C26" s="11" t="s">
        <v>10</v>
      </c>
      <c r="D26" s="11" t="s">
        <v>11</v>
      </c>
      <c r="E26" s="9">
        <v>13700</v>
      </c>
      <c r="F26" s="11">
        <v>4</v>
      </c>
      <c r="G26" s="11">
        <v>1</v>
      </c>
      <c r="H26" s="97">
        <v>0</v>
      </c>
    </row>
    <row r="27" spans="2:8">
      <c r="B27" s="11">
        <v>59</v>
      </c>
      <c r="C27" s="11" t="s">
        <v>10</v>
      </c>
      <c r="D27" s="11" t="s">
        <v>11</v>
      </c>
      <c r="E27" s="9">
        <v>45000</v>
      </c>
      <c r="F27" s="11">
        <v>2</v>
      </c>
      <c r="G27" s="11">
        <v>1</v>
      </c>
      <c r="H27" s="97">
        <v>1</v>
      </c>
    </row>
    <row r="28" spans="2:8">
      <c r="B28" s="11">
        <v>43</v>
      </c>
      <c r="C28" s="11" t="s">
        <v>8</v>
      </c>
      <c r="D28" s="11" t="s">
        <v>9</v>
      </c>
      <c r="E28" s="9">
        <v>22500</v>
      </c>
      <c r="F28" s="11">
        <v>5</v>
      </c>
      <c r="G28" s="11">
        <v>2</v>
      </c>
      <c r="H28" s="97">
        <v>-1</v>
      </c>
    </row>
    <row r="29" spans="2:8">
      <c r="B29" s="11">
        <v>53</v>
      </c>
      <c r="C29" s="11" t="s">
        <v>10</v>
      </c>
      <c r="D29" s="11" t="s">
        <v>11</v>
      </c>
      <c r="E29" s="9">
        <v>45000</v>
      </c>
      <c r="F29" s="11">
        <v>21</v>
      </c>
      <c r="G29" s="11">
        <v>2</v>
      </c>
      <c r="H29" s="97">
        <v>1</v>
      </c>
    </row>
    <row r="30" spans="2:8">
      <c r="B30" s="11">
        <v>29</v>
      </c>
      <c r="C30" s="11" t="s">
        <v>12</v>
      </c>
      <c r="D30" s="11" t="s">
        <v>13</v>
      </c>
      <c r="E30" s="9">
        <v>14200</v>
      </c>
      <c r="F30" s="11">
        <v>18</v>
      </c>
      <c r="G30" s="11">
        <v>1</v>
      </c>
      <c r="H30" s="97">
        <v>0</v>
      </c>
    </row>
    <row r="31" spans="2:8">
      <c r="B31" s="11">
        <v>18</v>
      </c>
      <c r="C31" s="11" t="s">
        <v>6</v>
      </c>
      <c r="D31" s="11" t="s">
        <v>7</v>
      </c>
      <c r="E31" s="9">
        <v>12800</v>
      </c>
      <c r="F31" s="11">
        <v>9</v>
      </c>
      <c r="G31" s="11">
        <v>1</v>
      </c>
      <c r="H31" s="97">
        <v>-1</v>
      </c>
    </row>
    <row r="32" spans="2:8">
      <c r="B32" s="11">
        <v>41</v>
      </c>
      <c r="C32" s="11" t="s">
        <v>8</v>
      </c>
      <c r="D32" s="11" t="s">
        <v>9</v>
      </c>
      <c r="E32" s="9">
        <v>22500</v>
      </c>
      <c r="F32" s="11">
        <v>7</v>
      </c>
      <c r="G32" s="11">
        <v>0</v>
      </c>
      <c r="H32" s="97">
        <v>-1</v>
      </c>
    </row>
  </sheetData>
  <phoneticPr fontId="2" type="noConversion"/>
  <conditionalFormatting sqref="F3:F32">
    <cfRule type="iconSet" priority="3">
      <iconSet iconSet="4TrafficLights">
        <cfvo type="percent" val="0"/>
        <cfvo type="num" val="5"/>
        <cfvo type="num" val="10"/>
        <cfvo type="num" val="20"/>
      </iconSet>
    </cfRule>
    <cfRule type="iconSet" priority="2">
      <iconSet iconSet="4TrafficLights">
        <cfvo type="percent" val="0"/>
        <cfvo type="num" val="5"/>
        <cfvo type="num" val="10"/>
        <cfvo type="num" val="20"/>
      </iconSet>
    </cfRule>
    <cfRule type="iconSet" priority="1">
      <iconSet iconSet="4TrafficLights">
        <cfvo type="percent" val="0"/>
        <cfvo type="num" val="5"/>
        <cfvo type="num" val="10"/>
        <cfvo type="num" val="2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서식적용7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신호등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J32"/>
  <sheetViews>
    <sheetView zoomScaleNormal="100" workbookViewId="0">
      <selection activeCell="K2" sqref="K2"/>
    </sheetView>
  </sheetViews>
  <sheetFormatPr defaultRowHeight="16.899999999999999"/>
  <cols>
    <col min="5" max="5" width="10.125" bestFit="1" customWidth="1"/>
    <col min="6" max="6" width="12" bestFit="1" customWidth="1"/>
    <col min="7" max="7" width="10.125" bestFit="1" customWidth="1"/>
    <col min="8" max="8" width="13.375" bestFit="1" customWidth="1"/>
    <col min="9" max="9" width="11.375" bestFit="1" customWidth="1"/>
    <col min="10" max="10" width="10.125" bestFit="1" customWidth="1"/>
  </cols>
  <sheetData>
    <row r="2" spans="2:10">
      <c r="B2" t="s">
        <v>407</v>
      </c>
    </row>
    <row r="3" spans="2:10">
      <c r="B3" s="90" t="s">
        <v>41</v>
      </c>
      <c r="C3" s="90" t="s">
        <v>365</v>
      </c>
      <c r="D3" s="90" t="s">
        <v>366</v>
      </c>
      <c r="E3" s="90" t="s">
        <v>367</v>
      </c>
      <c r="F3" s="90" t="s">
        <v>368</v>
      </c>
      <c r="G3" s="90" t="s">
        <v>369</v>
      </c>
      <c r="H3" s="90" t="s">
        <v>370</v>
      </c>
      <c r="I3" s="90" t="s">
        <v>371</v>
      </c>
      <c r="J3" s="90" t="s">
        <v>406</v>
      </c>
    </row>
    <row r="4" spans="2:10">
      <c r="B4" s="11" t="s">
        <v>372</v>
      </c>
      <c r="C4" s="11" t="s">
        <v>373</v>
      </c>
      <c r="D4" s="11" t="s">
        <v>374</v>
      </c>
      <c r="E4" s="11" t="s">
        <v>375</v>
      </c>
      <c r="F4" s="11" t="s">
        <v>376</v>
      </c>
      <c r="G4" s="11" t="s">
        <v>377</v>
      </c>
      <c r="H4" s="11" t="s">
        <v>378</v>
      </c>
      <c r="I4" s="9">
        <v>612700</v>
      </c>
      <c r="J4" s="98">
        <f t="shared" ref="J4:J32" si="0">I4/SUM($I$5:$I$32)</f>
        <v>0.10696727607927485</v>
      </c>
    </row>
    <row r="5" spans="2:10">
      <c r="B5" s="11" t="s">
        <v>372</v>
      </c>
      <c r="C5" s="11" t="s">
        <v>373</v>
      </c>
      <c r="D5" s="11" t="s">
        <v>374</v>
      </c>
      <c r="E5" s="11" t="s">
        <v>379</v>
      </c>
      <c r="F5" s="11" t="s">
        <v>380</v>
      </c>
      <c r="G5" s="11" t="s">
        <v>381</v>
      </c>
      <c r="H5" s="11" t="s">
        <v>382</v>
      </c>
      <c r="I5" s="9">
        <v>13000</v>
      </c>
      <c r="J5" s="98">
        <f>I5/SUM($I$5:$I$32)</f>
        <v>2.2695847707370214E-3</v>
      </c>
    </row>
    <row r="6" spans="2:10">
      <c r="B6" s="11" t="s">
        <v>372</v>
      </c>
      <c r="C6" s="11" t="s">
        <v>373</v>
      </c>
      <c r="D6" s="11" t="s">
        <v>374</v>
      </c>
      <c r="E6" s="11" t="s">
        <v>379</v>
      </c>
      <c r="F6" s="11" t="s">
        <v>380</v>
      </c>
      <c r="G6" s="11" t="s">
        <v>381</v>
      </c>
      <c r="H6" s="11" t="s">
        <v>382</v>
      </c>
      <c r="I6" s="9">
        <v>46000</v>
      </c>
      <c r="J6" s="98">
        <f t="shared" si="0"/>
        <v>8.0308384195309987E-3</v>
      </c>
    </row>
    <row r="7" spans="2:10">
      <c r="B7" s="11" t="s">
        <v>372</v>
      </c>
      <c r="C7" s="11" t="s">
        <v>373</v>
      </c>
      <c r="D7" s="11" t="s">
        <v>374</v>
      </c>
      <c r="E7" s="11" t="s">
        <v>383</v>
      </c>
      <c r="F7" s="11" t="s">
        <v>384</v>
      </c>
      <c r="G7" s="11" t="s">
        <v>385</v>
      </c>
      <c r="H7" s="11" t="s">
        <v>385</v>
      </c>
      <c r="I7" s="9">
        <v>3000</v>
      </c>
      <c r="J7" s="98">
        <f t="shared" si="0"/>
        <v>5.2375033170854346E-4</v>
      </c>
    </row>
    <row r="8" spans="2:10">
      <c r="B8" s="11" t="s">
        <v>372</v>
      </c>
      <c r="C8" s="11" t="s">
        <v>373</v>
      </c>
      <c r="D8" s="11" t="s">
        <v>374</v>
      </c>
      <c r="E8" s="11" t="s">
        <v>379</v>
      </c>
      <c r="F8" s="11" t="s">
        <v>384</v>
      </c>
      <c r="G8" s="11" t="s">
        <v>381</v>
      </c>
      <c r="H8" s="11" t="s">
        <v>382</v>
      </c>
      <c r="I8" s="9">
        <v>536790</v>
      </c>
      <c r="J8" s="98">
        <f t="shared" si="0"/>
        <v>9.3714646852609676E-2</v>
      </c>
    </row>
    <row r="9" spans="2:10">
      <c r="B9" s="11" t="s">
        <v>372</v>
      </c>
      <c r="C9" s="11" t="s">
        <v>373</v>
      </c>
      <c r="D9" s="11" t="s">
        <v>374</v>
      </c>
      <c r="E9" s="11" t="s">
        <v>379</v>
      </c>
      <c r="F9" s="11" t="s">
        <v>384</v>
      </c>
      <c r="G9" s="11" t="s">
        <v>381</v>
      </c>
      <c r="H9" s="11" t="s">
        <v>382</v>
      </c>
      <c r="I9" s="9">
        <v>1738200</v>
      </c>
      <c r="J9" s="98">
        <f t="shared" si="0"/>
        <v>0.30346094219193004</v>
      </c>
    </row>
    <row r="10" spans="2:10">
      <c r="B10" s="11" t="s">
        <v>372</v>
      </c>
      <c r="C10" s="11" t="s">
        <v>373</v>
      </c>
      <c r="D10" s="11" t="s">
        <v>374</v>
      </c>
      <c r="E10" s="11" t="s">
        <v>379</v>
      </c>
      <c r="F10" s="11" t="s">
        <v>386</v>
      </c>
      <c r="G10" s="11" t="s">
        <v>381</v>
      </c>
      <c r="H10" s="11" t="s">
        <v>382</v>
      </c>
      <c r="I10" s="9">
        <v>23520</v>
      </c>
      <c r="J10" s="98">
        <f t="shared" si="0"/>
        <v>4.1062026005949806E-3</v>
      </c>
    </row>
    <row r="11" spans="2:10">
      <c r="B11" s="11" t="s">
        <v>372</v>
      </c>
      <c r="C11" s="11" t="s">
        <v>373</v>
      </c>
      <c r="D11" s="11" t="s">
        <v>374</v>
      </c>
      <c r="E11" s="11" t="s">
        <v>375</v>
      </c>
      <c r="F11" s="11" t="s">
        <v>376</v>
      </c>
      <c r="G11" s="11" t="s">
        <v>387</v>
      </c>
      <c r="H11" s="11" t="s">
        <v>388</v>
      </c>
      <c r="I11" s="9">
        <v>58600</v>
      </c>
      <c r="J11" s="98">
        <f t="shared" si="0"/>
        <v>1.0230589812706881E-2</v>
      </c>
    </row>
    <row r="12" spans="2:10">
      <c r="B12" s="11" t="s">
        <v>372</v>
      </c>
      <c r="C12" s="11" t="s">
        <v>373</v>
      </c>
      <c r="D12" s="11" t="s">
        <v>374</v>
      </c>
      <c r="E12" s="11" t="s">
        <v>375</v>
      </c>
      <c r="F12" s="11" t="s">
        <v>376</v>
      </c>
      <c r="G12" s="11" t="s">
        <v>387</v>
      </c>
      <c r="H12" s="11" t="s">
        <v>388</v>
      </c>
      <c r="I12" s="9">
        <v>117840</v>
      </c>
      <c r="J12" s="98">
        <f t="shared" si="0"/>
        <v>2.0572913029511586E-2</v>
      </c>
    </row>
    <row r="13" spans="2:10">
      <c r="B13" s="11" t="s">
        <v>389</v>
      </c>
      <c r="C13" s="11" t="s">
        <v>390</v>
      </c>
      <c r="D13" s="11" t="s">
        <v>391</v>
      </c>
      <c r="E13" s="11" t="s">
        <v>392</v>
      </c>
      <c r="F13" s="11" t="s">
        <v>393</v>
      </c>
      <c r="G13" s="11" t="s">
        <v>394</v>
      </c>
      <c r="H13" s="11" t="s">
        <v>385</v>
      </c>
      <c r="I13" s="9">
        <v>220000</v>
      </c>
      <c r="J13" s="98">
        <f t="shared" si="0"/>
        <v>3.8408357658626519E-2</v>
      </c>
    </row>
    <row r="14" spans="2:10">
      <c r="B14" s="11" t="s">
        <v>389</v>
      </c>
      <c r="C14" s="11" t="s">
        <v>390</v>
      </c>
      <c r="D14" s="11" t="s">
        <v>391</v>
      </c>
      <c r="E14" s="11" t="s">
        <v>375</v>
      </c>
      <c r="F14" s="11" t="s">
        <v>376</v>
      </c>
      <c r="G14" s="11" t="s">
        <v>377</v>
      </c>
      <c r="H14" s="11" t="s">
        <v>378</v>
      </c>
      <c r="I14" s="9">
        <v>44700</v>
      </c>
      <c r="J14" s="98">
        <f t="shared" si="0"/>
        <v>7.8038799424572968E-3</v>
      </c>
    </row>
    <row r="15" spans="2:10">
      <c r="B15" s="11" t="s">
        <v>389</v>
      </c>
      <c r="C15" s="11" t="s">
        <v>390</v>
      </c>
      <c r="D15" s="11" t="s">
        <v>391</v>
      </c>
      <c r="E15" s="11" t="s">
        <v>375</v>
      </c>
      <c r="F15" s="11" t="s">
        <v>376</v>
      </c>
      <c r="G15" s="11" t="s">
        <v>377</v>
      </c>
      <c r="H15" s="11" t="s">
        <v>378</v>
      </c>
      <c r="I15" s="9">
        <v>88400</v>
      </c>
      <c r="J15" s="98">
        <f t="shared" si="0"/>
        <v>1.5433176441011746E-2</v>
      </c>
    </row>
    <row r="16" spans="2:10">
      <c r="B16" s="11" t="s">
        <v>389</v>
      </c>
      <c r="C16" s="11" t="s">
        <v>390</v>
      </c>
      <c r="D16" s="11" t="s">
        <v>391</v>
      </c>
      <c r="E16" s="11" t="s">
        <v>375</v>
      </c>
      <c r="F16" s="11" t="s">
        <v>376</v>
      </c>
      <c r="G16" s="11" t="s">
        <v>387</v>
      </c>
      <c r="H16" s="11" t="s">
        <v>388</v>
      </c>
      <c r="I16" s="9">
        <v>107190</v>
      </c>
      <c r="J16" s="98">
        <f t="shared" si="0"/>
        <v>1.8713599351946258E-2</v>
      </c>
    </row>
    <row r="17" spans="2:10">
      <c r="B17" s="11" t="s">
        <v>395</v>
      </c>
      <c r="C17" s="11" t="s">
        <v>396</v>
      </c>
      <c r="D17" s="11" t="s">
        <v>374</v>
      </c>
      <c r="E17" s="11" t="s">
        <v>375</v>
      </c>
      <c r="F17" s="11" t="s">
        <v>376</v>
      </c>
      <c r="G17" s="11" t="s">
        <v>387</v>
      </c>
      <c r="H17" s="11" t="s">
        <v>388</v>
      </c>
      <c r="I17" s="9">
        <v>360600</v>
      </c>
      <c r="J17" s="98">
        <f t="shared" si="0"/>
        <v>6.295478987136692E-2</v>
      </c>
    </row>
    <row r="18" spans="2:10">
      <c r="B18" s="11" t="s">
        <v>395</v>
      </c>
      <c r="C18" s="11" t="s">
        <v>396</v>
      </c>
      <c r="D18" s="11" t="s">
        <v>374</v>
      </c>
      <c r="E18" s="11" t="s">
        <v>383</v>
      </c>
      <c r="F18" s="11" t="s">
        <v>384</v>
      </c>
      <c r="G18" s="11" t="s">
        <v>385</v>
      </c>
      <c r="H18" s="11" t="s">
        <v>385</v>
      </c>
      <c r="I18" s="9">
        <v>145000</v>
      </c>
      <c r="J18" s="98">
        <f t="shared" si="0"/>
        <v>2.5314599365912932E-2</v>
      </c>
    </row>
    <row r="19" spans="2:10">
      <c r="B19" s="11" t="s">
        <v>395</v>
      </c>
      <c r="C19" s="11" t="s">
        <v>396</v>
      </c>
      <c r="D19" s="11" t="s">
        <v>374</v>
      </c>
      <c r="E19" s="11" t="s">
        <v>383</v>
      </c>
      <c r="F19" s="11" t="s">
        <v>384</v>
      </c>
      <c r="G19" s="11" t="s">
        <v>385</v>
      </c>
      <c r="H19" s="11" t="s">
        <v>385</v>
      </c>
      <c r="I19" s="9">
        <v>231000</v>
      </c>
      <c r="J19" s="98">
        <f t="shared" si="0"/>
        <v>4.0328775541557844E-2</v>
      </c>
    </row>
    <row r="20" spans="2:10">
      <c r="B20" s="11" t="s">
        <v>395</v>
      </c>
      <c r="C20" s="11" t="s">
        <v>396</v>
      </c>
      <c r="D20" s="11" t="s">
        <v>374</v>
      </c>
      <c r="E20" s="11" t="s">
        <v>375</v>
      </c>
      <c r="F20" s="11" t="s">
        <v>376</v>
      </c>
      <c r="G20" s="11" t="s">
        <v>387</v>
      </c>
      <c r="H20" s="11" t="s">
        <v>388</v>
      </c>
      <c r="I20" s="9">
        <v>50620</v>
      </c>
      <c r="J20" s="98">
        <f t="shared" si="0"/>
        <v>8.8374139303621559E-3</v>
      </c>
    </row>
    <row r="21" spans="2:10">
      <c r="B21" s="11" t="s">
        <v>397</v>
      </c>
      <c r="C21" s="11" t="s">
        <v>398</v>
      </c>
      <c r="D21" s="11" t="s">
        <v>374</v>
      </c>
      <c r="E21" s="11" t="s">
        <v>399</v>
      </c>
      <c r="F21" s="11" t="s">
        <v>380</v>
      </c>
      <c r="G21" s="11" t="s">
        <v>400</v>
      </c>
      <c r="H21" s="11" t="s">
        <v>401</v>
      </c>
      <c r="I21" s="9">
        <v>46360</v>
      </c>
      <c r="J21" s="98">
        <f t="shared" si="0"/>
        <v>8.093688459336024E-3</v>
      </c>
    </row>
    <row r="22" spans="2:10">
      <c r="B22" s="11" t="s">
        <v>397</v>
      </c>
      <c r="C22" s="11" t="s">
        <v>398</v>
      </c>
      <c r="D22" s="11" t="s">
        <v>374</v>
      </c>
      <c r="E22" s="11" t="s">
        <v>399</v>
      </c>
      <c r="F22" s="11" t="s">
        <v>380</v>
      </c>
      <c r="G22" s="11" t="s">
        <v>400</v>
      </c>
      <c r="H22" s="11" t="s">
        <v>401</v>
      </c>
      <c r="I22" s="9">
        <v>143040</v>
      </c>
      <c r="J22" s="98">
        <f t="shared" si="0"/>
        <v>2.497241581586335E-2</v>
      </c>
    </row>
    <row r="23" spans="2:10">
      <c r="B23" s="11" t="s">
        <v>397</v>
      </c>
      <c r="C23" s="11" t="s">
        <v>398</v>
      </c>
      <c r="D23" s="11" t="s">
        <v>374</v>
      </c>
      <c r="E23" s="11" t="s">
        <v>399</v>
      </c>
      <c r="F23" s="11" t="s">
        <v>384</v>
      </c>
      <c r="G23" s="11" t="s">
        <v>400</v>
      </c>
      <c r="H23" s="11" t="s">
        <v>401</v>
      </c>
      <c r="I23" s="9">
        <v>138660</v>
      </c>
      <c r="J23" s="98">
        <f t="shared" si="0"/>
        <v>2.4207740331568875E-2</v>
      </c>
    </row>
    <row r="24" spans="2:10">
      <c r="B24" s="11" t="s">
        <v>397</v>
      </c>
      <c r="C24" s="11" t="s">
        <v>398</v>
      </c>
      <c r="D24" s="11" t="s">
        <v>374</v>
      </c>
      <c r="E24" s="11" t="s">
        <v>399</v>
      </c>
      <c r="F24" s="11" t="s">
        <v>384</v>
      </c>
      <c r="G24" s="11" t="s">
        <v>400</v>
      </c>
      <c r="H24" s="11" t="s">
        <v>401</v>
      </c>
      <c r="I24" s="9">
        <v>239250</v>
      </c>
      <c r="J24" s="98">
        <f t="shared" si="0"/>
        <v>4.1769088953756341E-2</v>
      </c>
    </row>
    <row r="25" spans="2:10">
      <c r="B25" s="11" t="s">
        <v>397</v>
      </c>
      <c r="C25" s="11" t="s">
        <v>398</v>
      </c>
      <c r="D25" s="11" t="s">
        <v>374</v>
      </c>
      <c r="E25" s="11" t="s">
        <v>399</v>
      </c>
      <c r="F25" s="11" t="s">
        <v>386</v>
      </c>
      <c r="G25" s="11" t="s">
        <v>400</v>
      </c>
      <c r="H25" s="11" t="s">
        <v>401</v>
      </c>
      <c r="I25" s="9">
        <v>4000</v>
      </c>
      <c r="J25" s="98">
        <f t="shared" si="0"/>
        <v>6.9833377561139118E-4</v>
      </c>
    </row>
    <row r="26" spans="2:10">
      <c r="B26" s="11" t="s">
        <v>397</v>
      </c>
      <c r="C26" s="11" t="s">
        <v>398</v>
      </c>
      <c r="D26" s="11" t="s">
        <v>374</v>
      </c>
      <c r="E26" s="11" t="s">
        <v>375</v>
      </c>
      <c r="F26" s="11" t="s">
        <v>376</v>
      </c>
      <c r="G26" s="11" t="s">
        <v>387</v>
      </c>
      <c r="H26" s="11" t="s">
        <v>388</v>
      </c>
      <c r="I26" s="9">
        <v>81970</v>
      </c>
      <c r="J26" s="98">
        <f t="shared" si="0"/>
        <v>1.4310604896716435E-2</v>
      </c>
    </row>
    <row r="27" spans="2:10">
      <c r="B27" s="11" t="s">
        <v>402</v>
      </c>
      <c r="C27" s="11" t="s">
        <v>403</v>
      </c>
      <c r="D27" s="11" t="s">
        <v>374</v>
      </c>
      <c r="E27" s="11" t="s">
        <v>379</v>
      </c>
      <c r="F27" s="11" t="s">
        <v>380</v>
      </c>
      <c r="G27" s="11" t="s">
        <v>404</v>
      </c>
      <c r="H27" s="11" t="s">
        <v>405</v>
      </c>
      <c r="I27" s="9">
        <v>15000</v>
      </c>
      <c r="J27" s="98">
        <f t="shared" si="0"/>
        <v>2.6187516585427172E-3</v>
      </c>
    </row>
    <row r="28" spans="2:10">
      <c r="B28" s="11" t="s">
        <v>402</v>
      </c>
      <c r="C28" s="11" t="s">
        <v>403</v>
      </c>
      <c r="D28" s="11" t="s">
        <v>374</v>
      </c>
      <c r="E28" s="11" t="s">
        <v>379</v>
      </c>
      <c r="F28" s="11" t="s">
        <v>380</v>
      </c>
      <c r="G28" s="11" t="s">
        <v>381</v>
      </c>
      <c r="H28" s="11" t="s">
        <v>382</v>
      </c>
      <c r="I28" s="9">
        <v>111980</v>
      </c>
      <c r="J28" s="98">
        <f t="shared" si="0"/>
        <v>1.9549854048240896E-2</v>
      </c>
    </row>
    <row r="29" spans="2:10">
      <c r="B29" s="11" t="s">
        <v>402</v>
      </c>
      <c r="C29" s="11" t="s">
        <v>403</v>
      </c>
      <c r="D29" s="11" t="s">
        <v>374</v>
      </c>
      <c r="E29" s="11" t="s">
        <v>379</v>
      </c>
      <c r="F29" s="11" t="s">
        <v>380</v>
      </c>
      <c r="G29" s="11" t="s">
        <v>381</v>
      </c>
      <c r="H29" s="11" t="s">
        <v>382</v>
      </c>
      <c r="I29" s="9">
        <v>213200</v>
      </c>
      <c r="J29" s="98">
        <f t="shared" si="0"/>
        <v>3.7221190240087153E-2</v>
      </c>
    </row>
    <row r="30" spans="2:10">
      <c r="B30" s="11" t="s">
        <v>402</v>
      </c>
      <c r="C30" s="11" t="s">
        <v>403</v>
      </c>
      <c r="D30" s="11" t="s">
        <v>374</v>
      </c>
      <c r="E30" s="11" t="s">
        <v>392</v>
      </c>
      <c r="F30" s="11" t="s">
        <v>393</v>
      </c>
      <c r="G30" s="11" t="s">
        <v>394</v>
      </c>
      <c r="H30" s="11" t="s">
        <v>385</v>
      </c>
      <c r="I30" s="9">
        <v>110000</v>
      </c>
      <c r="J30" s="98">
        <f t="shared" si="0"/>
        <v>1.9204178829313259E-2</v>
      </c>
    </row>
    <row r="31" spans="2:10">
      <c r="B31" s="11" t="s">
        <v>402</v>
      </c>
      <c r="C31" s="11" t="s">
        <v>403</v>
      </c>
      <c r="D31" s="11" t="s">
        <v>374</v>
      </c>
      <c r="E31" s="11" t="s">
        <v>392</v>
      </c>
      <c r="F31" s="11" t="s">
        <v>393</v>
      </c>
      <c r="G31" s="11" t="s">
        <v>394</v>
      </c>
      <c r="H31" s="11" t="s">
        <v>385</v>
      </c>
      <c r="I31" s="9">
        <v>240000</v>
      </c>
      <c r="J31" s="98">
        <f t="shared" si="0"/>
        <v>4.1900026536683475E-2</v>
      </c>
    </row>
    <row r="32" spans="2:10">
      <c r="B32" s="11" t="s">
        <v>402</v>
      </c>
      <c r="C32" s="11" t="s">
        <v>403</v>
      </c>
      <c r="D32" s="11" t="s">
        <v>374</v>
      </c>
      <c r="E32" s="11" t="s">
        <v>392</v>
      </c>
      <c r="F32" s="11" t="s">
        <v>393</v>
      </c>
      <c r="G32" s="11" t="s">
        <v>394</v>
      </c>
      <c r="H32" s="11" t="s">
        <v>385</v>
      </c>
      <c r="I32" s="9">
        <v>600000</v>
      </c>
      <c r="J32" s="98">
        <f t="shared" si="0"/>
        <v>0.10475006634170868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서식적용8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서식해제5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차트1</vt:lpstr>
      <vt:lpstr>차트2</vt:lpstr>
      <vt:lpstr>차트3</vt:lpstr>
      <vt:lpstr>차트4</vt:lpstr>
      <vt:lpstr>차트5</vt:lpstr>
      <vt:lpstr>차트6</vt:lpstr>
      <vt:lpstr>매크로1</vt:lpstr>
      <vt:lpstr>매크로2</vt:lpstr>
      <vt:lpstr>매크로3</vt:lpstr>
      <vt:lpstr>매크로4</vt:lpstr>
      <vt:lpstr>매크로5</vt:lpstr>
      <vt:lpstr>매크로6</vt:lpstr>
      <vt:lpstr>매크로7</vt:lpstr>
      <vt:lpstr>매크로8</vt:lpstr>
      <vt:lpstr>매크로9</vt:lpstr>
      <vt:lpstr>매크로10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2023-06-26T11:46:00Z</dcterms:modified>
</cp:coreProperties>
</file>