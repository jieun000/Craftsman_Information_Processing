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mondi\Desktop\A\Craftsman_Information_Processing\Spreadsheet&amp;Access4.0\spreadsheet\09_2023년2회상시복원기출문제(버전1.1)\"/>
    </mc:Choice>
  </mc:AlternateContent>
  <xr:revisionPtr revIDLastSave="0" documentId="13_ncr:1_{5B944DB0-52C0-4BF4-A458-78B70B77E65A}" xr6:coauthVersionLast="47" xr6:coauthVersionMax="47" xr10:uidLastSave="{00000000-0000-0000-0000-000000000000}"/>
  <bookViews>
    <workbookView xWindow="-98" yWindow="-98" windowWidth="21795" windowHeight="12975" tabRatio="661" firstSheet="1" activeTab="2" xr2:uid="{00000000-000D-0000-FFFF-FFFF00000000}"/>
  </bookViews>
  <sheets>
    <sheet name="기본작업-1" sheetId="2" r:id="rId1"/>
    <sheet name="기본작업-2" sheetId="10" r:id="rId2"/>
    <sheet name="계산작업" sheetId="5" r:id="rId3"/>
    <sheet name="분석작업-1" sheetId="6" r:id="rId4"/>
    <sheet name="분석작업-2" sheetId="13" r:id="rId5"/>
    <sheet name="기타작업-1" sheetId="12" r:id="rId6"/>
    <sheet name="기타작업-2" sheetId="8" r:id="rId7"/>
    <sheet name="기타작업-3" sheetId="9" r:id="rId8"/>
  </sheets>
  <functionGroups builtInGroupCount="19"/>
  <externalReferences>
    <externalReference r:id="rId9"/>
  </externalReferences>
  <definedNames>
    <definedName name="_xlnm._FilterDatabase" localSheetId="0" hidden="1">'기본작업-1'!$A$2:$E$24</definedName>
    <definedName name="_xlnm._FilterDatabase" localSheetId="1" hidden="1">'기본작업-2'!#REF!</definedName>
    <definedName name="_xlnm.Criteria" localSheetId="0">'기본작업-1'!$G$2:$G$3</definedName>
    <definedName name="_xlnm.Criteria" localSheetId="1">'기본작업-2'!#REF!</definedName>
    <definedName name="_xlnm.Extract" localSheetId="0">'기본작업-1'!$G$5:$I$5</definedName>
    <definedName name="_xlnm.Extract" localSheetId="1">'기본작업-2'!#REF!</definedName>
    <definedName name="MS_Access_Database_Query" localSheetId="2" hidden="1">계산작업!#REF!</definedName>
    <definedName name="OA성적관리_2" localSheetId="3">'분석작업-1'!#REF!</definedName>
    <definedName name="_xlnm.Print_Area" localSheetId="0">'기본작업-1'!#REF!</definedName>
    <definedName name="_xlnm.Print_Area" localSheetId="1">'기본작업-2'!$A$2:$I$29,'기본작업-2'!$A$31:$I$42</definedName>
    <definedName name="_xlnm.Print_Titles" localSheetId="0">'기본작업-1'!$2:$2</definedName>
    <definedName name="Z_4FA91318_F568_4C4C_93A1_CBAB7D8E6C44_.wvu.FilterData" localSheetId="0" hidden="1">'기본작업-1'!#REF!</definedName>
    <definedName name="Z_4FA91318_F568_4C4C_93A1_CBAB7D8E6C44_.wvu.FilterData" localSheetId="1" hidden="1">'기본작업-2'!#REF!</definedName>
    <definedName name="배점">'[1]기본작업-2'!#REF!</definedName>
  </definedNames>
  <calcPr calcId="191029"/>
  <pivotCaches>
    <pivotCache cacheId="0" r:id="rId10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OA성적관리_2" name="OA성적관리_2" connection="OA성적관리_2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2" l="1"/>
  <c r="G36" i="5" l="1" a="1"/>
  <c r="G36" i="5" s="1"/>
  <c r="G37" i="5" a="1"/>
  <c r="G37" i="5" s="1"/>
  <c r="G38" i="5" a="1"/>
  <c r="G38" i="5" s="1"/>
  <c r="G39" i="5" a="1"/>
  <c r="G39" i="5" s="1"/>
  <c r="F37" i="5" a="1"/>
  <c r="F37" i="5" s="1"/>
  <c r="F38" i="5" a="1"/>
  <c r="F38" i="5" s="1"/>
  <c r="F39" i="5" a="1"/>
  <c r="F39" i="5" s="1"/>
  <c r="F36" i="5" a="1"/>
  <c r="F36" i="5" s="1"/>
  <c r="B31" i="5" l="1" a="1"/>
  <c r="B31" i="5" s="1"/>
  <c r="H3" i="5" a="1"/>
  <c r="H3" i="5" s="1"/>
  <c r="H9" i="5" a="1"/>
  <c r="H9" i="5" s="1"/>
  <c r="H10" i="5" a="1"/>
  <c r="H10" i="5" s="1"/>
  <c r="H11" i="5" a="1"/>
  <c r="H11" i="5" s="1"/>
  <c r="H12" i="5" a="1"/>
  <c r="H12" i="5" s="1"/>
  <c r="H13" i="5" a="1"/>
  <c r="H13" i="5" s="1"/>
  <c r="H14" i="5" a="1"/>
  <c r="H14" i="5" s="1"/>
  <c r="H15" i="5" a="1"/>
  <c r="H15" i="5" s="1"/>
  <c r="H16" i="5" a="1"/>
  <c r="H16" i="5" s="1"/>
  <c r="H17" i="5" a="1"/>
  <c r="H17" i="5" s="1"/>
  <c r="H18" i="5" a="1"/>
  <c r="H18" i="5" s="1"/>
  <c r="H19" i="5" a="1"/>
  <c r="H19" i="5" s="1"/>
  <c r="H20" i="5" a="1"/>
  <c r="H20" i="5" s="1"/>
  <c r="H21" i="5" a="1"/>
  <c r="H21" i="5" s="1"/>
  <c r="H22" i="5" a="1"/>
  <c r="H22" i="5" s="1"/>
  <c r="H23" i="5" a="1"/>
  <c r="H23" i="5" s="1"/>
  <c r="H24" i="5" a="1"/>
  <c r="H24" i="5" s="1"/>
  <c r="H25" i="5" a="1"/>
  <c r="H25" i="5" s="1"/>
  <c r="H26" i="5" a="1"/>
  <c r="H26" i="5" s="1"/>
  <c r="H27" i="5" a="1"/>
  <c r="H27" i="5" s="1"/>
  <c r="H4" i="5" a="1"/>
  <c r="H4" i="5" s="1"/>
  <c r="H5" i="5" a="1"/>
  <c r="H5" i="5" s="1"/>
  <c r="H6" i="5" a="1"/>
  <c r="H6" i="5" s="1"/>
  <c r="H7" i="5" a="1"/>
  <c r="H7" i="5" s="1"/>
  <c r="H8" i="5" a="1"/>
  <c r="H8" i="5" s="1"/>
  <c r="I3" i="5" a="1"/>
  <c r="I4" i="5" a="1"/>
  <c r="I27" i="5" a="1"/>
  <c r="I17" i="5" a="1"/>
  <c r="I25" i="5" a="1"/>
  <c r="I26" i="5" a="1"/>
  <c r="I10" i="5" a="1"/>
  <c r="I21" i="5" a="1"/>
  <c r="I18" i="5" a="1"/>
  <c r="I20" i="5" a="1"/>
  <c r="I14" i="5" a="1"/>
  <c r="I16" i="5" a="1"/>
  <c r="I6" i="5" a="1"/>
  <c r="I15" i="5" a="1"/>
  <c r="I23" i="5" a="1"/>
  <c r="I7" i="5" a="1"/>
  <c r="I12" i="5" a="1"/>
  <c r="I9" i="5" a="1"/>
  <c r="I24" i="5" a="1"/>
  <c r="I5" i="5" a="1"/>
  <c r="I8" i="5" a="1"/>
  <c r="I19" i="5" a="1"/>
  <c r="I22" i="5" a="1"/>
  <c r="I11" i="5" a="1"/>
  <c r="I13" i="5" a="1"/>
  <c r="I3" i="5" l="1"/>
  <c r="F46" i="5"/>
  <c r="G46" i="5"/>
  <c r="F45" i="5"/>
  <c r="F44" i="5"/>
  <c r="G45" i="5"/>
  <c r="G44" i="5"/>
  <c r="G43" i="5"/>
  <c r="F43" i="5"/>
  <c r="I27" i="5"/>
  <c r="I23" i="5"/>
  <c r="I19" i="5"/>
  <c r="I15" i="5"/>
  <c r="I11" i="5"/>
  <c r="I7" i="5"/>
  <c r="I26" i="5"/>
  <c r="I22" i="5"/>
  <c r="I18" i="5"/>
  <c r="I14" i="5"/>
  <c r="I10" i="5"/>
  <c r="I6" i="5"/>
  <c r="I25" i="5"/>
  <c r="I21" i="5"/>
  <c r="I17" i="5"/>
  <c r="I13" i="5"/>
  <c r="I9" i="5"/>
  <c r="I5" i="5"/>
  <c r="I24" i="5"/>
  <c r="I20" i="5"/>
  <c r="I16" i="5"/>
  <c r="I12" i="5"/>
  <c r="I8" i="5"/>
  <c r="I4" i="5"/>
  <c r="C31" i="5" a="1"/>
  <c r="C31" i="5" s="1"/>
  <c r="D31" i="5" a="1"/>
  <c r="D31" i="5" s="1"/>
  <c r="E31" i="5" a="1"/>
  <c r="E31" i="5" s="1"/>
  <c r="F31" i="5" a="1"/>
  <c r="F31" i="5" s="1"/>
  <c r="G31" i="5" a="1"/>
  <c r="G31" i="5" s="1"/>
  <c r="H31" i="5" a="1"/>
  <c r="H31" i="5" s="1"/>
  <c r="C32" i="5" a="1"/>
  <c r="C32" i="5" s="1"/>
  <c r="D32" i="5" a="1"/>
  <c r="D32" i="5" s="1"/>
  <c r="E32" i="5" a="1"/>
  <c r="E32" i="5" s="1"/>
  <c r="F32" i="5" a="1"/>
  <c r="F32" i="5" s="1"/>
  <c r="G32" i="5" a="1"/>
  <c r="G32" i="5" s="1"/>
  <c r="H32" i="5" a="1"/>
  <c r="H32" i="5" s="1"/>
  <c r="B32" i="5" a="1"/>
  <c r="B32" i="5" s="1"/>
  <c r="D33" i="10" l="1"/>
  <c r="D34" i="10"/>
  <c r="D35" i="10"/>
  <c r="D36" i="10"/>
  <c r="D37" i="10"/>
  <c r="D38" i="10"/>
  <c r="D39" i="10"/>
  <c r="D40" i="10"/>
  <c r="D41" i="10"/>
  <c r="D42" i="10"/>
  <c r="D32" i="10"/>
  <c r="D29" i="10"/>
  <c r="D28" i="10"/>
  <c r="D27" i="10"/>
  <c r="D26" i="10"/>
  <c r="D25" i="10"/>
  <c r="D24" i="10"/>
  <c r="D23" i="10"/>
  <c r="D22" i="10"/>
  <c r="D21" i="10"/>
  <c r="D20" i="10"/>
  <c r="D19" i="10"/>
  <c r="D18" i="10"/>
  <c r="D17" i="10"/>
  <c r="D16" i="10"/>
  <c r="D15" i="10"/>
  <c r="D14" i="10"/>
  <c r="D13" i="10"/>
  <c r="D12" i="10"/>
  <c r="D11" i="10"/>
  <c r="D10" i="10"/>
  <c r="D9" i="10"/>
  <c r="D8" i="10"/>
  <c r="D7" i="10"/>
  <c r="D6" i="10"/>
  <c r="D5" i="10"/>
  <c r="D4" i="10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MS Access Database_Query" type="1" refreshedVersion="6">
    <dbPr connection="DSN=MS Access Database;DBQ=C:\OA\SEEDSCOM.accdb;DefaultDir=C:\OA;DriverId=25;FIL=MS Access;MaxBufferSize=2048;PageTimeout=5;" command="SELECT SEEDSCOM교육.담당쌤, SEEDSCOM교육.과정명, SEEDSCOM교육.가격, SEEDSCOM교육.교육장소, SEEDSCOM교육.교육시작일, SEEDSCOM교육.교육종료일, SEEDSCOM교육.접수인원, SEEDSCOM교육.모집정원_x000d__x000a_FROM `C:\OA\SEEDSCOM.accdb`.SEEDSCOM교육 SEEDSCOM교육"/>
  </connection>
  <connection id="2" xr16:uid="{00000000-0015-0000-FFFF-FFFF01000000}" name="MS Access Database_Query1" type="1" refreshedVersion="6">
    <dbPr connection="DSN=MS Access Database;DBQ=C:\OA\SEEDSCOM.accdb;DefaultDir=C:\OA;DriverId=25;FIL=MS Access;MaxBufferSize=2048;PageTimeout=5;" command="SELECT SEEDSCOM교육.담당쌤, SEEDSCOM교육.과정명, SEEDSCOM교육.교육장소, SEEDSCOM교육.가격, SEEDSCOM교육.모집정원_x000d__x000a_FROM `C:\OA\SEEDSCOM.accdb`.SEEDSCOM교육 SEEDSCOM교육"/>
  </connection>
  <connection id="3" xr16:uid="{00000000-0015-0000-FFFF-FFFF02000000}" name="MS Access Database_Query2" type="1" refreshedVersion="6">
    <dbPr connection="DSN=MS Access Database;DBQ=C:\OA\SEEDSCOM.accdb;DefaultDir=C:\OA;DriverId=25;FIL=MS Access;MaxBufferSize=2048;PageTimeout=5;" command="SELECT SEEDSCOM교육.담당쌤, SEEDSCOM교육.과정명, SEEDSCOM교육.가격, SEEDSCOM교육.교육장소, SEEDSCOM교육.접수인원, SEEDSCOM교육.모집정원_x000d__x000a_FROM `C:\OA\SEEDSCOM.accdb`.SEEDSCOM교육 SEEDSCOM교육"/>
  </connection>
  <connection id="4" xr16:uid="{00000000-0015-0000-FFFF-FFFF03000000}" name="OA성적관리_21" type="103" refreshedVersion="6" minRefreshableVersion="5">
    <extLst>
      <ext xmlns:x15="http://schemas.microsoft.com/office/spreadsheetml/2010/11/main" uri="{DE250136-89BD-433C-8126-D09CA5730AF9}">
        <x15:connection id="OA성적관리_2" autoDelete="1">
          <x15:textPr codePage="949" sourceFile="C:\Users\기풍쌤\SynologyDrive\01_중요자료\02_컴활1급실기\00_2023_컴활1급 상시복원기출문제\2023_컴활1급 기출문제모음\01_엑셀_기출문제 2회\OA성적관리_2.csv" tab="0" comma="1" delimiter="/">
            <textFields count="7">
              <textField/>
              <textField type="skip"/>
              <textField/>
              <textField/>
              <textField/>
              <textField/>
              <textField/>
            </textFields>
          </x15:textPr>
          <x15:modelTextPr headers="1"/>
        </x15:connection>
      </ext>
    </extLst>
  </connection>
  <connection id="5" xr16:uid="{00000000-0015-0000-FFFF-FFFF04000000}" keepAlive="1" name="ThisWorkbookDataModel" description="데이터 모델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MDX" minSupportedVersion="120000" copy="1" pasteAll="1" pasteValues="1" merge="1" splitFirst="1" rowColShift="1" clearFormats="1" clearComments="1" assign="1" coerce="1"/>
  </metadataTypes>
  <metadataStrings count="2">
    <s v="ThisWorkbookDataModel"/>
    <s v="{[OA성적관리_2].[구분].[All]}"/>
  </metadataStrings>
  <mdxMetadata count="1">
    <mdx n="0" f="s">
      <ms ns="1" c="0"/>
    </mdx>
  </mdx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<sst xmlns="http://schemas.openxmlformats.org/spreadsheetml/2006/main" count="456" uniqueCount="217">
  <si>
    <t>학년</t>
  </si>
  <si>
    <t>[표1]</t>
    <phoneticPr fontId="2" type="noConversion"/>
  </si>
  <si>
    <t>남</t>
  </si>
  <si>
    <t>여</t>
  </si>
  <si>
    <t>곽경미</t>
  </si>
  <si>
    <t>곽향순</t>
  </si>
  <si>
    <t>김금선</t>
  </si>
  <si>
    <t>김상덕</t>
  </si>
  <si>
    <t>박낙균</t>
  </si>
  <si>
    <t>신은희</t>
  </si>
  <si>
    <t>비고</t>
    <phoneticPr fontId="2" type="noConversion"/>
  </si>
  <si>
    <t>우명관</t>
  </si>
  <si>
    <t>곽명식</t>
  </si>
  <si>
    <t>곽선자</t>
  </si>
  <si>
    <t>김동철</t>
  </si>
  <si>
    <t>김석환</t>
  </si>
  <si>
    <t>김윤선</t>
  </si>
  <si>
    <t>김은희</t>
  </si>
  <si>
    <t>박준홍</t>
  </si>
  <si>
    <t>안명숙</t>
  </si>
  <si>
    <t>유경자</t>
  </si>
  <si>
    <t>이석민</t>
  </si>
  <si>
    <t>이성룡</t>
  </si>
  <si>
    <t>이순복</t>
  </si>
  <si>
    <t>이승렬</t>
  </si>
  <si>
    <t>이일선</t>
  </si>
  <si>
    <t>이호춘</t>
  </si>
  <si>
    <t>장현진</t>
  </si>
  <si>
    <t>번호</t>
    <phoneticPr fontId="2" type="noConversion"/>
  </si>
  <si>
    <t>출입시간</t>
    <phoneticPr fontId="2" type="noConversion"/>
  </si>
  <si>
    <t>출입일</t>
    <phoneticPr fontId="2" type="noConversion"/>
  </si>
  <si>
    <t>출입코드</t>
    <phoneticPr fontId="2" type="noConversion"/>
  </si>
  <si>
    <t>안전도</t>
    <phoneticPr fontId="2" type="noConversion"/>
  </si>
  <si>
    <t>MPO-5303</t>
  </si>
  <si>
    <t>MPO-5661</t>
  </si>
  <si>
    <t>MPO-3040</t>
  </si>
  <si>
    <t>EGI-4658</t>
  </si>
  <si>
    <t>MPO-5811</t>
  </si>
  <si>
    <t>EGI-5234</t>
  </si>
  <si>
    <t>KGE-6091</t>
  </si>
  <si>
    <t>EGI-1027</t>
  </si>
  <si>
    <t>EGI-5727</t>
  </si>
  <si>
    <t>MPO-1607</t>
  </si>
  <si>
    <t>EGI-2162</t>
  </si>
  <si>
    <t>KGE-6832</t>
  </si>
  <si>
    <t>MPO-1249</t>
  </si>
  <si>
    <t>EGI-6578</t>
  </si>
  <si>
    <t>EGI-4492</t>
  </si>
  <si>
    <t>EGI-5914</t>
  </si>
  <si>
    <t>MPO-2500</t>
  </si>
  <si>
    <t>KGE-1540</t>
  </si>
  <si>
    <t>MPO-2606</t>
  </si>
  <si>
    <t>KGE-6826</t>
  </si>
  <si>
    <t>EGI-2491</t>
  </si>
  <si>
    <t>KGE-3452</t>
  </si>
  <si>
    <t>조건</t>
    <phoneticPr fontId="2" type="noConversion"/>
  </si>
  <si>
    <t>[기풍배드민턴회원관리]</t>
    <phoneticPr fontId="2" type="noConversion"/>
  </si>
  <si>
    <t>이름</t>
    <phoneticPr fontId="2" type="noConversion"/>
  </si>
  <si>
    <t>전화번호</t>
    <phoneticPr fontId="2" type="noConversion"/>
  </si>
  <si>
    <t>성별</t>
    <phoneticPr fontId="2" type="noConversion"/>
  </si>
  <si>
    <t>연령</t>
    <phoneticPr fontId="2" type="noConversion"/>
  </si>
  <si>
    <t>입회일</t>
    <phoneticPr fontId="2" type="noConversion"/>
  </si>
  <si>
    <t>생년월일</t>
    <phoneticPr fontId="2" type="noConversion"/>
  </si>
  <si>
    <t>시급수</t>
    <phoneticPr fontId="2" type="noConversion"/>
  </si>
  <si>
    <t>도급수</t>
    <phoneticPr fontId="2" type="noConversion"/>
  </si>
  <si>
    <t>010-8813-4182</t>
  </si>
  <si>
    <t>D</t>
    <phoneticPr fontId="2" type="noConversion"/>
  </si>
  <si>
    <t>010-6572-3058</t>
  </si>
  <si>
    <t>남</t>
    <phoneticPr fontId="2" type="noConversion"/>
  </si>
  <si>
    <t>2019. 4. 22</t>
    <phoneticPr fontId="2" type="noConversion"/>
  </si>
  <si>
    <t>010-3440-9776</t>
  </si>
  <si>
    <t>010-9213-9350</t>
  </si>
  <si>
    <t>D</t>
  </si>
  <si>
    <t>010-6373-3315</t>
  </si>
  <si>
    <t>E</t>
  </si>
  <si>
    <t>E</t>
    <phoneticPr fontId="2" type="noConversion"/>
  </si>
  <si>
    <t>여</t>
    <phoneticPr fontId="2" type="noConversion"/>
  </si>
  <si>
    <t>010-8828-1436</t>
    <phoneticPr fontId="2" type="noConversion"/>
  </si>
  <si>
    <t>A</t>
    <phoneticPr fontId="2" type="noConversion"/>
  </si>
  <si>
    <t>010-5361-6062</t>
  </si>
  <si>
    <t>A</t>
  </si>
  <si>
    <t>B</t>
  </si>
  <si>
    <t>010-6373-1459</t>
  </si>
  <si>
    <t>2019. 4 .25</t>
    <phoneticPr fontId="2" type="noConversion"/>
  </si>
  <si>
    <t>010-2504-3789</t>
  </si>
  <si>
    <t>010-9058-2290</t>
  </si>
  <si>
    <t>2019. 4. 19</t>
    <phoneticPr fontId="2" type="noConversion"/>
  </si>
  <si>
    <t>010-9079-6822</t>
  </si>
  <si>
    <t>010-5367-7179</t>
    <phoneticPr fontId="2" type="noConversion"/>
  </si>
  <si>
    <t>010-5378-1337</t>
  </si>
  <si>
    <t>C</t>
  </si>
  <si>
    <t>010-3724-5777</t>
  </si>
  <si>
    <t>010-7362-0811</t>
  </si>
  <si>
    <t>2019. 5. 07</t>
    <phoneticPr fontId="2" type="noConversion"/>
  </si>
  <si>
    <t>010-5577-8593</t>
    <phoneticPr fontId="2" type="noConversion"/>
  </si>
  <si>
    <t>010-9865-5678</t>
  </si>
  <si>
    <t>010-9189-3031</t>
  </si>
  <si>
    <t>011-371-0616</t>
  </si>
  <si>
    <t>010-9233-6307</t>
  </si>
  <si>
    <t>010-7770-7664</t>
  </si>
  <si>
    <t>2019. 4. 30</t>
    <phoneticPr fontId="2" type="noConversion"/>
  </si>
  <si>
    <t>010-7482-0901</t>
  </si>
  <si>
    <t>010-4943-3316</t>
    <phoneticPr fontId="2" type="noConversion"/>
  </si>
  <si>
    <t>010-9678-9970</t>
    <phoneticPr fontId="2" type="noConversion"/>
  </si>
  <si>
    <t>010-8793-3054</t>
  </si>
  <si>
    <t>010-4779-4964</t>
  </si>
  <si>
    <t>010-4185-4685</t>
  </si>
  <si>
    <t>010-6370-0428</t>
  </si>
  <si>
    <t>010-4515-7847</t>
  </si>
  <si>
    <t>010-3044-8036</t>
  </si>
  <si>
    <t>010-9466-9771</t>
  </si>
  <si>
    <t>010-2775-6477</t>
  </si>
  <si>
    <t>010-2212-8612</t>
  </si>
  <si>
    <t>010-6373-0428</t>
  </si>
  <si>
    <t>010-4855-5778</t>
  </si>
  <si>
    <t>010-8829-6480</t>
  </si>
  <si>
    <t>010-9144-6397</t>
  </si>
  <si>
    <t>[신입회원]</t>
    <phoneticPr fontId="2" type="noConversion"/>
  </si>
  <si>
    <t>공은주</t>
    <phoneticPr fontId="2" type="noConversion"/>
  </si>
  <si>
    <t>전희자</t>
  </si>
  <si>
    <t>조병철</t>
  </si>
  <si>
    <t>조영관</t>
  </si>
  <si>
    <t>남현숙</t>
    <phoneticPr fontId="2" type="noConversion"/>
  </si>
  <si>
    <t>C</t>
    <phoneticPr fontId="2" type="noConversion"/>
  </si>
  <si>
    <t>정일환</t>
    <phoneticPr fontId="2" type="noConversion"/>
  </si>
  <si>
    <t>조은정</t>
  </si>
  <si>
    <t>조주현</t>
  </si>
  <si>
    <t>홍순양</t>
  </si>
  <si>
    <t>홍재근</t>
  </si>
  <si>
    <t>홍정남</t>
  </si>
  <si>
    <t>곽복규</t>
  </si>
  <si>
    <t>김영훈</t>
  </si>
  <si>
    <t>박미숙</t>
  </si>
  <si>
    <t>2분반</t>
    <phoneticPr fontId="2" type="noConversion"/>
  </si>
  <si>
    <t>1분반</t>
    <phoneticPr fontId="2" type="noConversion"/>
  </si>
  <si>
    <t>분반</t>
    <phoneticPr fontId="2" type="noConversion"/>
  </si>
  <si>
    <t>구분</t>
    <phoneticPr fontId="2" type="noConversion"/>
  </si>
  <si>
    <t>학번</t>
    <phoneticPr fontId="2" type="noConversion"/>
  </si>
  <si>
    <t>학년</t>
    <phoneticPr fontId="2" type="noConversion"/>
  </si>
  <si>
    <t>엑셀</t>
    <phoneticPr fontId="2" type="noConversion"/>
  </si>
  <si>
    <t>액세스</t>
    <phoneticPr fontId="2" type="noConversion"/>
  </si>
  <si>
    <t>접수일</t>
    <phoneticPr fontId="2" type="noConversion"/>
  </si>
  <si>
    <t>월</t>
    <phoneticPr fontId="2" type="noConversion"/>
  </si>
  <si>
    <t>화</t>
  </si>
  <si>
    <t>수</t>
  </si>
  <si>
    <t>목</t>
  </si>
  <si>
    <t>금</t>
  </si>
  <si>
    <t>토</t>
  </si>
  <si>
    <t>일</t>
  </si>
  <si>
    <t>분반</t>
    <phoneticPr fontId="2" type="noConversion"/>
  </si>
  <si>
    <t>[표2]</t>
    <phoneticPr fontId="2" type="noConversion"/>
  </si>
  <si>
    <t>코딩</t>
    <phoneticPr fontId="2" type="noConversion"/>
  </si>
  <si>
    <t>드론</t>
    <phoneticPr fontId="2" type="noConversion"/>
  </si>
  <si>
    <t>건축</t>
    <phoneticPr fontId="2" type="noConversion"/>
  </si>
  <si>
    <t>전기</t>
    <phoneticPr fontId="2" type="noConversion"/>
  </si>
  <si>
    <t>엑셀</t>
    <phoneticPr fontId="2" type="noConversion"/>
  </si>
  <si>
    <t>액세스</t>
    <phoneticPr fontId="2" type="noConversion"/>
  </si>
  <si>
    <t>학과</t>
    <phoneticPr fontId="2" type="noConversion"/>
  </si>
  <si>
    <t>[표3]</t>
    <phoneticPr fontId="2" type="noConversion"/>
  </si>
  <si>
    <t>학과평균</t>
    <phoneticPr fontId="2" type="noConversion"/>
  </si>
  <si>
    <t>[표4]</t>
    <phoneticPr fontId="2" type="noConversion"/>
  </si>
  <si>
    <t>학년</t>
    <phoneticPr fontId="2" type="noConversion"/>
  </si>
  <si>
    <t>엑셀</t>
    <phoneticPr fontId="2" type="noConversion"/>
  </si>
  <si>
    <t>액세스</t>
    <phoneticPr fontId="2" type="noConversion"/>
  </si>
  <si>
    <t>[표5]</t>
    <phoneticPr fontId="2" type="noConversion"/>
  </si>
  <si>
    <t>과목</t>
    <phoneticPr fontId="2" type="noConversion"/>
  </si>
  <si>
    <t>합격인원 차트</t>
    <phoneticPr fontId="2" type="noConversion"/>
  </si>
  <si>
    <t>결과</t>
    <phoneticPr fontId="2" type="noConversion"/>
  </si>
  <si>
    <t>접수일</t>
  </si>
  <si>
    <t>4학년</t>
  </si>
  <si>
    <t>2학년</t>
  </si>
  <si>
    <t>3학년</t>
  </si>
  <si>
    <t>1학년</t>
  </si>
  <si>
    <t>총합계</t>
  </si>
  <si>
    <t>최대값: 엑셀</t>
  </si>
  <si>
    <t>최대값: 액세스</t>
  </si>
  <si>
    <t>값</t>
  </si>
  <si>
    <t>[표2] 학년별 평균</t>
    <phoneticPr fontId="2" type="noConversion"/>
  </si>
  <si>
    <t>학년별 평균</t>
    <phoneticPr fontId="2" type="noConversion"/>
  </si>
  <si>
    <t>예비군훈련참여율</t>
    <phoneticPr fontId="2" type="noConversion"/>
  </si>
  <si>
    <t>온의동</t>
    <phoneticPr fontId="2" type="noConversion"/>
  </si>
  <si>
    <t>퇴계동</t>
    <phoneticPr fontId="2" type="noConversion"/>
  </si>
  <si>
    <t>후평동</t>
    <phoneticPr fontId="2" type="noConversion"/>
  </si>
  <si>
    <t>효자동</t>
    <phoneticPr fontId="2" type="noConversion"/>
  </si>
  <si>
    <t>석사동</t>
    <phoneticPr fontId="2" type="noConversion"/>
  </si>
  <si>
    <t>1일차</t>
    <phoneticPr fontId="2" type="noConversion"/>
  </si>
  <si>
    <t>2일차</t>
  </si>
  <si>
    <t>3일차</t>
  </si>
  <si>
    <t>4일차</t>
  </si>
  <si>
    <t>5일차</t>
  </si>
  <si>
    <t>6일차</t>
  </si>
  <si>
    <t>7일차</t>
  </si>
  <si>
    <t>8일차</t>
  </si>
  <si>
    <t>9일차</t>
  </si>
  <si>
    <t>10일차</t>
  </si>
  <si>
    <t>11일차</t>
  </si>
  <si>
    <t>12일차</t>
  </si>
  <si>
    <t>조양동</t>
    <phoneticPr fontId="2" type="noConversion"/>
  </si>
  <si>
    <t>소양동</t>
    <phoneticPr fontId="2" type="noConversion"/>
  </si>
  <si>
    <t>평균</t>
    <phoneticPr fontId="2" type="noConversion"/>
  </si>
  <si>
    <t>등급</t>
    <phoneticPr fontId="2" type="noConversion"/>
  </si>
  <si>
    <t>학년</t>
    <phoneticPr fontId="2" type="noConversion"/>
  </si>
  <si>
    <t>1학년</t>
    <phoneticPr fontId="2" type="noConversion"/>
  </si>
  <si>
    <t>2학년</t>
    <phoneticPr fontId="2" type="noConversion"/>
  </si>
  <si>
    <t>3학년</t>
    <phoneticPr fontId="2" type="noConversion"/>
  </si>
  <si>
    <t>1분반</t>
  </si>
  <si>
    <t>우수</t>
  </si>
  <si>
    <t>2분반</t>
  </si>
  <si>
    <t>노력</t>
  </si>
  <si>
    <t>OA점수관리표</t>
    <phoneticPr fontId="2" type="noConversion"/>
  </si>
  <si>
    <t>구분</t>
  </si>
  <si>
    <t>All</t>
  </si>
  <si>
    <t>★★★★★</t>
  </si>
  <si>
    <t>★★★★★★★</t>
  </si>
  <si>
    <t>★★★★★★★★★</t>
  </si>
  <si>
    <t>★★★★★★★★</t>
  </si>
  <si>
    <t>★★★★★★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</si>
</sst>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hh:mm:ss;@"/>
    <numFmt numFmtId="177" formatCode="mm&quot;월&quot;\ dd&quot;일&quot;"/>
    <numFmt numFmtId="178" formatCode="yyyy\.mm\.dd"/>
    <numFmt numFmtId="179" formatCode="0&quot;학년&quot;"/>
    <numFmt numFmtId="180" formatCode="0_);[Red]\(0\)"/>
    <numFmt numFmtId="181" formatCode="0_ "/>
    <numFmt numFmtId="182" formatCode="General&quot;학&quot;&quot;년&quot;"/>
    <numFmt numFmtId="183" formatCode="0.0"/>
    <numFmt numFmtId="184" formatCode="[Red][&gt;0.5]&quot;★&quot;0%;[Blue][&lt;0.3]&quot;★&quot;0%;&quot;★&quot;0%"/>
  </numFmts>
  <fonts count="10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sz val="1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2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32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0" fontId="6" fillId="0" borderId="1" xfId="2" applyFont="1" applyBorder="1" applyAlignment="1">
      <alignment horizontal="center" vertical="center"/>
    </xf>
    <xf numFmtId="0" fontId="7" fillId="0" borderId="1" xfId="2" applyFont="1" applyBorder="1" applyAlignment="1">
      <alignment horizontal="center" vertical="center"/>
    </xf>
    <xf numFmtId="178" fontId="6" fillId="0" borderId="1" xfId="2" applyNumberFormat="1" applyFont="1" applyBorder="1" applyAlignment="1">
      <alignment horizontal="center" vertical="center"/>
    </xf>
    <xf numFmtId="178" fontId="3" fillId="0" borderId="1" xfId="0" applyNumberFormat="1" applyFont="1" applyBorder="1" applyAlignment="1">
      <alignment horizontal="center" vertical="center"/>
    </xf>
    <xf numFmtId="178" fontId="7" fillId="0" borderId="1" xfId="2" applyNumberFormat="1" applyFont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9" fontId="3" fillId="0" borderId="1" xfId="0" applyNumberFormat="1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80" fontId="3" fillId="2" borderId="1" xfId="0" applyNumberFormat="1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 wrapText="1"/>
    </xf>
    <xf numFmtId="0" fontId="4" fillId="0" borderId="1" xfId="0" applyFont="1" applyBorder="1">
      <alignment vertical="center"/>
    </xf>
    <xf numFmtId="14" fontId="0" fillId="0" borderId="0" xfId="0" applyNumberFormat="1">
      <alignment vertical="center"/>
    </xf>
    <xf numFmtId="0" fontId="0" fillId="0" borderId="0" xfId="0" pivotButton="1">
      <alignment vertical="center"/>
    </xf>
    <xf numFmtId="181" fontId="0" fillId="0" borderId="0" xfId="0" applyNumberFormat="1">
      <alignment vertical="center"/>
    </xf>
    <xf numFmtId="182" fontId="0" fillId="0" borderId="1" xfId="0" applyNumberFormat="1" applyBorder="1" applyAlignment="1">
      <alignment horizontal="center" vertical="center"/>
    </xf>
    <xf numFmtId="183" fontId="0" fillId="0" borderId="1" xfId="0" applyNumberFormat="1" applyBorder="1">
      <alignment vertical="center"/>
    </xf>
    <xf numFmtId="14" fontId="3" fillId="0" borderId="0" xfId="0" applyNumberFormat="1" applyFont="1">
      <alignment vertical="center"/>
    </xf>
    <xf numFmtId="0" fontId="9" fillId="0" borderId="0" xfId="0" applyFont="1">
      <alignment vertical="center"/>
    </xf>
    <xf numFmtId="183" fontId="0" fillId="0" borderId="0" xfId="0" applyNumberFormat="1">
      <alignment vertical="center"/>
    </xf>
    <xf numFmtId="1" fontId="0" fillId="0" borderId="1" xfId="0" applyNumberFormat="1" applyBorder="1">
      <alignment vertical="center"/>
    </xf>
    <xf numFmtId="184" fontId="3" fillId="0" borderId="0" xfId="0" applyNumberFormat="1" applyFont="1">
      <alignment vertical="center"/>
    </xf>
  </cellXfs>
  <cellStyles count="3">
    <cellStyle name="제목 5" xfId="1" xr:uid="{00000000-0005-0000-0000-000000000000}"/>
    <cellStyle name="표준" xfId="0" builtinId="0"/>
    <cellStyle name="표준 2" xfId="2" xr:uid="{00000000-0005-0000-0000-000002000000}"/>
  </cellStyles>
  <dxfs count="1">
    <dxf>
      <font>
        <b/>
        <i val="0"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pivotCacheDefinition" Target="pivotCache/pivotCacheDefinition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 sz="1600" b="1"/>
              <a:t>학년별 평균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solidFill>
          <a:srgbClr val="FFC000"/>
        </a:solidFill>
        <a:ln>
          <a:noFill/>
        </a:ln>
        <a:effectLst/>
        <a:sp3d/>
      </c:spPr>
    </c:floor>
    <c:sideWall>
      <c:thickness val="0"/>
      <c:spPr>
        <a:blipFill>
          <a:blip xmlns:r="http://schemas.openxmlformats.org/officeDocument/2006/relationships" r:embed="rId3"/>
          <a:tile tx="0" ty="0" sx="100000" sy="100000" flip="none" algn="tl"/>
        </a:blipFill>
        <a:ln>
          <a:noFill/>
        </a:ln>
        <a:effectLst/>
        <a:sp3d/>
      </c:spPr>
    </c:sideWall>
    <c:backWall>
      <c:thickness val="0"/>
      <c:spPr>
        <a:blipFill>
          <a:blip xmlns:r="http://schemas.openxmlformats.org/officeDocument/2006/relationships" r:embed="rId3"/>
          <a:tile tx="0" ty="0" sx="100000" sy="100000" flip="none" algn="tl"/>
        </a:blipFill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'기타작업-1'!$B$2</c:f>
              <c:strCache>
                <c:ptCount val="1"/>
                <c:pt idx="0">
                  <c:v>엑셀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numRef>
              <c:f>'기타작업-1'!$A$3:$A$6</c:f>
              <c:numCache>
                <c:formatCode>General"학""년"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cat>
          <c:val>
            <c:numRef>
              <c:f>'기타작업-1'!$B$3:$B$6</c:f>
              <c:numCache>
                <c:formatCode>0</c:formatCode>
                <c:ptCount val="4"/>
                <c:pt idx="0">
                  <c:v>860.375</c:v>
                </c:pt>
                <c:pt idx="1">
                  <c:v>820</c:v>
                </c:pt>
                <c:pt idx="2">
                  <c:v>847.14285714285711</c:v>
                </c:pt>
                <c:pt idx="3">
                  <c:v>734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45-4A32-824E-F7262ED13071}"/>
            </c:ext>
          </c:extLst>
        </c:ser>
        <c:ser>
          <c:idx val="1"/>
          <c:order val="1"/>
          <c:tx>
            <c:strRef>
              <c:f>'기타작업-1'!$C$2</c:f>
              <c:strCache>
                <c:ptCount val="1"/>
                <c:pt idx="0">
                  <c:v>액세스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'기타작업-1'!$A$3:$A$6</c:f>
              <c:numCache>
                <c:formatCode>General"학""년"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cat>
          <c:val>
            <c:numRef>
              <c:f>'기타작업-1'!$C$3:$C$6</c:f>
              <c:numCache>
                <c:formatCode>0</c:formatCode>
                <c:ptCount val="4"/>
                <c:pt idx="0">
                  <c:v>757.625</c:v>
                </c:pt>
                <c:pt idx="1">
                  <c:v>692.25</c:v>
                </c:pt>
                <c:pt idx="2">
                  <c:v>771</c:v>
                </c:pt>
                <c:pt idx="3">
                  <c:v>808.5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5-4A32-824E-F7262ED130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shape val="cylinder"/>
        <c:axId val="1030965840"/>
        <c:axId val="1030967504"/>
        <c:axId val="0"/>
      </c:bar3DChart>
      <c:catAx>
        <c:axId val="1030965840"/>
        <c:scaling>
          <c:orientation val="minMax"/>
        </c:scaling>
        <c:delete val="0"/>
        <c:axPos val="b"/>
        <c:numFmt formatCode="General&quot;학&quot;&quot;년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30967504"/>
        <c:crosses val="autoZero"/>
        <c:auto val="1"/>
        <c:lblAlgn val="ctr"/>
        <c:lblOffset val="100"/>
        <c:noMultiLvlLbl val="0"/>
      </c:catAx>
      <c:valAx>
        <c:axId val="1030967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30965840"/>
        <c:crosses val="autoZero"/>
        <c:crossBetween val="between"/>
        <c:majorUnit val="5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63500" sx="102000" sy="102000" algn="ctr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11</xdr:col>
      <xdr:colOff>0</xdr:colOff>
      <xdr:row>18</xdr:row>
      <xdr:rowOff>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0</xdr:rowOff>
        </xdr:from>
        <xdr:to>
          <xdr:col>11</xdr:col>
          <xdr:colOff>0</xdr:colOff>
          <xdr:row>4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0</xdr:colOff>
      <xdr:row>5</xdr:row>
      <xdr:rowOff>0</xdr:rowOff>
    </xdr:from>
    <xdr:to>
      <xdr:col>11</xdr:col>
      <xdr:colOff>0</xdr:colOff>
      <xdr:row>7</xdr:row>
      <xdr:rowOff>0</xdr:rowOff>
    </xdr:to>
    <xdr:sp macro="[0]!서식해제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6172200" y="1143000"/>
          <a:ext cx="1371600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서식해제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57150</xdr:rowOff>
        </xdr:from>
        <xdr:to>
          <xdr:col>6</xdr:col>
          <xdr:colOff>114300</xdr:colOff>
          <xdr:row>1</xdr:row>
          <xdr:rowOff>185738</xdr:rowOff>
        </xdr:to>
        <xdr:sp macro="" textlink="">
          <xdr:nvSpPr>
            <xdr:cNvPr id="9217" name="cmd관리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SynologyDrive/01_&#51473;&#50836;&#51088;&#47308;/04_&#52980;&#54876;2&#44553;&#49892;&#44592;/01_&#44592;&#52636;&#47928;&#51228;%20&#49884;&#47532;&#51592;/34_&#52980;&#54876;2&#44553;&#49892;&#44592;_&#49345;&#49884;&#48373;&#50896;&#44592;&#52636;&#47928;&#51228;_2023&#45380;%201&#54924;/&#52980;&#54876;2&#44553;&#49892;&#44592;_&#49345;&#49884;&#48373;&#50896;&#44592;&#52636;&#47928;&#51228;_2023&#45380;%201&#54924;_&#47928;&#51228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기본작업-1"/>
      <sheetName val="기본작업-2"/>
      <sheetName val="기본작업-3"/>
      <sheetName val="계산작업"/>
      <sheetName val="분석작업-1"/>
      <sheetName val="분석작업-2"/>
      <sheetName val="매크로작업"/>
      <sheetName val="차트작업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3">
          <cell r="C3" t="str">
            <v>금메달</v>
          </cell>
        </row>
      </sheetData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기풍쌤" refreshedDate="45007.770640509261" backgroundQuery="1" createdVersion="6" refreshedVersion="6" minRefreshableVersion="3" recordCount="0" supportSubquery="1" supportAdvancedDrill="1" xr:uid="{00000000-000A-0000-FFFF-FFFF00000000}">
  <cacheSource type="external" connectionId="5"/>
  <cacheFields count="5">
    <cacheField name="[OA성적관리_2].[학년].[학년]" caption="학년" numFmtId="0" hierarchy="1" level="1">
      <sharedItems count="4">
        <s v="1학년"/>
        <s v="2학년"/>
        <s v="3학년"/>
        <s v="4학년"/>
      </sharedItems>
    </cacheField>
    <cacheField name="[Measures].[최대값: 엑셀]" caption="최대값: 엑셀" numFmtId="0" hierarchy="10" level="32767"/>
    <cacheField name="[Measures].[최대값: 액세스]" caption="최대값: 액세스" numFmtId="0" hierarchy="11" level="32767"/>
    <cacheField name="[OA성적관리_2].[접수일].[접수일]" caption="접수일" numFmtId="0" hierarchy="3" level="1">
      <sharedItems containsSemiMixedTypes="0" containsNonDate="0" containsDate="1" containsString="0" minDate="2023-03-13T00:00:00" maxDate="2023-03-20T00:00:00" count="6">
        <d v="2023-03-13T00:00:00"/>
        <d v="2023-03-15T00:00:00"/>
        <d v="2023-03-16T00:00:00"/>
        <d v="2023-03-17T00:00:00"/>
        <d v="2023-03-18T00:00:00"/>
        <d v="2023-03-19T00:00:00"/>
      </sharedItems>
    </cacheField>
    <cacheField name="[OA성적관리_2].[구분].[구분]" caption="구분" numFmtId="0" level="1">
      <sharedItems containsSemiMixedTypes="0" containsNonDate="0" containsString="0"/>
    </cacheField>
  </cacheFields>
  <cacheHierarchies count="12">
    <cacheHierarchy uniqueName="[OA성적관리_2].[구분]" caption="구분" attribute="1" defaultMemberUniqueName="[OA성적관리_2].[구분].[All]" allUniqueName="[OA성적관리_2].[구분].[All]" dimensionUniqueName="[OA성적관리_2]" displayFolder="" count="2" memberValueDatatype="20" unbalanced="0">
      <fieldsUsage count="2">
        <fieldUsage x="-1"/>
        <fieldUsage x="4"/>
      </fieldsUsage>
    </cacheHierarchy>
    <cacheHierarchy uniqueName="[OA성적관리_2].[학년]" caption="학년" attribute="1" defaultMemberUniqueName="[OA성적관리_2].[학년].[All]" allUniqueName="[OA성적관리_2].[학년].[All]" dimensionUniqueName="[OA성적관리_2]" displayFolder="" count="2" memberValueDatatype="130" unbalanced="0">
      <fieldsUsage count="2">
        <fieldUsage x="-1"/>
        <fieldUsage x="0"/>
      </fieldsUsage>
    </cacheHierarchy>
    <cacheHierarchy uniqueName="[OA성적관리_2].[학번]" caption="학번" attribute="1" defaultMemberUniqueName="[OA성적관리_2].[학번].[All]" allUniqueName="[OA성적관리_2].[학번].[All]" dimensionUniqueName="[OA성적관리_2]" displayFolder="" count="0" memberValueDatatype="20" unbalanced="0"/>
    <cacheHierarchy uniqueName="[OA성적관리_2].[접수일]" caption="접수일" attribute="1" time="1" defaultMemberUniqueName="[OA성적관리_2].[접수일].[All]" allUniqueName="[OA성적관리_2].[접수일].[All]" dimensionUniqueName="[OA성적관리_2]" displayFolder="" count="2" memberValueDatatype="7" unbalanced="0">
      <fieldsUsage count="2">
        <fieldUsage x="-1"/>
        <fieldUsage x="3"/>
      </fieldsUsage>
    </cacheHierarchy>
    <cacheHierarchy uniqueName="[OA성적관리_2].[엑셀]" caption="엑셀" attribute="1" defaultMemberUniqueName="[OA성적관리_2].[엑셀].[All]" allUniqueName="[OA성적관리_2].[엑셀].[All]" dimensionUniqueName="[OA성적관리_2]" displayFolder="" count="0" memberValueDatatype="20" unbalanced="0"/>
    <cacheHierarchy uniqueName="[OA성적관리_2].[액세스]" caption="액세스" attribute="1" defaultMemberUniqueName="[OA성적관리_2].[액세스].[All]" allUniqueName="[OA성적관리_2].[액세스].[All]" dimensionUniqueName="[OA성적관리_2]" displayFolder="" count="0" memberValueDatatype="20" unbalanced="0"/>
    <cacheHierarchy uniqueName="[Measures].[__XL_Count OA성적관리_2]" caption="__XL_Count OA성적관리_2" measure="1" displayFolder="" measureGroup="OA성적관리_2" count="0" hidden="1"/>
    <cacheHierarchy uniqueName="[Measures].[__No measures defined]" caption="__No measures defined" measure="1" displayFolder="" count="0" hidden="1"/>
    <cacheHierarchy uniqueName="[Measures].[합계: 엑셀]" caption="합계: 엑셀" measure="1" displayFolder="" measureGroup="OA성적관리_2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합계: 액세스]" caption="합계: 액세스" measure="1" displayFolder="" measureGroup="OA성적관리_2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최대값: 엑셀]" caption="최대값: 엑셀" measure="1" displayFolder="" measureGroup="OA성적관리_2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최대값: 액세스]" caption="최대값: 액세스" measure="1" displayFolder="" measureGroup="OA성적관리_2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</cacheHierarchies>
  <kpis count="0"/>
  <dimensions count="2">
    <dimension measure="1" name="Measures" uniqueName="[Measures]" caption="Measures"/>
    <dimension name="OA성적관리_2" uniqueName="[OA성적관리_2]" caption="OA성적관리_2"/>
  </dimensions>
  <measureGroups count="1">
    <measureGroup name="OA성적관리_2" caption="OA성적관리_2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피벗 테이블3" cacheId="0" dataOnRows="1" applyNumberFormats="0" applyBorderFormats="0" applyFontFormats="0" applyPatternFormats="0" applyAlignmentFormats="0" applyWidthHeightFormats="1" dataCaption="값" updatedVersion="6" minRefreshableVersion="3" useAutoFormatting="1" subtotalHiddenItems="1" rowGrandTotals="0" itemPrintTitles="1" createdVersion="6" indent="0" compact="0" outline="1" outlineData="1" compactData="0" multipleFieldFilters="0">
  <location ref="A3:G22" firstHeaderRow="1" firstDataRow="2" firstDataCol="2" rowPageCount="1" colPageCount="1"/>
  <pivotFields count="5">
    <pivotField axis="axisCol" compact="0" allDrilled="1" showAll="0" dataSourceSort="1" defaultAttributeDrillState="1">
      <items count="5">
        <item x="0"/>
        <item x="1"/>
        <item x="2"/>
        <item x="3"/>
        <item t="default"/>
      </items>
    </pivotField>
    <pivotField dataField="1" compact="0" showAll="0"/>
    <pivotField dataField="1" compact="0" showAll="0"/>
    <pivotField axis="axisRow" compact="0" allDrilled="1" showAll="0" dataSourceSort="1" defaultAttributeDrillState="1">
      <items count="7">
        <item x="0"/>
        <item x="1"/>
        <item x="2"/>
        <item x="3"/>
        <item x="4"/>
        <item x="5"/>
        <item t="default"/>
      </items>
    </pivotField>
    <pivotField axis="axisPage" compact="0" allDrilled="1" showAll="0" dataSourceSort="1" defaultAttributeDrillState="1">
      <items count="1">
        <item t="default"/>
      </items>
    </pivotField>
  </pivotFields>
  <rowFields count="2">
    <field x="3"/>
    <field x="-2"/>
  </rowFields>
  <rowItems count="18">
    <i>
      <x/>
    </i>
    <i r="1">
      <x/>
    </i>
    <i r="1" i="1">
      <x v="1"/>
    </i>
    <i>
      <x v="1"/>
    </i>
    <i r="1">
      <x/>
    </i>
    <i r="1" i="1">
      <x v="1"/>
    </i>
    <i>
      <x v="2"/>
    </i>
    <i r="1">
      <x/>
    </i>
    <i r="1" i="1">
      <x v="1"/>
    </i>
    <i>
      <x v="3"/>
    </i>
    <i r="1">
      <x/>
    </i>
    <i r="1" i="1">
      <x v="1"/>
    </i>
    <i>
      <x v="4"/>
    </i>
    <i r="1">
      <x/>
    </i>
    <i r="1" i="1">
      <x v="1"/>
    </i>
    <i>
      <x v="5"/>
    </i>
    <i r="1">
      <x/>
    </i>
    <i r="1" i="1">
      <x v="1"/>
    </i>
  </rowItems>
  <colFields count="1">
    <field x="0"/>
  </colFields>
  <colItems count="5">
    <i>
      <x/>
    </i>
    <i>
      <x v="1"/>
    </i>
    <i>
      <x v="2"/>
    </i>
    <i>
      <x v="3"/>
    </i>
    <i t="grand">
      <x/>
    </i>
  </colItems>
  <pageFields count="1">
    <pageField fld="4" hier="0" name="[OA성적관리_2].[구분].[All]" cap="All"/>
  </pageFields>
  <dataFields count="2">
    <dataField name="최대값: 엑셀" fld="1" subtotal="max" baseField="3" baseItem="4" numFmtId="181"/>
    <dataField name="최대값: 액세스" fld="2" subtotal="max" baseField="3" baseItem="4" numFmtId="181"/>
  </dataFields>
  <pivotHierarchies count="12"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Medium7" showRowHeaders="1" showColHeaders="1" showRowStripes="1" showColStripes="1" showLastColumn="1"/>
  <rowHierarchiesUsage count="2">
    <rowHierarchyUsage hierarchyUsage="3"/>
    <rowHierarchyUsage hierarchyUsage="-2"/>
  </rowHierarchiesUsage>
  <colHierarchiesUsage count="1">
    <colHierarchyUsage hierarchyUsage="1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OA성적관리_21">
        <x15:activeTabTopLevelEntity name="[OA성적관리_2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I24"/>
  <sheetViews>
    <sheetView zoomScaleNormal="100" workbookViewId="0"/>
  </sheetViews>
  <sheetFormatPr defaultRowHeight="16.899999999999999"/>
  <cols>
    <col min="1" max="1" width="11.125" customWidth="1"/>
    <col min="2" max="2" width="9.8125" bestFit="1" customWidth="1"/>
    <col min="3" max="3" width="12.8125" bestFit="1" customWidth="1"/>
    <col min="5" max="5" width="19.5625" customWidth="1"/>
    <col min="7" max="7" width="10.5625" bestFit="1" customWidth="1"/>
    <col min="8" max="8" width="9.8125" bestFit="1" customWidth="1"/>
  </cols>
  <sheetData>
    <row r="1" spans="1:9">
      <c r="A1" t="s">
        <v>1</v>
      </c>
    </row>
    <row r="2" spans="1:9">
      <c r="A2" s="4" t="s">
        <v>31</v>
      </c>
      <c r="B2" s="4" t="s">
        <v>30</v>
      </c>
      <c r="C2" s="4" t="s">
        <v>29</v>
      </c>
      <c r="D2" s="4" t="s">
        <v>32</v>
      </c>
      <c r="E2" s="4" t="s">
        <v>10</v>
      </c>
      <c r="G2" s="4" t="s">
        <v>55</v>
      </c>
    </row>
    <row r="3" spans="1:9">
      <c r="A3" s="4" t="s">
        <v>33</v>
      </c>
      <c r="B3" s="7">
        <v>44990</v>
      </c>
      <c r="C3" s="6">
        <v>2.6162481847701757E-2</v>
      </c>
      <c r="D3">
        <v>54</v>
      </c>
      <c r="E3" t="s">
        <v>212</v>
      </c>
      <c r="G3" t="b">
        <f>OR(C3&lt;=0.5,C3&gt;=0.75)</f>
        <v>1</v>
      </c>
    </row>
    <row r="4" spans="1:9">
      <c r="A4" s="4" t="s">
        <v>34</v>
      </c>
      <c r="B4" s="7">
        <v>44990</v>
      </c>
      <c r="C4" s="6">
        <v>0.63238317293239144</v>
      </c>
      <c r="D4">
        <v>72</v>
      </c>
      <c r="E4" t="s">
        <v>213</v>
      </c>
    </row>
    <row r="5" spans="1:9">
      <c r="A5" s="4" t="s">
        <v>35</v>
      </c>
      <c r="B5" s="7">
        <v>44990</v>
      </c>
      <c r="C5" s="6">
        <v>0.52102897374838253</v>
      </c>
      <c r="D5">
        <v>54</v>
      </c>
      <c r="E5" t="s">
        <v>212</v>
      </c>
      <c r="G5" s="4" t="s">
        <v>31</v>
      </c>
      <c r="H5" s="4" t="s">
        <v>30</v>
      </c>
      <c r="I5" s="4" t="s">
        <v>32</v>
      </c>
    </row>
    <row r="6" spans="1:9">
      <c r="A6" s="4" t="s">
        <v>36</v>
      </c>
      <c r="B6" s="7">
        <v>44990</v>
      </c>
      <c r="C6" s="6">
        <v>0.90827110045226567</v>
      </c>
      <c r="D6">
        <v>95</v>
      </c>
      <c r="E6" t="s">
        <v>214</v>
      </c>
      <c r="G6" s="4" t="s">
        <v>33</v>
      </c>
      <c r="H6" s="7">
        <v>44990</v>
      </c>
      <c r="I6">
        <v>54</v>
      </c>
    </row>
    <row r="7" spans="1:9">
      <c r="A7" s="4" t="s">
        <v>37</v>
      </c>
      <c r="B7" s="7">
        <v>44990</v>
      </c>
      <c r="C7" s="6">
        <v>0.72912489583779561</v>
      </c>
      <c r="D7">
        <v>95</v>
      </c>
      <c r="E7" t="s">
        <v>214</v>
      </c>
      <c r="G7" s="4" t="s">
        <v>36</v>
      </c>
      <c r="H7" s="7">
        <v>44990</v>
      </c>
      <c r="I7">
        <v>95</v>
      </c>
    </row>
    <row r="8" spans="1:9">
      <c r="A8" s="4" t="s">
        <v>38</v>
      </c>
      <c r="B8" s="7">
        <v>44990</v>
      </c>
      <c r="C8" s="6">
        <v>0.34694113135450666</v>
      </c>
      <c r="D8">
        <v>87</v>
      </c>
      <c r="E8" t="s">
        <v>215</v>
      </c>
      <c r="G8" s="4" t="s">
        <v>38</v>
      </c>
      <c r="H8" s="7">
        <v>44990</v>
      </c>
      <c r="I8">
        <v>87</v>
      </c>
    </row>
    <row r="9" spans="1:9">
      <c r="A9" s="4" t="s">
        <v>39</v>
      </c>
      <c r="B9" s="7">
        <v>44990</v>
      </c>
      <c r="C9" s="6">
        <v>0.28369691409002085</v>
      </c>
      <c r="D9">
        <v>53</v>
      </c>
      <c r="E9" t="s">
        <v>212</v>
      </c>
      <c r="G9" s="4" t="s">
        <v>39</v>
      </c>
      <c r="H9" s="7">
        <v>44990</v>
      </c>
      <c r="I9">
        <v>53</v>
      </c>
    </row>
    <row r="10" spans="1:9">
      <c r="A10" s="4" t="s">
        <v>40</v>
      </c>
      <c r="B10" s="7">
        <v>44991</v>
      </c>
      <c r="C10" s="6">
        <v>0.59628443486242599</v>
      </c>
      <c r="D10">
        <v>60</v>
      </c>
      <c r="E10" t="s">
        <v>216</v>
      </c>
      <c r="G10" s="4" t="s">
        <v>43</v>
      </c>
      <c r="H10" s="7">
        <v>44991</v>
      </c>
      <c r="I10">
        <v>86</v>
      </c>
    </row>
    <row r="11" spans="1:9">
      <c r="A11" s="4" t="s">
        <v>41</v>
      </c>
      <c r="B11" s="7">
        <v>44991</v>
      </c>
      <c r="C11" s="6">
        <v>0.70293453868716282</v>
      </c>
      <c r="D11">
        <v>55</v>
      </c>
      <c r="E11" t="s">
        <v>212</v>
      </c>
      <c r="G11" s="4" t="s">
        <v>44</v>
      </c>
      <c r="H11" s="7">
        <v>44991</v>
      </c>
      <c r="I11">
        <v>72</v>
      </c>
    </row>
    <row r="12" spans="1:9">
      <c r="A12" s="4" t="s">
        <v>42</v>
      </c>
      <c r="B12" s="7">
        <v>44991</v>
      </c>
      <c r="C12" s="6">
        <v>0.66595095976967977</v>
      </c>
      <c r="D12">
        <v>55</v>
      </c>
      <c r="E12" t="s">
        <v>212</v>
      </c>
      <c r="G12" s="4" t="s">
        <v>46</v>
      </c>
      <c r="H12" s="7">
        <v>44991</v>
      </c>
      <c r="I12">
        <v>62</v>
      </c>
    </row>
    <row r="13" spans="1:9">
      <c r="A13" s="4" t="s">
        <v>43</v>
      </c>
      <c r="B13" s="7">
        <v>44991</v>
      </c>
      <c r="C13" s="6">
        <v>0.41788104047926322</v>
      </c>
      <c r="D13">
        <v>86</v>
      </c>
      <c r="E13" t="s">
        <v>215</v>
      </c>
      <c r="G13" s="4" t="s">
        <v>47</v>
      </c>
      <c r="H13" s="7">
        <v>44991</v>
      </c>
      <c r="I13">
        <v>61</v>
      </c>
    </row>
    <row r="14" spans="1:9">
      <c r="A14" s="4" t="s">
        <v>44</v>
      </c>
      <c r="B14" s="7">
        <v>44991</v>
      </c>
      <c r="C14" s="6">
        <v>0.13996007960616585</v>
      </c>
      <c r="D14">
        <v>72</v>
      </c>
      <c r="E14" t="s">
        <v>213</v>
      </c>
      <c r="G14" s="4" t="s">
        <v>50</v>
      </c>
      <c r="H14" s="7">
        <v>44992</v>
      </c>
      <c r="I14">
        <v>81</v>
      </c>
    </row>
    <row r="15" spans="1:9">
      <c r="A15" s="4" t="s">
        <v>45</v>
      </c>
      <c r="B15" s="7">
        <v>44991</v>
      </c>
      <c r="C15" s="6">
        <v>0.70082212904889518</v>
      </c>
      <c r="D15">
        <v>74</v>
      </c>
      <c r="E15" t="s">
        <v>213</v>
      </c>
      <c r="G15" s="4" t="s">
        <v>52</v>
      </c>
      <c r="H15" s="7">
        <v>44992</v>
      </c>
      <c r="I15">
        <v>82</v>
      </c>
    </row>
    <row r="16" spans="1:9">
      <c r="A16" s="4" t="s">
        <v>46</v>
      </c>
      <c r="B16" s="7">
        <v>44991</v>
      </c>
      <c r="C16" s="6">
        <v>0.35705292232265295</v>
      </c>
      <c r="D16">
        <v>62</v>
      </c>
      <c r="E16" t="s">
        <v>216</v>
      </c>
      <c r="G16" s="4" t="s">
        <v>53</v>
      </c>
      <c r="H16" s="7">
        <v>44992</v>
      </c>
      <c r="I16">
        <v>74</v>
      </c>
    </row>
    <row r="17" spans="1:9">
      <c r="A17" s="4" t="s">
        <v>47</v>
      </c>
      <c r="B17" s="7">
        <v>44991</v>
      </c>
      <c r="C17" s="6">
        <v>0.18714366444449193</v>
      </c>
      <c r="D17">
        <v>61</v>
      </c>
      <c r="E17" t="s">
        <v>216</v>
      </c>
      <c r="G17" s="4" t="s">
        <v>54</v>
      </c>
      <c r="H17" s="7">
        <v>44992</v>
      </c>
      <c r="I17">
        <v>88</v>
      </c>
    </row>
    <row r="18" spans="1:9">
      <c r="A18" s="4" t="s">
        <v>48</v>
      </c>
      <c r="B18" s="7">
        <v>44991</v>
      </c>
      <c r="C18" s="6">
        <v>0.50411950659894655</v>
      </c>
      <c r="D18">
        <v>86</v>
      </c>
      <c r="E18" t="s">
        <v>215</v>
      </c>
    </row>
    <row r="19" spans="1:9">
      <c r="A19" s="4" t="s">
        <v>49</v>
      </c>
      <c r="B19" s="7">
        <v>44992</v>
      </c>
      <c r="C19" s="6">
        <v>0.7308464011920196</v>
      </c>
      <c r="D19">
        <v>67</v>
      </c>
      <c r="E19" t="s">
        <v>216</v>
      </c>
    </row>
    <row r="20" spans="1:9">
      <c r="A20" s="4" t="s">
        <v>50</v>
      </c>
      <c r="B20" s="7">
        <v>44992</v>
      </c>
      <c r="C20" s="6">
        <v>0.97341482305008187</v>
      </c>
      <c r="D20">
        <v>81</v>
      </c>
      <c r="E20" t="s">
        <v>215</v>
      </c>
    </row>
    <row r="21" spans="1:9">
      <c r="A21" s="4" t="s">
        <v>51</v>
      </c>
      <c r="B21" s="7">
        <v>44992</v>
      </c>
      <c r="C21" s="6">
        <v>0.68100606416801768</v>
      </c>
      <c r="D21">
        <v>92</v>
      </c>
      <c r="E21" t="s">
        <v>214</v>
      </c>
    </row>
    <row r="22" spans="1:9">
      <c r="A22" s="4" t="s">
        <v>52</v>
      </c>
      <c r="B22" s="7">
        <v>44992</v>
      </c>
      <c r="C22" s="6">
        <v>0.96674806041668782</v>
      </c>
      <c r="D22">
        <v>82</v>
      </c>
      <c r="E22" t="s">
        <v>215</v>
      </c>
    </row>
    <row r="23" spans="1:9">
      <c r="A23" s="4" t="s">
        <v>53</v>
      </c>
      <c r="B23" s="7">
        <v>44992</v>
      </c>
      <c r="C23" s="6">
        <v>0.99377439618128716</v>
      </c>
      <c r="D23">
        <v>74</v>
      </c>
      <c r="E23" t="s">
        <v>213</v>
      </c>
    </row>
    <row r="24" spans="1:9">
      <c r="A24" s="4" t="s">
        <v>54</v>
      </c>
      <c r="B24" s="7">
        <v>44992</v>
      </c>
      <c r="C24" s="6">
        <v>0.41044292479376443</v>
      </c>
      <c r="D24">
        <v>88</v>
      </c>
      <c r="E24" t="s">
        <v>215</v>
      </c>
    </row>
  </sheetData>
  <sheetProtection formatCells="0"/>
  <phoneticPr fontId="2" type="noConversion"/>
  <conditionalFormatting sqref="A3:E24">
    <cfRule type="expression" dxfId="0" priority="1">
      <formula>AND(LEFT($A3,3)&lt;&gt;"MPO",$D3&gt;=AVERAGE($D$3:$D$24))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portrait" r:id="rId1"/>
  <headerFooter>
    <oddHeader>&amp;L&amp;"-,굵게"&amp;K0070C0오늘 날짜 : &amp;D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2:I42"/>
  <sheetViews>
    <sheetView topLeftCell="A3" zoomScaleNormal="100" workbookViewId="0">
      <selection activeCell="D15" sqref="D15"/>
    </sheetView>
  </sheetViews>
  <sheetFormatPr defaultRowHeight="16.899999999999999"/>
  <cols>
    <col min="2" max="2" width="10.625" customWidth="1"/>
    <col min="3" max="3" width="8" customWidth="1"/>
    <col min="4" max="4" width="7.6875" customWidth="1"/>
    <col min="5" max="7" width="16.8125" customWidth="1"/>
    <col min="8" max="9" width="9.5625" customWidth="1"/>
  </cols>
  <sheetData>
    <row r="2" spans="1:9">
      <c r="A2" t="s">
        <v>56</v>
      </c>
    </row>
    <row r="3" spans="1:9">
      <c r="A3" s="1" t="s">
        <v>28</v>
      </c>
      <c r="B3" s="1" t="s">
        <v>57</v>
      </c>
      <c r="C3" s="1" t="s">
        <v>59</v>
      </c>
      <c r="D3" s="1" t="s">
        <v>60</v>
      </c>
      <c r="E3" s="1" t="s">
        <v>61</v>
      </c>
      <c r="F3" s="1" t="s">
        <v>58</v>
      </c>
      <c r="G3" s="1" t="s">
        <v>62</v>
      </c>
      <c r="H3" s="1" t="s">
        <v>63</v>
      </c>
      <c r="I3" s="1" t="s">
        <v>64</v>
      </c>
    </row>
    <row r="4" spans="1:9">
      <c r="A4" s="8">
        <v>1</v>
      </c>
      <c r="B4" s="8" t="s">
        <v>118</v>
      </c>
      <c r="C4" s="9" t="s">
        <v>3</v>
      </c>
      <c r="D4" s="8">
        <f ca="1">IF(G4="","",YEAR(TODAY())-YEAR(G4))</f>
        <v>45</v>
      </c>
      <c r="E4" s="10">
        <v>43168</v>
      </c>
      <c r="F4" s="8" t="s">
        <v>65</v>
      </c>
      <c r="G4" s="10">
        <v>28823</v>
      </c>
      <c r="H4" s="8" t="s">
        <v>66</v>
      </c>
      <c r="I4" s="8" t="s">
        <v>66</v>
      </c>
    </row>
    <row r="5" spans="1:9">
      <c r="A5" s="8">
        <v>2</v>
      </c>
      <c r="B5" s="8" t="s">
        <v>4</v>
      </c>
      <c r="C5" s="9" t="s">
        <v>2</v>
      </c>
      <c r="D5" s="8">
        <f t="shared" ref="D5:D29" ca="1" si="0">IF(G5="","",YEAR(TODAY())-YEAR(G5))</f>
        <v>48</v>
      </c>
      <c r="E5" s="10">
        <v>43200</v>
      </c>
      <c r="F5" s="8" t="s">
        <v>67</v>
      </c>
      <c r="G5" s="12">
        <v>27510</v>
      </c>
      <c r="H5" s="8" t="s">
        <v>66</v>
      </c>
      <c r="I5" s="8" t="s">
        <v>66</v>
      </c>
    </row>
    <row r="6" spans="1:9">
      <c r="A6" s="8">
        <v>3</v>
      </c>
      <c r="B6" s="8" t="s">
        <v>12</v>
      </c>
      <c r="C6" s="9" t="s">
        <v>68</v>
      </c>
      <c r="D6" s="3">
        <f t="shared" ca="1" si="0"/>
        <v>73</v>
      </c>
      <c r="E6" s="11" t="s">
        <v>69</v>
      </c>
      <c r="F6" s="8" t="s">
        <v>70</v>
      </c>
      <c r="G6" s="11">
        <v>18471</v>
      </c>
      <c r="H6" s="8"/>
      <c r="I6" s="8"/>
    </row>
    <row r="7" spans="1:9">
      <c r="A7" s="8">
        <v>4</v>
      </c>
      <c r="B7" s="8" t="s">
        <v>13</v>
      </c>
      <c r="C7" s="9" t="s">
        <v>2</v>
      </c>
      <c r="D7" s="8">
        <f t="shared" ca="1" si="0"/>
        <v>40</v>
      </c>
      <c r="E7" s="10">
        <v>39527</v>
      </c>
      <c r="F7" s="8" t="s">
        <v>71</v>
      </c>
      <c r="G7" s="10">
        <v>30679</v>
      </c>
      <c r="H7" s="8" t="s">
        <v>72</v>
      </c>
      <c r="I7" s="8" t="s">
        <v>72</v>
      </c>
    </row>
    <row r="8" spans="1:9">
      <c r="A8" s="8">
        <v>5</v>
      </c>
      <c r="B8" s="8" t="s">
        <v>5</v>
      </c>
      <c r="C8" s="9" t="s">
        <v>2</v>
      </c>
      <c r="D8" s="8">
        <f t="shared" ca="1" si="0"/>
        <v>41</v>
      </c>
      <c r="E8" s="10">
        <v>43159</v>
      </c>
      <c r="F8" s="8" t="s">
        <v>73</v>
      </c>
      <c r="G8" s="10">
        <v>30120</v>
      </c>
      <c r="H8" s="8" t="s">
        <v>74</v>
      </c>
      <c r="I8" s="8" t="s">
        <v>75</v>
      </c>
    </row>
    <row r="9" spans="1:9">
      <c r="A9" s="8">
        <v>6</v>
      </c>
      <c r="B9" s="8" t="s">
        <v>6</v>
      </c>
      <c r="C9" s="9" t="s">
        <v>76</v>
      </c>
      <c r="D9" s="8">
        <f t="shared" ca="1" si="0"/>
        <v>34</v>
      </c>
      <c r="E9" s="10">
        <v>43679</v>
      </c>
      <c r="F9" s="8" t="s">
        <v>77</v>
      </c>
      <c r="G9" s="10">
        <v>32628</v>
      </c>
      <c r="H9" s="8" t="s">
        <v>78</v>
      </c>
      <c r="I9" s="8" t="s">
        <v>66</v>
      </c>
    </row>
    <row r="10" spans="1:9">
      <c r="A10" s="8">
        <v>7</v>
      </c>
      <c r="B10" s="8" t="s">
        <v>14</v>
      </c>
      <c r="C10" s="9" t="s">
        <v>3</v>
      </c>
      <c r="D10" s="8">
        <f t="shared" ca="1" si="0"/>
        <v>52</v>
      </c>
      <c r="E10" s="10">
        <v>39867</v>
      </c>
      <c r="F10" s="8" t="s">
        <v>79</v>
      </c>
      <c r="G10" s="10">
        <v>26072</v>
      </c>
      <c r="H10" s="9" t="s">
        <v>80</v>
      </c>
      <c r="I10" s="9" t="s">
        <v>81</v>
      </c>
    </row>
    <row r="11" spans="1:9">
      <c r="A11" s="8">
        <v>8</v>
      </c>
      <c r="B11" s="8" t="s">
        <v>7</v>
      </c>
      <c r="C11" s="9" t="s">
        <v>3</v>
      </c>
      <c r="D11" s="8">
        <f t="shared" ca="1" si="0"/>
        <v>47</v>
      </c>
      <c r="E11" s="10">
        <v>42309</v>
      </c>
      <c r="F11" s="9" t="s">
        <v>82</v>
      </c>
      <c r="G11" s="12">
        <v>27786</v>
      </c>
      <c r="H11" s="9" t="s">
        <v>81</v>
      </c>
      <c r="I11" s="9" t="s">
        <v>81</v>
      </c>
    </row>
    <row r="12" spans="1:9">
      <c r="A12" s="8">
        <v>9</v>
      </c>
      <c r="B12" s="8" t="s">
        <v>15</v>
      </c>
      <c r="C12" s="9" t="s">
        <v>68</v>
      </c>
      <c r="D12" s="3">
        <f t="shared" ca="1" si="0"/>
        <v>43</v>
      </c>
      <c r="E12" s="11" t="s">
        <v>83</v>
      </c>
      <c r="F12" s="8" t="s">
        <v>84</v>
      </c>
      <c r="G12" s="11">
        <v>29560</v>
      </c>
      <c r="H12" s="8"/>
      <c r="I12" s="8"/>
    </row>
    <row r="13" spans="1:9">
      <c r="A13" s="8">
        <v>10</v>
      </c>
      <c r="B13" s="8" t="s">
        <v>16</v>
      </c>
      <c r="C13" s="9" t="s">
        <v>2</v>
      </c>
      <c r="D13" s="8">
        <f t="shared" ca="1" si="0"/>
        <v>40</v>
      </c>
      <c r="E13" s="10">
        <v>42895</v>
      </c>
      <c r="F13" s="8" t="s">
        <v>85</v>
      </c>
      <c r="G13" s="10">
        <v>30498</v>
      </c>
      <c r="H13" s="8" t="s">
        <v>74</v>
      </c>
      <c r="I13" s="8" t="s">
        <v>75</v>
      </c>
    </row>
    <row r="14" spans="1:9">
      <c r="A14" s="8">
        <v>11</v>
      </c>
      <c r="B14" s="8" t="s">
        <v>17</v>
      </c>
      <c r="C14" s="9" t="s">
        <v>68</v>
      </c>
      <c r="D14" s="3">
        <f t="shared" ca="1" si="0"/>
        <v>40</v>
      </c>
      <c r="E14" s="11" t="s">
        <v>86</v>
      </c>
      <c r="F14" s="8" t="s">
        <v>87</v>
      </c>
      <c r="G14" s="11">
        <v>30440</v>
      </c>
      <c r="H14" s="8"/>
      <c r="I14" s="8"/>
    </row>
    <row r="15" spans="1:9">
      <c r="A15" s="8">
        <v>12</v>
      </c>
      <c r="B15" s="8" t="s">
        <v>122</v>
      </c>
      <c r="C15" s="9" t="s">
        <v>68</v>
      </c>
      <c r="D15" s="3">
        <f t="shared" ca="1" si="0"/>
        <v>42</v>
      </c>
      <c r="E15" s="11">
        <v>43629</v>
      </c>
      <c r="F15" s="8" t="s">
        <v>88</v>
      </c>
      <c r="G15" s="11">
        <v>29769</v>
      </c>
      <c r="H15" s="8" t="s">
        <v>75</v>
      </c>
      <c r="I15" s="8" t="s">
        <v>75</v>
      </c>
    </row>
    <row r="16" spans="1:9">
      <c r="A16" s="8">
        <v>13</v>
      </c>
      <c r="B16" s="8" t="s">
        <v>8</v>
      </c>
      <c r="C16" s="9" t="s">
        <v>68</v>
      </c>
      <c r="D16" s="8">
        <f t="shared" ca="1" si="0"/>
        <v>48</v>
      </c>
      <c r="E16" s="10">
        <v>39352</v>
      </c>
      <c r="F16" s="8" t="s">
        <v>89</v>
      </c>
      <c r="G16" s="10">
        <v>27561</v>
      </c>
      <c r="H16" s="8" t="s">
        <v>90</v>
      </c>
      <c r="I16" s="8" t="s">
        <v>90</v>
      </c>
    </row>
    <row r="17" spans="1:9">
      <c r="A17" s="8">
        <v>14</v>
      </c>
      <c r="B17" s="8" t="s">
        <v>18</v>
      </c>
      <c r="C17" s="9" t="s">
        <v>3</v>
      </c>
      <c r="D17" s="8">
        <f t="shared" ca="1" si="0"/>
        <v>45</v>
      </c>
      <c r="E17" s="10">
        <v>42766</v>
      </c>
      <c r="F17" s="8" t="s">
        <v>91</v>
      </c>
      <c r="G17" s="10">
        <v>28855</v>
      </c>
      <c r="H17" s="9" t="s">
        <v>72</v>
      </c>
      <c r="I17" s="9" t="s">
        <v>72</v>
      </c>
    </row>
    <row r="18" spans="1:9">
      <c r="A18" s="8">
        <v>16</v>
      </c>
      <c r="B18" s="8" t="s">
        <v>9</v>
      </c>
      <c r="C18" s="9" t="s">
        <v>3</v>
      </c>
      <c r="D18" s="8">
        <f t="shared" ca="1" si="0"/>
        <v>42</v>
      </c>
      <c r="E18" s="10">
        <v>39382</v>
      </c>
      <c r="F18" s="8" t="s">
        <v>92</v>
      </c>
      <c r="G18" s="10">
        <v>29893</v>
      </c>
      <c r="H18" s="9" t="s">
        <v>90</v>
      </c>
      <c r="I18" s="9" t="s">
        <v>123</v>
      </c>
    </row>
    <row r="19" spans="1:9">
      <c r="A19" s="8">
        <v>17</v>
      </c>
      <c r="B19" s="8" t="s">
        <v>19</v>
      </c>
      <c r="C19" s="9" t="s">
        <v>76</v>
      </c>
      <c r="D19" s="3">
        <f t="shared" ca="1" si="0"/>
        <v>39</v>
      </c>
      <c r="E19" s="11" t="s">
        <v>93</v>
      </c>
      <c r="F19" s="8" t="s">
        <v>94</v>
      </c>
      <c r="G19" s="11">
        <v>30730</v>
      </c>
      <c r="H19" s="8"/>
      <c r="I19" s="8"/>
    </row>
    <row r="20" spans="1:9">
      <c r="A20" s="8">
        <v>18</v>
      </c>
      <c r="B20" s="8" t="s">
        <v>11</v>
      </c>
      <c r="C20" s="9" t="s">
        <v>2</v>
      </c>
      <c r="D20" s="8">
        <f t="shared" ca="1" si="0"/>
        <v>43</v>
      </c>
      <c r="E20" s="10">
        <v>40038</v>
      </c>
      <c r="F20" s="8" t="s">
        <v>95</v>
      </c>
      <c r="G20" s="10">
        <v>29519</v>
      </c>
      <c r="H20" s="8" t="s">
        <v>72</v>
      </c>
      <c r="I20" s="8" t="s">
        <v>72</v>
      </c>
    </row>
    <row r="21" spans="1:9">
      <c r="A21" s="8">
        <v>19</v>
      </c>
      <c r="B21" s="8" t="s">
        <v>20</v>
      </c>
      <c r="C21" s="9" t="s">
        <v>3</v>
      </c>
      <c r="D21" s="8">
        <f t="shared" ca="1" si="0"/>
        <v>52</v>
      </c>
      <c r="E21" s="10">
        <v>39329</v>
      </c>
      <c r="F21" s="8" t="s">
        <v>96</v>
      </c>
      <c r="G21" s="10">
        <v>26173</v>
      </c>
      <c r="H21" s="9" t="s">
        <v>81</v>
      </c>
      <c r="I21" s="9" t="s">
        <v>90</v>
      </c>
    </row>
    <row r="22" spans="1:9">
      <c r="A22" s="8">
        <v>20</v>
      </c>
      <c r="B22" s="8" t="s">
        <v>21</v>
      </c>
      <c r="C22" s="9" t="s">
        <v>2</v>
      </c>
      <c r="D22" s="8">
        <f t="shared" ca="1" si="0"/>
        <v>40</v>
      </c>
      <c r="E22" s="10">
        <v>39541</v>
      </c>
      <c r="F22" s="8" t="s">
        <v>97</v>
      </c>
      <c r="G22" s="10">
        <v>30343</v>
      </c>
      <c r="H22" s="8" t="s">
        <v>72</v>
      </c>
      <c r="I22" s="8" t="s">
        <v>72</v>
      </c>
    </row>
    <row r="23" spans="1:9">
      <c r="A23" s="8">
        <v>21</v>
      </c>
      <c r="B23" s="8" t="s">
        <v>22</v>
      </c>
      <c r="C23" s="9" t="s">
        <v>3</v>
      </c>
      <c r="D23" s="8">
        <f t="shared" ca="1" si="0"/>
        <v>48</v>
      </c>
      <c r="E23" s="10">
        <v>40539</v>
      </c>
      <c r="F23" s="8" t="s">
        <v>98</v>
      </c>
      <c r="G23" s="12">
        <v>27643</v>
      </c>
      <c r="H23" s="9" t="s">
        <v>81</v>
      </c>
      <c r="I23" s="9" t="s">
        <v>72</v>
      </c>
    </row>
    <row r="24" spans="1:9">
      <c r="A24" s="8">
        <v>22</v>
      </c>
      <c r="B24" s="8" t="s">
        <v>23</v>
      </c>
      <c r="C24" s="9" t="s">
        <v>3</v>
      </c>
      <c r="D24" s="8">
        <f t="shared" ca="1" si="0"/>
        <v>42</v>
      </c>
      <c r="E24" s="10">
        <v>42605</v>
      </c>
      <c r="F24" s="8" t="s">
        <v>99</v>
      </c>
      <c r="G24" s="10">
        <v>29881</v>
      </c>
      <c r="H24" s="8" t="s">
        <v>90</v>
      </c>
      <c r="I24" s="8" t="s">
        <v>72</v>
      </c>
    </row>
    <row r="25" spans="1:9">
      <c r="A25" s="8">
        <v>23</v>
      </c>
      <c r="B25" s="8" t="s">
        <v>24</v>
      </c>
      <c r="C25" s="9" t="s">
        <v>76</v>
      </c>
      <c r="D25" s="3">
        <f t="shared" ca="1" si="0"/>
        <v>46</v>
      </c>
      <c r="E25" s="11" t="s">
        <v>100</v>
      </c>
      <c r="F25" s="8" t="s">
        <v>101</v>
      </c>
      <c r="G25" s="11">
        <v>28353</v>
      </c>
      <c r="H25" s="8" t="s">
        <v>75</v>
      </c>
      <c r="I25" s="8" t="s">
        <v>75</v>
      </c>
    </row>
    <row r="26" spans="1:9">
      <c r="A26" s="8">
        <v>24</v>
      </c>
      <c r="B26" s="8" t="s">
        <v>25</v>
      </c>
      <c r="C26" s="9" t="s">
        <v>76</v>
      </c>
      <c r="D26" s="3">
        <f t="shared" ca="1" si="0"/>
        <v>29</v>
      </c>
      <c r="E26" s="11">
        <v>43586</v>
      </c>
      <c r="F26" s="8" t="s">
        <v>102</v>
      </c>
      <c r="G26" s="11">
        <v>34454</v>
      </c>
      <c r="H26" s="8" t="s">
        <v>75</v>
      </c>
      <c r="I26" s="8" t="s">
        <v>75</v>
      </c>
    </row>
    <row r="27" spans="1:9">
      <c r="A27" s="8">
        <v>25</v>
      </c>
      <c r="B27" s="8" t="s">
        <v>26</v>
      </c>
      <c r="C27" s="9" t="s">
        <v>68</v>
      </c>
      <c r="D27" s="3">
        <f t="shared" ca="1" si="0"/>
        <v>29</v>
      </c>
      <c r="E27" s="11">
        <v>43586</v>
      </c>
      <c r="F27" s="8" t="s">
        <v>103</v>
      </c>
      <c r="G27" s="11">
        <v>34454</v>
      </c>
      <c r="H27" s="8" t="s">
        <v>75</v>
      </c>
      <c r="I27" s="8" t="s">
        <v>75</v>
      </c>
    </row>
    <row r="28" spans="1:9">
      <c r="A28" s="8">
        <v>26</v>
      </c>
      <c r="B28" s="8" t="s">
        <v>27</v>
      </c>
      <c r="C28" s="9" t="s">
        <v>2</v>
      </c>
      <c r="D28" s="8">
        <f t="shared" ca="1" si="0"/>
        <v>49</v>
      </c>
      <c r="E28" s="10">
        <v>39326</v>
      </c>
      <c r="F28" s="8" t="s">
        <v>104</v>
      </c>
      <c r="G28" s="10">
        <v>27380</v>
      </c>
      <c r="H28" s="8" t="s">
        <v>72</v>
      </c>
      <c r="I28" s="8" t="s">
        <v>72</v>
      </c>
    </row>
    <row r="29" spans="1:9">
      <c r="A29" s="8">
        <v>27</v>
      </c>
      <c r="B29" s="8" t="s">
        <v>119</v>
      </c>
      <c r="C29" s="9" t="s">
        <v>3</v>
      </c>
      <c r="D29" s="8">
        <f t="shared" ca="1" si="0"/>
        <v>39</v>
      </c>
      <c r="E29" s="10">
        <v>42917</v>
      </c>
      <c r="F29" s="9" t="s">
        <v>105</v>
      </c>
      <c r="G29" s="12">
        <v>30975</v>
      </c>
      <c r="H29" s="8" t="s">
        <v>74</v>
      </c>
      <c r="I29" s="9" t="s">
        <v>75</v>
      </c>
    </row>
    <row r="31" spans="1:9">
      <c r="A31" t="s">
        <v>117</v>
      </c>
    </row>
    <row r="32" spans="1:9">
      <c r="A32" s="8">
        <v>28</v>
      </c>
      <c r="B32" s="1" t="s">
        <v>124</v>
      </c>
      <c r="C32" s="9" t="s">
        <v>68</v>
      </c>
      <c r="D32" s="8">
        <f t="shared" ref="D32:D42" ca="1" si="1">IF(G32="","",YEAR(TODAY())-YEAR(G32))</f>
        <v>48</v>
      </c>
      <c r="E32" s="10">
        <v>41192</v>
      </c>
      <c r="F32" s="8" t="s">
        <v>106</v>
      </c>
      <c r="G32" s="12">
        <v>27588</v>
      </c>
      <c r="H32" s="9" t="s">
        <v>74</v>
      </c>
      <c r="I32" s="9" t="s">
        <v>74</v>
      </c>
    </row>
    <row r="33" spans="1:9">
      <c r="A33" s="8">
        <v>29</v>
      </c>
      <c r="B33" s="1" t="s">
        <v>120</v>
      </c>
      <c r="C33" s="9" t="s">
        <v>68</v>
      </c>
      <c r="D33" s="8">
        <f t="shared" ca="1" si="1"/>
        <v>48</v>
      </c>
      <c r="E33" s="10">
        <v>44566</v>
      </c>
      <c r="F33" s="8" t="s">
        <v>108</v>
      </c>
      <c r="G33" s="10">
        <v>27734</v>
      </c>
      <c r="H33" s="8" t="s">
        <v>78</v>
      </c>
      <c r="I33" s="8" t="s">
        <v>72</v>
      </c>
    </row>
    <row r="34" spans="1:9">
      <c r="A34" s="8">
        <v>30</v>
      </c>
      <c r="B34" s="1" t="s">
        <v>121</v>
      </c>
      <c r="C34" s="9" t="s">
        <v>76</v>
      </c>
      <c r="D34" s="8">
        <f t="shared" ca="1" si="1"/>
        <v>59</v>
      </c>
      <c r="E34" s="10">
        <v>44892</v>
      </c>
      <c r="F34" s="8" t="s">
        <v>110</v>
      </c>
      <c r="G34" s="10">
        <v>23659</v>
      </c>
      <c r="H34" s="9" t="s">
        <v>80</v>
      </c>
      <c r="I34" s="9" t="s">
        <v>90</v>
      </c>
    </row>
    <row r="35" spans="1:9">
      <c r="A35" s="8">
        <v>31</v>
      </c>
      <c r="B35" s="1" t="s">
        <v>125</v>
      </c>
      <c r="C35" s="9" t="s">
        <v>68</v>
      </c>
      <c r="D35" s="8">
        <f t="shared" ca="1" si="1"/>
        <v>60</v>
      </c>
      <c r="E35" s="10">
        <v>44796</v>
      </c>
      <c r="F35" s="8" t="s">
        <v>112</v>
      </c>
      <c r="G35" s="10">
        <v>23066</v>
      </c>
      <c r="H35" s="8" t="s">
        <v>81</v>
      </c>
      <c r="I35" s="8" t="s">
        <v>72</v>
      </c>
    </row>
    <row r="36" spans="1:9">
      <c r="A36" s="8">
        <v>32</v>
      </c>
      <c r="B36" s="1" t="s">
        <v>126</v>
      </c>
      <c r="C36" s="9" t="s">
        <v>76</v>
      </c>
      <c r="D36" s="8">
        <f t="shared" ca="1" si="1"/>
        <v>53</v>
      </c>
      <c r="E36" s="10">
        <v>44790</v>
      </c>
      <c r="F36" s="8" t="s">
        <v>111</v>
      </c>
      <c r="G36" s="10">
        <v>25753</v>
      </c>
      <c r="H36" s="9" t="s">
        <v>90</v>
      </c>
      <c r="I36" s="9" t="s">
        <v>72</v>
      </c>
    </row>
    <row r="37" spans="1:9">
      <c r="A37" s="8">
        <v>33</v>
      </c>
      <c r="B37" s="1" t="s">
        <v>127</v>
      </c>
      <c r="C37" s="9" t="s">
        <v>68</v>
      </c>
      <c r="D37" s="8">
        <f t="shared" ca="1" si="1"/>
        <v>58</v>
      </c>
      <c r="E37" s="10">
        <v>44599</v>
      </c>
      <c r="F37" s="8" t="s">
        <v>115</v>
      </c>
      <c r="G37" s="10">
        <v>24101</v>
      </c>
      <c r="H37" s="8" t="s">
        <v>90</v>
      </c>
      <c r="I37" s="8" t="s">
        <v>90</v>
      </c>
    </row>
    <row r="38" spans="1:9">
      <c r="A38" s="8">
        <v>34</v>
      </c>
      <c r="B38" s="1" t="s">
        <v>128</v>
      </c>
      <c r="C38" s="9" t="s">
        <v>76</v>
      </c>
      <c r="D38" s="8">
        <f t="shared" ca="1" si="1"/>
        <v>58</v>
      </c>
      <c r="E38" s="10">
        <v>42605</v>
      </c>
      <c r="F38" s="8" t="s">
        <v>107</v>
      </c>
      <c r="G38" s="10">
        <v>23969</v>
      </c>
      <c r="H38" s="8" t="s">
        <v>72</v>
      </c>
      <c r="I38" s="8" t="s">
        <v>72</v>
      </c>
    </row>
    <row r="39" spans="1:9">
      <c r="A39" s="8">
        <v>35</v>
      </c>
      <c r="B39" s="1" t="s">
        <v>129</v>
      </c>
      <c r="C39" s="9" t="s">
        <v>68</v>
      </c>
      <c r="D39" s="8">
        <f t="shared" ca="1" si="1"/>
        <v>56</v>
      </c>
      <c r="E39" s="10">
        <v>44795</v>
      </c>
      <c r="F39" s="8" t="s">
        <v>113</v>
      </c>
      <c r="G39" s="12">
        <v>24734</v>
      </c>
      <c r="H39" s="9" t="s">
        <v>72</v>
      </c>
      <c r="I39" s="9" t="s">
        <v>72</v>
      </c>
    </row>
    <row r="40" spans="1:9">
      <c r="A40" s="8">
        <v>36</v>
      </c>
      <c r="B40" s="1" t="s">
        <v>130</v>
      </c>
      <c r="C40" s="9" t="s">
        <v>68</v>
      </c>
      <c r="D40" s="8">
        <f t="shared" ca="1" si="1"/>
        <v>54</v>
      </c>
      <c r="E40" s="10">
        <v>44592</v>
      </c>
      <c r="F40" s="8" t="s">
        <v>114</v>
      </c>
      <c r="G40" s="10">
        <v>25535</v>
      </c>
      <c r="H40" s="9" t="s">
        <v>72</v>
      </c>
      <c r="I40" s="9" t="s">
        <v>72</v>
      </c>
    </row>
    <row r="41" spans="1:9">
      <c r="A41" s="8">
        <v>37</v>
      </c>
      <c r="B41" s="1" t="s">
        <v>131</v>
      </c>
      <c r="C41" s="9" t="s">
        <v>68</v>
      </c>
      <c r="D41" s="8">
        <f t="shared" ca="1" si="1"/>
        <v>53</v>
      </c>
      <c r="E41" s="10">
        <v>44721</v>
      </c>
      <c r="F41" s="8" t="s">
        <v>109</v>
      </c>
      <c r="G41" s="10">
        <v>25866</v>
      </c>
      <c r="H41" s="8" t="s">
        <v>74</v>
      </c>
      <c r="I41" s="8" t="s">
        <v>75</v>
      </c>
    </row>
    <row r="42" spans="1:9">
      <c r="A42" s="8">
        <v>38</v>
      </c>
      <c r="B42" s="1" t="s">
        <v>132</v>
      </c>
      <c r="C42" s="9" t="s">
        <v>68</v>
      </c>
      <c r="D42" s="8">
        <f t="shared" ca="1" si="1"/>
        <v>32</v>
      </c>
      <c r="E42" s="10">
        <v>44578</v>
      </c>
      <c r="F42" s="8" t="s">
        <v>116</v>
      </c>
      <c r="G42" s="10">
        <v>33248</v>
      </c>
      <c r="H42" s="8" t="s">
        <v>74</v>
      </c>
      <c r="I42" s="8" t="s">
        <v>74</v>
      </c>
    </row>
  </sheetData>
  <sheetProtection formatCells="0"/>
  <sortState xmlns:xlrd2="http://schemas.microsoft.com/office/spreadsheetml/2017/richdata2" ref="E33:I42">
    <sortCondition ref="H33:H42"/>
  </sortState>
  <phoneticPr fontId="2" type="noConversion"/>
  <printOptions horizontalCentered="1" headings="1" gridLines="1"/>
  <pageMargins left="0.70866141732283472" right="0.70866141732283472" top="0.74803149606299213" bottom="0.74803149606299213" header="0.31496062992125984" footer="0.31496062992125984"/>
  <pageSetup paperSize="9" orientation="landscape" r:id="rId1"/>
  <headerFooter>
    <oddHeader>&amp;R&amp;"-,굵게"&amp;12&amp;K0070C0기풍 클럽 회원 명단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I46"/>
  <sheetViews>
    <sheetView tabSelected="1" workbookViewId="0">
      <selection activeCell="J1" sqref="J1"/>
    </sheetView>
  </sheetViews>
  <sheetFormatPr defaultRowHeight="16.899999999999999"/>
  <cols>
    <col min="1" max="1" width="8.625" style="2" bestFit="1" customWidth="1"/>
    <col min="2" max="2" width="9" style="2"/>
    <col min="3" max="3" width="7.75" style="2" customWidth="1"/>
    <col min="4" max="4" width="11.6875" style="2" customWidth="1"/>
    <col min="5" max="6" width="12.25" style="2" customWidth="1"/>
    <col min="7" max="7" width="13.375" style="2" bestFit="1" customWidth="1"/>
    <col min="8" max="8" width="11.875" style="2" customWidth="1"/>
    <col min="9" max="16384" width="9" style="2"/>
  </cols>
  <sheetData>
    <row r="1" spans="1:9">
      <c r="A1" s="2" t="s">
        <v>1</v>
      </c>
    </row>
    <row r="2" spans="1:9">
      <c r="A2" s="14" t="s">
        <v>136</v>
      </c>
      <c r="B2" s="14" t="s">
        <v>135</v>
      </c>
      <c r="C2" s="14" t="s">
        <v>138</v>
      </c>
      <c r="D2" s="14" t="s">
        <v>137</v>
      </c>
      <c r="E2" s="14" t="s">
        <v>141</v>
      </c>
      <c r="F2" s="14" t="s">
        <v>139</v>
      </c>
      <c r="G2" s="14" t="s">
        <v>140</v>
      </c>
      <c r="H2" s="14" t="s">
        <v>159</v>
      </c>
      <c r="I2" s="14" t="s">
        <v>167</v>
      </c>
    </row>
    <row r="3" spans="1:9">
      <c r="A3" s="3">
        <v>1</v>
      </c>
      <c r="B3" s="3" t="s">
        <v>134</v>
      </c>
      <c r="C3" s="18" t="s">
        <v>169</v>
      </c>
      <c r="D3" s="15">
        <v>201933080</v>
      </c>
      <c r="E3" s="13">
        <v>45002</v>
      </c>
      <c r="F3" s="3">
        <v>989</v>
      </c>
      <c r="G3" s="3">
        <v>993</v>
      </c>
      <c r="H3" s="3" t="str" cm="1">
        <f t="array" aca="1" ref="H3" ca="1">INDEX($A$36:$A$39,MID(D3,5,1))&amp;"("&amp;TRUNC(SUMPRODUCT(OFFSET($A$35,MID(D3,5,1),1,1,2),F3:G3))&amp;")"</f>
        <v>건축(990)</v>
      </c>
      <c r="I3" s="3" t="str" cm="1">
        <f t="array" ref="I3">fn결과(C3,F3,G3)</f>
        <v>졸업</v>
      </c>
    </row>
    <row r="4" spans="1:9">
      <c r="A4" s="3">
        <v>2</v>
      </c>
      <c r="B4" s="3" t="s">
        <v>134</v>
      </c>
      <c r="C4" s="18" t="s">
        <v>170</v>
      </c>
      <c r="D4" s="15">
        <v>202129018</v>
      </c>
      <c r="E4" s="13">
        <v>45002</v>
      </c>
      <c r="F4" s="3">
        <v>712</v>
      </c>
      <c r="G4" s="3">
        <v>640</v>
      </c>
      <c r="H4" s="3" t="str" cm="1">
        <f t="array" aca="1" ref="H4" ca="1">INDEX($A$36:$A$39,MID(D4,5,1))&amp;"("&amp;TRUNC(SUMPRODUCT(OFFSET($A$35,MID(D4,5,1),1,1,2),F4:G4))&amp;")"</f>
        <v>드론(676)</v>
      </c>
      <c r="I4" s="3" t="str" cm="1">
        <f t="array" ref="I4">fn결과(C4,F4,G4)</f>
        <v>D등급</v>
      </c>
    </row>
    <row r="5" spans="1:9">
      <c r="A5" s="3">
        <v>3</v>
      </c>
      <c r="B5" s="3" t="s">
        <v>134</v>
      </c>
      <c r="C5" s="18" t="s">
        <v>171</v>
      </c>
      <c r="D5" s="15">
        <v>202049308</v>
      </c>
      <c r="E5" s="13">
        <v>45003</v>
      </c>
      <c r="F5" s="3">
        <v>977</v>
      </c>
      <c r="G5" s="3">
        <v>642</v>
      </c>
      <c r="H5" s="3" t="str" cm="1">
        <f t="array" aca="1" ref="H5" ca="1">INDEX($A$36:$A$39,MID(D5,5,1))&amp;"("&amp;TRUNC(SUMPRODUCT(OFFSET($A$35,MID(D5,5,1),1,1,2),F5:G5))&amp;")"</f>
        <v>전기(742)</v>
      </c>
      <c r="I5" s="3" t="str" cm="1">
        <f t="array" ref="I5">fn결과(C5,F5,G5)</f>
        <v>B등급</v>
      </c>
    </row>
    <row r="6" spans="1:9">
      <c r="A6" s="3">
        <v>4</v>
      </c>
      <c r="B6" s="3" t="s">
        <v>134</v>
      </c>
      <c r="C6" s="18" t="s">
        <v>172</v>
      </c>
      <c r="D6" s="15">
        <v>202219016</v>
      </c>
      <c r="E6" s="13">
        <v>45004</v>
      </c>
      <c r="F6" s="3">
        <v>741</v>
      </c>
      <c r="G6" s="3">
        <v>607</v>
      </c>
      <c r="H6" s="3" t="str" cm="1">
        <f t="array" aca="1" ref="H6" ca="1">INDEX($A$36:$A$39,MID(D6,5,1))&amp;"("&amp;TRUNC(SUMPRODUCT(OFFSET($A$35,MID(D6,5,1),1,1,2),F6:G6))&amp;")"</f>
        <v>코딩(660)</v>
      </c>
      <c r="I6" s="3" t="str" cm="1">
        <f t="array" ref="I6">fn결과(C6,F6,G6)</f>
        <v>D등급</v>
      </c>
    </row>
    <row r="7" spans="1:9">
      <c r="A7" s="3">
        <v>5</v>
      </c>
      <c r="B7" s="3" t="s">
        <v>134</v>
      </c>
      <c r="C7" s="18" t="s">
        <v>172</v>
      </c>
      <c r="D7" s="16">
        <v>202224019</v>
      </c>
      <c r="E7" s="13">
        <v>45001</v>
      </c>
      <c r="F7" s="3">
        <v>800</v>
      </c>
      <c r="G7" s="3">
        <v>874</v>
      </c>
      <c r="H7" s="3" t="str" cm="1">
        <f t="array" aca="1" ref="H7" ca="1">INDEX($A$36:$A$39,MID(D7,5,1))&amp;"("&amp;TRUNC(SUMPRODUCT(OFFSET($A$35,MID(D7,5,1),1,1,2),F7:G7))&amp;")"</f>
        <v>드론(837)</v>
      </c>
      <c r="I7" s="3" t="str" cm="1">
        <f t="array" ref="I7">fn결과(C7,F7,G7)</f>
        <v>B등급</v>
      </c>
    </row>
    <row r="8" spans="1:9">
      <c r="A8" s="3">
        <v>6</v>
      </c>
      <c r="B8" s="3" t="s">
        <v>134</v>
      </c>
      <c r="C8" s="18" t="s">
        <v>171</v>
      </c>
      <c r="D8" s="16">
        <v>202029015</v>
      </c>
      <c r="E8" s="13">
        <v>44998</v>
      </c>
      <c r="F8" s="3">
        <v>674</v>
      </c>
      <c r="G8" s="3">
        <v>876</v>
      </c>
      <c r="H8" s="3" t="str" cm="1">
        <f t="array" aca="1" ref="H8" ca="1">INDEX($A$36:$A$39,MID(D8,5,1))&amp;"("&amp;TRUNC(SUMPRODUCT(OFFSET($A$35,MID(D8,5,1),1,1,2),F8:G8))&amp;")"</f>
        <v>드론(775)</v>
      </c>
      <c r="I8" s="3" t="str" cm="1">
        <f t="array" ref="I8">fn결과(C8,F8,G8)</f>
        <v>C등급</v>
      </c>
    </row>
    <row r="9" spans="1:9">
      <c r="A9" s="3">
        <v>7</v>
      </c>
      <c r="B9" s="3" t="s">
        <v>134</v>
      </c>
      <c r="C9" s="18" t="s">
        <v>169</v>
      </c>
      <c r="D9" s="16">
        <v>201919013</v>
      </c>
      <c r="E9" s="13">
        <v>45001</v>
      </c>
      <c r="F9" s="3">
        <v>713</v>
      </c>
      <c r="G9" s="3">
        <v>645</v>
      </c>
      <c r="H9" s="3" t="str" cm="1">
        <f t="array" aca="1" ref="H9" ca="1">INDEX($A$36:$A$39,MID(D9,5,1))&amp;"("&amp;TRUNC(SUMPRODUCT(OFFSET($A$35,MID(D9,5,1),1,1,2),F9:G9))&amp;")"</f>
        <v>코딩(672)</v>
      </c>
      <c r="I9" s="3" t="str" cm="1">
        <f t="array" ref="I9">fn결과(C9,F9,G9)</f>
        <v>재시험</v>
      </c>
    </row>
    <row r="10" spans="1:9">
      <c r="A10" s="3">
        <v>8</v>
      </c>
      <c r="B10" s="3" t="s">
        <v>134</v>
      </c>
      <c r="C10" s="18" t="s">
        <v>171</v>
      </c>
      <c r="D10" s="16">
        <v>202049033</v>
      </c>
      <c r="E10" s="13">
        <v>45000</v>
      </c>
      <c r="F10" s="3">
        <v>856</v>
      </c>
      <c r="G10" s="3">
        <v>850</v>
      </c>
      <c r="H10" s="3" t="str" cm="1">
        <f t="array" aca="1" ref="H10" ca="1">INDEX($A$36:$A$39,MID(D10,5,1))&amp;"("&amp;TRUNC(SUMPRODUCT(OFFSET($A$35,MID(D10,5,1),1,1,2),F10:G10))&amp;")"</f>
        <v>전기(851)</v>
      </c>
      <c r="I10" s="3" t="str" cm="1">
        <f t="array" ref="I10">fn결과(C10,F10,G10)</f>
        <v>B등급</v>
      </c>
    </row>
    <row r="11" spans="1:9">
      <c r="A11" s="3">
        <v>9</v>
      </c>
      <c r="B11" s="3" t="s">
        <v>134</v>
      </c>
      <c r="C11" s="18" t="s">
        <v>170</v>
      </c>
      <c r="D11" s="16">
        <v>202131015</v>
      </c>
      <c r="E11" s="13">
        <v>45003</v>
      </c>
      <c r="F11" s="3">
        <v>887</v>
      </c>
      <c r="G11" s="3">
        <v>820</v>
      </c>
      <c r="H11" s="3" t="str" cm="1">
        <f t="array" aca="1" ref="H11" ca="1">INDEX($A$36:$A$39,MID(D11,5,1))&amp;"("&amp;TRUNC(SUMPRODUCT(OFFSET($A$35,MID(D11,5,1),1,1,2),F11:G11))&amp;")"</f>
        <v>건축(860)</v>
      </c>
      <c r="I11" s="3" t="str" cm="1">
        <f t="array" ref="I11">fn결과(C11,F11,G11)</f>
        <v>B등급</v>
      </c>
    </row>
    <row r="12" spans="1:9">
      <c r="A12" s="3">
        <v>10</v>
      </c>
      <c r="B12" s="3" t="s">
        <v>134</v>
      </c>
      <c r="C12" s="18" t="s">
        <v>170</v>
      </c>
      <c r="D12" s="16">
        <v>202111301</v>
      </c>
      <c r="E12" s="13">
        <v>44998</v>
      </c>
      <c r="F12" s="3">
        <v>718</v>
      </c>
      <c r="G12" s="3">
        <v>686</v>
      </c>
      <c r="H12" s="3" t="str" cm="1">
        <f t="array" aca="1" ref="H12" ca="1">INDEX($A$36:$A$39,MID(D12,5,1))&amp;"("&amp;TRUNC(SUMPRODUCT(OFFSET($A$35,MID(D12,5,1),1,1,2),F12:G12))&amp;")"</f>
        <v>코딩(698)</v>
      </c>
      <c r="I12" s="3" t="str" cm="1">
        <f t="array" ref="I12">fn결과(C12,F12,G12)</f>
        <v>C등급</v>
      </c>
    </row>
    <row r="13" spans="1:9">
      <c r="A13" s="3">
        <v>11</v>
      </c>
      <c r="B13" s="3" t="s">
        <v>134</v>
      </c>
      <c r="C13" s="18" t="s">
        <v>171</v>
      </c>
      <c r="D13" s="15">
        <v>202041047</v>
      </c>
      <c r="E13" s="13">
        <v>45003</v>
      </c>
      <c r="F13" s="3">
        <v>754</v>
      </c>
      <c r="G13" s="3">
        <v>990</v>
      </c>
      <c r="H13" s="3" t="str" cm="1">
        <f t="array" aca="1" ref="H13" ca="1">INDEX($A$36:$A$39,MID(D13,5,1))&amp;"("&amp;TRUNC(SUMPRODUCT(OFFSET($A$35,MID(D13,5,1),1,1,2),F13:G13))&amp;")"</f>
        <v>전기(919)</v>
      </c>
      <c r="I13" s="3" t="str" cm="1">
        <f t="array" ref="I13">fn결과(C13,F13,G13)</f>
        <v>B등급</v>
      </c>
    </row>
    <row r="14" spans="1:9">
      <c r="A14" s="3">
        <v>12</v>
      </c>
      <c r="B14" s="3" t="s">
        <v>134</v>
      </c>
      <c r="C14" s="18" t="s">
        <v>172</v>
      </c>
      <c r="D14" s="16">
        <v>202211046</v>
      </c>
      <c r="E14" s="13">
        <v>45000</v>
      </c>
      <c r="F14" s="3">
        <v>669</v>
      </c>
      <c r="G14" s="3">
        <v>819</v>
      </c>
      <c r="H14" s="3" t="str" cm="1">
        <f t="array" aca="1" ref="H14" ca="1">INDEX($A$36:$A$39,MID(D14,5,1))&amp;"("&amp;TRUNC(SUMPRODUCT(OFFSET($A$35,MID(D14,5,1),1,1,2),F14:G14))&amp;")"</f>
        <v>코딩(759)</v>
      </c>
      <c r="I14" s="3" t="str" cm="1">
        <f t="array" ref="I14">fn결과(C14,F14,G14)</f>
        <v>C등급</v>
      </c>
    </row>
    <row r="15" spans="1:9">
      <c r="A15" s="3">
        <v>13</v>
      </c>
      <c r="B15" s="3" t="s">
        <v>134</v>
      </c>
      <c r="C15" s="18" t="s">
        <v>172</v>
      </c>
      <c r="D15" s="16">
        <v>202227015</v>
      </c>
      <c r="E15" s="13">
        <v>45002</v>
      </c>
      <c r="F15" s="3">
        <v>790</v>
      </c>
      <c r="G15" s="3">
        <v>962</v>
      </c>
      <c r="H15" s="3" t="str" cm="1">
        <f t="array" aca="1" ref="H15" ca="1">INDEX($A$36:$A$39,MID(D15,5,1))&amp;"("&amp;TRUNC(SUMPRODUCT(OFFSET($A$35,MID(D15,5,1),1,1,2),F15:G15))&amp;")"</f>
        <v>드론(876)</v>
      </c>
      <c r="I15" s="3" t="str" cm="1">
        <f t="array" ref="I15">fn결과(C15,F15,G15)</f>
        <v>B등급</v>
      </c>
    </row>
    <row r="16" spans="1:9">
      <c r="A16" s="3">
        <v>14</v>
      </c>
      <c r="B16" s="3" t="s">
        <v>133</v>
      </c>
      <c r="C16" s="18" t="s">
        <v>170</v>
      </c>
      <c r="D16" s="16">
        <v>202149330</v>
      </c>
      <c r="E16" s="13">
        <v>45001</v>
      </c>
      <c r="F16" s="3">
        <v>963</v>
      </c>
      <c r="G16" s="3">
        <v>623</v>
      </c>
      <c r="H16" s="3" t="str" cm="1">
        <f t="array" aca="1" ref="H16" ca="1">INDEX($A$36:$A$39,MID(D16,5,1))&amp;"("&amp;TRUNC(SUMPRODUCT(OFFSET($A$35,MID(D16,5,1),1,1,2),F16:G16))&amp;")"</f>
        <v>전기(725)</v>
      </c>
      <c r="I16" s="3" t="str" cm="1">
        <f t="array" ref="I16">fn결과(C16,F16,G16)</f>
        <v>C등급</v>
      </c>
    </row>
    <row r="17" spans="1:9">
      <c r="A17" s="3">
        <v>15</v>
      </c>
      <c r="B17" s="3" t="s">
        <v>133</v>
      </c>
      <c r="C17" s="18" t="s">
        <v>172</v>
      </c>
      <c r="D17" s="15">
        <v>202227002</v>
      </c>
      <c r="E17" s="13">
        <v>45001</v>
      </c>
      <c r="F17" s="3">
        <v>978</v>
      </c>
      <c r="G17" s="3">
        <v>640</v>
      </c>
      <c r="H17" s="3" t="str" cm="1">
        <f t="array" aca="1" ref="H17" ca="1">INDEX($A$36:$A$39,MID(D17,5,1))&amp;"("&amp;TRUNC(SUMPRODUCT(OFFSET($A$35,MID(D17,5,1),1,1,2),F17:G17))&amp;")"</f>
        <v>드론(809)</v>
      </c>
      <c r="I17" s="3" t="str" cm="1">
        <f t="array" ref="I17">fn결과(C17,F17,G17)</f>
        <v>B등급</v>
      </c>
    </row>
    <row r="18" spans="1:9">
      <c r="A18" s="3">
        <v>16</v>
      </c>
      <c r="B18" s="3" t="s">
        <v>133</v>
      </c>
      <c r="C18" s="18" t="s">
        <v>172</v>
      </c>
      <c r="D18" s="15">
        <v>202214007</v>
      </c>
      <c r="E18" s="13">
        <v>45003</v>
      </c>
      <c r="F18" s="3">
        <v>992</v>
      </c>
      <c r="G18" s="3">
        <v>831</v>
      </c>
      <c r="H18" s="3" t="str" cm="1">
        <f t="array" aca="1" ref="H18" ca="1">INDEX($A$36:$A$39,MID(D18,5,1))&amp;"("&amp;TRUNC(SUMPRODUCT(OFFSET($A$35,MID(D18,5,1),1,1,2),F18:G18))&amp;")"</f>
        <v>코딩(895)</v>
      </c>
      <c r="I18" s="3" t="str" cm="1">
        <f t="array" ref="I18">fn결과(C18,F18,G18)</f>
        <v>A등급</v>
      </c>
    </row>
    <row r="19" spans="1:9">
      <c r="A19" s="3">
        <v>17</v>
      </c>
      <c r="B19" s="3" t="s">
        <v>133</v>
      </c>
      <c r="C19" s="18" t="s">
        <v>171</v>
      </c>
      <c r="D19" s="15">
        <v>202034020</v>
      </c>
      <c r="E19" s="13">
        <v>45000</v>
      </c>
      <c r="F19" s="3">
        <v>966</v>
      </c>
      <c r="G19" s="3">
        <v>825</v>
      </c>
      <c r="H19" s="3" t="str" cm="1">
        <f t="array" aca="1" ref="H19" ca="1">INDEX($A$36:$A$39,MID(D19,5,1))&amp;"("&amp;TRUNC(SUMPRODUCT(OFFSET($A$35,MID(D19,5,1),1,1,2),F19:G19))&amp;")"</f>
        <v>건축(909)</v>
      </c>
      <c r="I19" s="3" t="str" cm="1">
        <f t="array" ref="I19">fn결과(C19,F19,G19)</f>
        <v>B등급</v>
      </c>
    </row>
    <row r="20" spans="1:9">
      <c r="A20" s="3">
        <v>18</v>
      </c>
      <c r="B20" s="3" t="s">
        <v>133</v>
      </c>
      <c r="C20" s="18" t="s">
        <v>169</v>
      </c>
      <c r="D20" s="15">
        <v>201934022</v>
      </c>
      <c r="E20" s="13">
        <v>45000</v>
      </c>
      <c r="F20" s="3">
        <v>818</v>
      </c>
      <c r="G20" s="3">
        <v>991</v>
      </c>
      <c r="H20" s="3" t="str" cm="1">
        <f t="array" aca="1" ref="H20" ca="1">INDEX($A$36:$A$39,MID(D20,5,1))&amp;"("&amp;TRUNC(SUMPRODUCT(OFFSET($A$35,MID(D20,5,1),1,1,2),F20:G20))&amp;")"</f>
        <v>건축(887)</v>
      </c>
      <c r="I20" s="3" t="str" cm="1">
        <f t="array" ref="I20">fn결과(C20,F20,G20)</f>
        <v>졸업</v>
      </c>
    </row>
    <row r="21" spans="1:9">
      <c r="A21" s="3">
        <v>19</v>
      </c>
      <c r="B21" s="3" t="s">
        <v>133</v>
      </c>
      <c r="C21" s="18" t="s">
        <v>172</v>
      </c>
      <c r="D21" s="16">
        <v>202211028</v>
      </c>
      <c r="E21" s="13">
        <v>44998</v>
      </c>
      <c r="F21" s="3">
        <v>946</v>
      </c>
      <c r="G21" s="3">
        <v>617</v>
      </c>
      <c r="H21" s="3" t="str" cm="1">
        <f t="array" aca="1" ref="H21" ca="1">INDEX($A$36:$A$39,MID(D21,5,1))&amp;"("&amp;TRUNC(SUMPRODUCT(OFFSET($A$35,MID(D21,5,1),1,1,2),F21:G21))&amp;")"</f>
        <v>코딩(748)</v>
      </c>
      <c r="I21" s="3" t="str" cm="1">
        <f t="array" ref="I21">fn결과(C21,F21,G21)</f>
        <v>C등급</v>
      </c>
    </row>
    <row r="22" spans="1:9">
      <c r="A22" s="3">
        <v>20</v>
      </c>
      <c r="B22" s="3" t="s">
        <v>133</v>
      </c>
      <c r="C22" s="18" t="s">
        <v>172</v>
      </c>
      <c r="D22" s="16">
        <v>202211013</v>
      </c>
      <c r="E22" s="13">
        <v>45003</v>
      </c>
      <c r="F22" s="3">
        <v>967</v>
      </c>
      <c r="G22" s="3">
        <v>711</v>
      </c>
      <c r="H22" s="3" t="str" cm="1">
        <f t="array" aca="1" ref="H22" ca="1">INDEX($A$36:$A$39,MID(D22,5,1))&amp;"("&amp;TRUNC(SUMPRODUCT(OFFSET($A$35,MID(D22,5,1),1,1,2),F22:G22))&amp;")"</f>
        <v>코딩(813)</v>
      </c>
      <c r="I22" s="3" t="str" cm="1">
        <f t="array" ref="I22">fn결과(C22,F22,G22)</f>
        <v>B등급</v>
      </c>
    </row>
    <row r="23" spans="1:9">
      <c r="A23" s="3">
        <v>21</v>
      </c>
      <c r="B23" s="3" t="s">
        <v>133</v>
      </c>
      <c r="C23" s="18" t="s">
        <v>169</v>
      </c>
      <c r="D23" s="16">
        <v>201911005</v>
      </c>
      <c r="E23" s="13">
        <v>44998</v>
      </c>
      <c r="F23" s="3">
        <v>602</v>
      </c>
      <c r="G23" s="3">
        <v>867</v>
      </c>
      <c r="H23" s="3" t="str" cm="1">
        <f t="array" aca="1" ref="H23" ca="1">INDEX($A$36:$A$39,MID(D23,5,1))&amp;"("&amp;TRUNC(SUMPRODUCT(OFFSET($A$35,MID(D23,5,1),1,1,2),F23:G23))&amp;")"</f>
        <v>코딩(761)</v>
      </c>
      <c r="I23" s="3" t="str" cm="1">
        <f t="array" ref="I23">fn결과(C23,F23,G23)</f>
        <v>재시험</v>
      </c>
    </row>
    <row r="24" spans="1:9">
      <c r="A24" s="3">
        <v>22</v>
      </c>
      <c r="B24" s="3" t="s">
        <v>133</v>
      </c>
      <c r="C24" s="18" t="s">
        <v>171</v>
      </c>
      <c r="D24" s="16">
        <v>202041050</v>
      </c>
      <c r="E24" s="13">
        <v>45001</v>
      </c>
      <c r="F24" s="3">
        <v>729</v>
      </c>
      <c r="G24" s="3">
        <v>611</v>
      </c>
      <c r="H24" s="3" t="str" cm="1">
        <f t="array" aca="1" ref="H24" ca="1">INDEX($A$36:$A$39,MID(D24,5,1))&amp;"("&amp;TRUNC(SUMPRODUCT(OFFSET($A$35,MID(D24,5,1),1,1,2),F24:G24))&amp;")"</f>
        <v>전기(646)</v>
      </c>
      <c r="I24" s="3" t="str" cm="1">
        <f t="array" ref="I24">fn결과(C24,F24,G24)</f>
        <v>D등급</v>
      </c>
    </row>
    <row r="25" spans="1:9">
      <c r="A25" s="3">
        <v>23</v>
      </c>
      <c r="B25" s="3" t="s">
        <v>133</v>
      </c>
      <c r="C25" s="18" t="s">
        <v>169</v>
      </c>
      <c r="D25" s="16">
        <v>201911304</v>
      </c>
      <c r="E25" s="13">
        <v>45004</v>
      </c>
      <c r="F25" s="3">
        <v>644</v>
      </c>
      <c r="G25" s="3">
        <v>714</v>
      </c>
      <c r="H25" s="3" t="str" cm="1">
        <f t="array" aca="1" ref="H25" ca="1">INDEX($A$36:$A$39,MID(D25,5,1))&amp;"("&amp;TRUNC(SUMPRODUCT(OFFSET($A$35,MID(D25,5,1),1,1,2),F25:G25))&amp;")"</f>
        <v>코딩(686)</v>
      </c>
      <c r="I25" s="3" t="str" cm="1">
        <f t="array" ref="I25">fn결과(C25,F25,G25)</f>
        <v>재시험</v>
      </c>
    </row>
    <row r="26" spans="1:9">
      <c r="A26" s="3">
        <v>24</v>
      </c>
      <c r="B26" s="3" t="s">
        <v>133</v>
      </c>
      <c r="C26" s="18" t="s">
        <v>171</v>
      </c>
      <c r="D26" s="16">
        <v>202037036</v>
      </c>
      <c r="E26" s="13">
        <v>45000</v>
      </c>
      <c r="F26" s="3">
        <v>974</v>
      </c>
      <c r="G26" s="3">
        <v>603</v>
      </c>
      <c r="H26" s="3" t="str" cm="1">
        <f t="array" aca="1" ref="H26" ca="1">INDEX($A$36:$A$39,MID(D26,5,1))&amp;"("&amp;TRUNC(SUMPRODUCT(OFFSET($A$35,MID(D26,5,1),1,1,2),F26:G26))&amp;")"</f>
        <v>건축(825)</v>
      </c>
      <c r="I26" s="3" t="str" cm="1">
        <f t="array" ref="I26">fn결과(C26,F26,G26)</f>
        <v>C등급</v>
      </c>
    </row>
    <row r="27" spans="1:9">
      <c r="A27" s="3">
        <v>25</v>
      </c>
      <c r="B27" s="3" t="s">
        <v>133</v>
      </c>
      <c r="C27" s="18" t="s">
        <v>169</v>
      </c>
      <c r="D27" s="15">
        <v>201921026</v>
      </c>
      <c r="E27" s="13">
        <v>44998</v>
      </c>
      <c r="F27" s="3">
        <v>638</v>
      </c>
      <c r="G27" s="3">
        <v>641</v>
      </c>
      <c r="H27" s="3" t="str" cm="1">
        <f t="array" aca="1" ref="H27" ca="1">INDEX($A$36:$A$39,MID(D27,5,1))&amp;"("&amp;TRUNC(SUMPRODUCT(OFFSET($A$35,MID(D27,5,1),1,1,2),F27:G27))&amp;")"</f>
        <v>드론(639)</v>
      </c>
      <c r="I27" s="3" t="str" cm="1">
        <f t="array" ref="I27">fn결과(C27,F27,G27)</f>
        <v>재시험</v>
      </c>
    </row>
    <row r="29" spans="1:9">
      <c r="A29" s="2" t="s">
        <v>150</v>
      </c>
    </row>
    <row r="30" spans="1:9">
      <c r="A30" s="3" t="s">
        <v>149</v>
      </c>
      <c r="B30" s="14" t="s">
        <v>142</v>
      </c>
      <c r="C30" s="14" t="s">
        <v>143</v>
      </c>
      <c r="D30" s="14" t="s">
        <v>144</v>
      </c>
      <c r="E30" s="14" t="s">
        <v>145</v>
      </c>
      <c r="F30" s="14" t="s">
        <v>146</v>
      </c>
      <c r="G30" s="14" t="s">
        <v>147</v>
      </c>
      <c r="H30" s="14" t="s">
        <v>148</v>
      </c>
    </row>
    <row r="31" spans="1:9">
      <c r="A31" s="14">
        <v>1</v>
      </c>
      <c r="B31" s="3" t="str">
        <f t="array" ref="B31">SUM((VALUE(LEFT($B$3:$B$27,1))=$A31)*(CHOOSE(WEEKDAY($E$3:$E$27,2),"월","화","수","목","금","토","일")=B$30))&amp;"명"</f>
        <v>2명</v>
      </c>
      <c r="C31" s="3" t="str">
        <f t="array" ref="C31">SUM((VALUE(LEFT($B$3:$B$27,1))=$A31)*(CHOOSE(WEEKDAY($E$3:$E$27,2),"월","화","수","목","금","토","일")=C$30))&amp;"명"</f>
        <v>0명</v>
      </c>
      <c r="D31" s="3" t="str">
        <f t="array" ref="D31">SUM((VALUE(LEFT($B$3:$B$27,1))=$A31)*(CHOOSE(WEEKDAY($E$3:$E$27,2),"월","화","수","목","금","토","일")=D$30))&amp;"명"</f>
        <v>2명</v>
      </c>
      <c r="E31" s="3" t="str">
        <f t="array" ref="E31">SUM((VALUE(LEFT($B$3:$B$27,1))=$A31)*(CHOOSE(WEEKDAY($E$3:$E$27,2),"월","화","수","목","금","토","일")=E$30))&amp;"명"</f>
        <v>2명</v>
      </c>
      <c r="F31" s="3" t="str">
        <f t="array" ref="F31">SUM((VALUE(LEFT($B$3:$B$27,1))=$A31)*(CHOOSE(WEEKDAY($E$3:$E$27,2),"월","화","수","목","금","토","일")=F$30))&amp;"명"</f>
        <v>3명</v>
      </c>
      <c r="G31" s="3" t="str">
        <f t="array" ref="G31">SUM((VALUE(LEFT($B$3:$B$27,1))=$A31)*(CHOOSE(WEEKDAY($E$3:$E$27,2),"월","화","수","목","금","토","일")=G$30))&amp;"명"</f>
        <v>3명</v>
      </c>
      <c r="H31" s="3" t="str">
        <f t="array" ref="H31">SUM((VALUE(LEFT($B$3:$B$27,1))=$A31)*(CHOOSE(WEEKDAY($E$3:$E$27,2),"월","화","수","목","금","토","일")=H$30))&amp;"명"</f>
        <v>1명</v>
      </c>
    </row>
    <row r="32" spans="1:9">
      <c r="A32" s="14">
        <v>2</v>
      </c>
      <c r="B32" s="3" t="str">
        <f t="array" ref="B32">SUM((VALUE(LEFT($B$3:$B$27,1))=$A32)*(CHOOSE(WEEKDAY($E$3:$E$27,2),"월","화","수","목","금","토","일")=B$30))&amp;"명"</f>
        <v>3명</v>
      </c>
      <c r="C32" s="3" t="str">
        <f t="array" ref="C32">SUM((VALUE(LEFT($B$3:$B$27,1))=$A32)*(CHOOSE(WEEKDAY($E$3:$E$27,2),"월","화","수","목","금","토","일")=C$30))&amp;"명"</f>
        <v>0명</v>
      </c>
      <c r="D32" s="3" t="str">
        <f t="array" ref="D32">SUM((VALUE(LEFT($B$3:$B$27,1))=$A32)*(CHOOSE(WEEKDAY($E$3:$E$27,2),"월","화","수","목","금","토","일")=D$30))&amp;"명"</f>
        <v>3명</v>
      </c>
      <c r="E32" s="3" t="str">
        <f t="array" ref="E32">SUM((VALUE(LEFT($B$3:$B$27,1))=$A32)*(CHOOSE(WEEKDAY($E$3:$E$27,2),"월","화","수","목","금","토","일")=E$30))&amp;"명"</f>
        <v>3명</v>
      </c>
      <c r="F32" s="3" t="str">
        <f t="array" ref="F32">SUM((VALUE(LEFT($B$3:$B$27,1))=$A32)*(CHOOSE(WEEKDAY($E$3:$E$27,2),"월","화","수","목","금","토","일")=F$30))&amp;"명"</f>
        <v>0명</v>
      </c>
      <c r="G32" s="3" t="str">
        <f t="array" ref="G32">SUM((VALUE(LEFT($B$3:$B$27,1))=$A32)*(CHOOSE(WEEKDAY($E$3:$E$27,2),"월","화","수","목","금","토","일")=G$30))&amp;"명"</f>
        <v>2명</v>
      </c>
      <c r="H32" s="3" t="str">
        <f t="array" ref="H32">SUM((VALUE(LEFT($B$3:$B$27,1))=$A32)*(CHOOSE(WEEKDAY($E$3:$E$27,2),"월","화","수","목","금","토","일")=H$30))&amp;"명"</f>
        <v>1명</v>
      </c>
    </row>
    <row r="34" spans="1:7">
      <c r="A34" s="2" t="s">
        <v>158</v>
      </c>
      <c r="E34" s="2" t="s">
        <v>160</v>
      </c>
    </row>
    <row r="35" spans="1:7">
      <c r="A35" s="14" t="s">
        <v>157</v>
      </c>
      <c r="B35" s="14" t="s">
        <v>155</v>
      </c>
      <c r="C35" s="14" t="s">
        <v>156</v>
      </c>
      <c r="E35" s="14" t="s">
        <v>161</v>
      </c>
      <c r="F35" s="14" t="s">
        <v>162</v>
      </c>
      <c r="G35" s="14" t="s">
        <v>163</v>
      </c>
    </row>
    <row r="36" spans="1:7">
      <c r="A36" s="3" t="s">
        <v>151</v>
      </c>
      <c r="B36" s="17">
        <v>0.4</v>
      </c>
      <c r="C36" s="17">
        <v>0.6</v>
      </c>
      <c r="E36" s="18" t="s">
        <v>202</v>
      </c>
      <c r="F36" s="3">
        <f t="array" ref="F36">ROUNDUP(AVERAGE(IF($C$3:$C$27=$E36,F$3:F$27)),0)</f>
        <v>861</v>
      </c>
      <c r="G36" s="3">
        <f t="array" ref="G36">ROUNDUP(AVERAGE(IF($C$3:$C$27=$E36,G$3:G$27)),0)</f>
        <v>758</v>
      </c>
    </row>
    <row r="37" spans="1:7">
      <c r="A37" s="3" t="s">
        <v>152</v>
      </c>
      <c r="B37" s="17">
        <v>0.5</v>
      </c>
      <c r="C37" s="17">
        <v>0.5</v>
      </c>
      <c r="E37" s="18" t="s">
        <v>170</v>
      </c>
      <c r="F37" s="3">
        <f t="array" ref="F37">ROUNDUP(AVERAGE(IF($C$3:$C$27=$E37,F$3:F$27)),0)</f>
        <v>820</v>
      </c>
      <c r="G37" s="3">
        <f t="array" ref="G37">ROUNDUP(AVERAGE(IF($C$3:$C$27=$E37,G$3:G$27)),0)</f>
        <v>693</v>
      </c>
    </row>
    <row r="38" spans="1:7">
      <c r="A38" s="3" t="s">
        <v>153</v>
      </c>
      <c r="B38" s="17">
        <v>0.6</v>
      </c>
      <c r="C38" s="17">
        <v>0.4</v>
      </c>
      <c r="E38" s="18" t="s">
        <v>171</v>
      </c>
      <c r="F38" s="3">
        <f t="array" ref="F38">ROUNDUP(AVERAGE(IF($C$3:$C$27=$E38,F$3:F$27)),0)</f>
        <v>848</v>
      </c>
      <c r="G38" s="3">
        <f t="array" ref="G38">ROUNDUP(AVERAGE(IF($C$3:$C$27=$E38,G$3:G$27)),0)</f>
        <v>771</v>
      </c>
    </row>
    <row r="39" spans="1:7">
      <c r="A39" s="3" t="s">
        <v>154</v>
      </c>
      <c r="B39" s="17">
        <v>0.3</v>
      </c>
      <c r="C39" s="17">
        <v>0.7</v>
      </c>
      <c r="E39" s="18" t="s">
        <v>169</v>
      </c>
      <c r="F39" s="3">
        <f t="array" ref="F39">ROUNDUP(AVERAGE(IF($C$3:$C$27=$E39,F$3:F$27)),0)</f>
        <v>734</v>
      </c>
      <c r="G39" s="3">
        <f t="array" ref="G39">ROUNDUP(AVERAGE(IF($C$3:$C$27=$E39,G$3:G$27)),0)</f>
        <v>809</v>
      </c>
    </row>
    <row r="41" spans="1:7">
      <c r="E41" s="5" t="s">
        <v>164</v>
      </c>
      <c r="F41" s="2" t="s">
        <v>166</v>
      </c>
    </row>
    <row r="42" spans="1:7">
      <c r="E42" s="20" t="s">
        <v>165</v>
      </c>
      <c r="F42" s="19" t="s">
        <v>139</v>
      </c>
      <c r="G42" s="19" t="s">
        <v>140</v>
      </c>
    </row>
    <row r="43" spans="1:7">
      <c r="E43" s="18" t="s">
        <v>202</v>
      </c>
      <c r="F43" s="21" t="str">
        <f>REPT("♣",COUNTIFS($C$3:$C$27,$E43,F$3:F$27,"&gt;=700"))</f>
        <v>♣♣♣♣♣♣♣</v>
      </c>
      <c r="G43" s="21" t="str">
        <f>REPT("♣",COUNTIFS($C$3:$C$27,$E43,G$3:G$27,"&gt;=700"))</f>
        <v>♣♣♣♣♣</v>
      </c>
    </row>
    <row r="44" spans="1:7">
      <c r="E44" s="18" t="s">
        <v>170</v>
      </c>
      <c r="F44" s="21" t="str">
        <f t="shared" ref="F44:G46" si="0">REPT("♣",COUNTIFS($C$3:$C$27,$E44,F$3:F$27,"&gt;=700"))</f>
        <v>♣♣♣♣</v>
      </c>
      <c r="G44" s="21" t="str">
        <f t="shared" si="0"/>
        <v>♣</v>
      </c>
    </row>
    <row r="45" spans="1:7">
      <c r="E45" s="18" t="s">
        <v>171</v>
      </c>
      <c r="F45" s="21" t="str">
        <f t="shared" si="0"/>
        <v>♣♣♣♣♣♣</v>
      </c>
      <c r="G45" s="21" t="str">
        <f t="shared" si="0"/>
        <v>♣♣♣♣</v>
      </c>
    </row>
    <row r="46" spans="1:7">
      <c r="E46" s="18" t="s">
        <v>169</v>
      </c>
      <c r="F46" s="21" t="str">
        <f t="shared" si="0"/>
        <v>♣♣♣</v>
      </c>
      <c r="G46" s="21" t="str">
        <f t="shared" si="0"/>
        <v>♣♣♣♣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G22"/>
  <sheetViews>
    <sheetView workbookViewId="0"/>
  </sheetViews>
  <sheetFormatPr defaultRowHeight="16.899999999999999"/>
  <cols>
    <col min="1" max="1" width="17.625" customWidth="1"/>
    <col min="2" max="2" width="13.0625" customWidth="1"/>
    <col min="3" max="6" width="6.6875" customWidth="1"/>
    <col min="7" max="7" width="6.4375" customWidth="1"/>
    <col min="8" max="8" width="11.375" customWidth="1"/>
    <col min="9" max="9" width="13.3125" bestFit="1" customWidth="1"/>
    <col min="10" max="10" width="15.875" bestFit="1" customWidth="1"/>
    <col min="11" max="11" width="17.8125" bestFit="1" customWidth="1"/>
  </cols>
  <sheetData>
    <row r="1" spans="1:7">
      <c r="A1" s="23" t="s">
        <v>210</v>
      </c>
      <c r="B1" t="s" vm="1">
        <v>211</v>
      </c>
    </row>
    <row r="3" spans="1:7">
      <c r="C3" s="23" t="s">
        <v>0</v>
      </c>
    </row>
    <row r="4" spans="1:7">
      <c r="A4" s="23" t="s">
        <v>168</v>
      </c>
      <c r="B4" s="23" t="s">
        <v>176</v>
      </c>
      <c r="C4" t="s">
        <v>172</v>
      </c>
      <c r="D4" t="s">
        <v>170</v>
      </c>
      <c r="E4" t="s">
        <v>171</v>
      </c>
      <c r="F4" t="s">
        <v>169</v>
      </c>
      <c r="G4" t="s">
        <v>173</v>
      </c>
    </row>
    <row r="5" spans="1:7">
      <c r="A5" s="22">
        <v>44998</v>
      </c>
      <c r="C5" s="24"/>
      <c r="D5" s="24"/>
      <c r="E5" s="24"/>
      <c r="F5" s="24"/>
      <c r="G5" s="24"/>
    </row>
    <row r="6" spans="1:7">
      <c r="B6" t="s">
        <v>174</v>
      </c>
      <c r="C6" s="24">
        <v>946</v>
      </c>
      <c r="D6" s="24">
        <v>718</v>
      </c>
      <c r="E6" s="24">
        <v>674</v>
      </c>
      <c r="F6" s="24">
        <v>638</v>
      </c>
      <c r="G6" s="24">
        <v>946</v>
      </c>
    </row>
    <row r="7" spans="1:7">
      <c r="B7" t="s">
        <v>175</v>
      </c>
      <c r="C7" s="24">
        <v>617</v>
      </c>
      <c r="D7" s="24">
        <v>686</v>
      </c>
      <c r="E7" s="24">
        <v>876</v>
      </c>
      <c r="F7" s="24">
        <v>867</v>
      </c>
      <c r="G7" s="24">
        <v>876</v>
      </c>
    </row>
    <row r="8" spans="1:7">
      <c r="A8" s="22">
        <v>45000</v>
      </c>
      <c r="C8" s="24"/>
      <c r="D8" s="24"/>
      <c r="E8" s="24"/>
      <c r="F8" s="24"/>
      <c r="G8" s="24"/>
    </row>
    <row r="9" spans="1:7">
      <c r="B9" t="s">
        <v>174</v>
      </c>
      <c r="C9" s="24">
        <v>669</v>
      </c>
      <c r="D9" s="24"/>
      <c r="E9" s="24">
        <v>974</v>
      </c>
      <c r="F9" s="24">
        <v>818</v>
      </c>
      <c r="G9" s="24">
        <v>974</v>
      </c>
    </row>
    <row r="10" spans="1:7">
      <c r="B10" t="s">
        <v>175</v>
      </c>
      <c r="C10" s="24">
        <v>819</v>
      </c>
      <c r="D10" s="24"/>
      <c r="E10" s="24">
        <v>850</v>
      </c>
      <c r="F10" s="24">
        <v>991</v>
      </c>
      <c r="G10" s="24">
        <v>991</v>
      </c>
    </row>
    <row r="11" spans="1:7">
      <c r="A11" s="22">
        <v>45001</v>
      </c>
      <c r="C11" s="24"/>
      <c r="D11" s="24"/>
      <c r="E11" s="24"/>
      <c r="F11" s="24"/>
      <c r="G11" s="24"/>
    </row>
    <row r="12" spans="1:7">
      <c r="B12" t="s">
        <v>174</v>
      </c>
      <c r="C12" s="24">
        <v>978</v>
      </c>
      <c r="D12" s="24">
        <v>963</v>
      </c>
      <c r="E12" s="24">
        <v>729</v>
      </c>
      <c r="F12" s="24">
        <v>713</v>
      </c>
      <c r="G12" s="24">
        <v>978</v>
      </c>
    </row>
    <row r="13" spans="1:7">
      <c r="B13" t="s">
        <v>175</v>
      </c>
      <c r="C13" s="24">
        <v>874</v>
      </c>
      <c r="D13" s="24">
        <v>623</v>
      </c>
      <c r="E13" s="24">
        <v>611</v>
      </c>
      <c r="F13" s="24">
        <v>645</v>
      </c>
      <c r="G13" s="24">
        <v>874</v>
      </c>
    </row>
    <row r="14" spans="1:7">
      <c r="A14" s="22">
        <v>45002</v>
      </c>
      <c r="C14" s="24"/>
      <c r="D14" s="24"/>
      <c r="E14" s="24"/>
      <c r="F14" s="24"/>
      <c r="G14" s="24"/>
    </row>
    <row r="15" spans="1:7">
      <c r="B15" t="s">
        <v>174</v>
      </c>
      <c r="C15" s="24">
        <v>790</v>
      </c>
      <c r="D15" s="24">
        <v>712</v>
      </c>
      <c r="E15" s="24"/>
      <c r="F15" s="24">
        <v>989</v>
      </c>
      <c r="G15" s="24">
        <v>989</v>
      </c>
    </row>
    <row r="16" spans="1:7">
      <c r="B16" t="s">
        <v>175</v>
      </c>
      <c r="C16" s="24">
        <v>962</v>
      </c>
      <c r="D16" s="24">
        <v>640</v>
      </c>
      <c r="E16" s="24"/>
      <c r="F16" s="24">
        <v>993</v>
      </c>
      <c r="G16" s="24">
        <v>993</v>
      </c>
    </row>
    <row r="17" spans="1:7">
      <c r="A17" s="22">
        <v>45003</v>
      </c>
      <c r="C17" s="24"/>
      <c r="D17" s="24"/>
      <c r="E17" s="24"/>
      <c r="F17" s="24"/>
      <c r="G17" s="24"/>
    </row>
    <row r="18" spans="1:7">
      <c r="B18" t="s">
        <v>174</v>
      </c>
      <c r="C18" s="24">
        <v>992</v>
      </c>
      <c r="D18" s="24">
        <v>887</v>
      </c>
      <c r="E18" s="24">
        <v>977</v>
      </c>
      <c r="F18" s="24"/>
      <c r="G18" s="24">
        <v>992</v>
      </c>
    </row>
    <row r="19" spans="1:7">
      <c r="B19" t="s">
        <v>175</v>
      </c>
      <c r="C19" s="24">
        <v>831</v>
      </c>
      <c r="D19" s="24">
        <v>820</v>
      </c>
      <c r="E19" s="24">
        <v>990</v>
      </c>
      <c r="F19" s="24"/>
      <c r="G19" s="24">
        <v>990</v>
      </c>
    </row>
    <row r="20" spans="1:7">
      <c r="A20" s="22">
        <v>45004</v>
      </c>
      <c r="C20" s="24"/>
      <c r="D20" s="24"/>
      <c r="E20" s="24"/>
      <c r="F20" s="24"/>
      <c r="G20" s="24"/>
    </row>
    <row r="21" spans="1:7">
      <c r="B21" t="s">
        <v>174</v>
      </c>
      <c r="C21" s="24">
        <v>741</v>
      </c>
      <c r="D21" s="24"/>
      <c r="E21" s="24"/>
      <c r="F21" s="24">
        <v>644</v>
      </c>
      <c r="G21" s="24">
        <v>741</v>
      </c>
    </row>
    <row r="22" spans="1:7">
      <c r="B22" t="s">
        <v>175</v>
      </c>
      <c r="C22" s="24">
        <v>607</v>
      </c>
      <c r="D22" s="24"/>
      <c r="E22" s="24"/>
      <c r="F22" s="24">
        <v>714</v>
      </c>
      <c r="G22" s="24">
        <v>714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K27"/>
  <sheetViews>
    <sheetView workbookViewId="0">
      <selection activeCell="H1" sqref="H1"/>
    </sheetView>
  </sheetViews>
  <sheetFormatPr defaultRowHeight="16.899999999999999"/>
  <cols>
    <col min="1" max="1" width="8.625" bestFit="1" customWidth="1"/>
    <col min="3" max="3" width="7.75" customWidth="1"/>
    <col min="4" max="4" width="11.6875" customWidth="1"/>
    <col min="5" max="6" width="12.25" customWidth="1"/>
    <col min="7" max="7" width="13.375" bestFit="1" customWidth="1"/>
  </cols>
  <sheetData>
    <row r="1" spans="1:11">
      <c r="A1" s="2" t="s">
        <v>1</v>
      </c>
      <c r="B1" s="2"/>
      <c r="C1" s="2"/>
      <c r="D1" s="2"/>
      <c r="E1" s="2"/>
      <c r="F1" s="2"/>
      <c r="G1" s="2"/>
      <c r="I1" t="s">
        <v>177</v>
      </c>
    </row>
    <row r="2" spans="1:11">
      <c r="A2" s="14" t="s">
        <v>136</v>
      </c>
      <c r="B2" s="14" t="s">
        <v>135</v>
      </c>
      <c r="C2" s="14" t="s">
        <v>138</v>
      </c>
      <c r="D2" s="14" t="s">
        <v>137</v>
      </c>
      <c r="E2" s="14" t="s">
        <v>141</v>
      </c>
      <c r="F2" s="14" t="s">
        <v>139</v>
      </c>
      <c r="G2" s="14" t="s">
        <v>140</v>
      </c>
      <c r="I2" s="14" t="s">
        <v>138</v>
      </c>
      <c r="J2" s="14" t="s">
        <v>139</v>
      </c>
      <c r="K2" s="14" t="s">
        <v>140</v>
      </c>
    </row>
    <row r="3" spans="1:11">
      <c r="A3" s="3">
        <v>1</v>
      </c>
      <c r="B3" s="3" t="s">
        <v>134</v>
      </c>
      <c r="C3" s="18">
        <v>4</v>
      </c>
      <c r="D3" s="15">
        <v>201933080</v>
      </c>
      <c r="E3" s="13">
        <v>45002</v>
      </c>
      <c r="F3" s="3">
        <v>989</v>
      </c>
      <c r="G3" s="3">
        <v>993</v>
      </c>
      <c r="I3" s="25">
        <v>1</v>
      </c>
      <c r="J3" s="26">
        <v>860.375</v>
      </c>
      <c r="K3" s="26">
        <v>757.625</v>
      </c>
    </row>
    <row r="4" spans="1:11">
      <c r="A4" s="3">
        <v>2</v>
      </c>
      <c r="B4" s="3" t="s">
        <v>134</v>
      </c>
      <c r="C4" s="18">
        <v>2</v>
      </c>
      <c r="D4" s="15">
        <v>202129018</v>
      </c>
      <c r="E4" s="13">
        <v>45002</v>
      </c>
      <c r="F4" s="3">
        <v>712</v>
      </c>
      <c r="G4" s="3">
        <v>640</v>
      </c>
      <c r="I4" s="25">
        <v>2</v>
      </c>
      <c r="J4" s="26">
        <v>820</v>
      </c>
      <c r="K4" s="26">
        <v>692.25</v>
      </c>
    </row>
    <row r="5" spans="1:11">
      <c r="A5" s="3">
        <v>3</v>
      </c>
      <c r="B5" s="3" t="s">
        <v>134</v>
      </c>
      <c r="C5" s="18">
        <v>3</v>
      </c>
      <c r="D5" s="15">
        <v>202049308</v>
      </c>
      <c r="E5" s="13">
        <v>45003</v>
      </c>
      <c r="F5" s="3">
        <v>977</v>
      </c>
      <c r="G5" s="3">
        <v>642</v>
      </c>
      <c r="I5" s="25">
        <v>3</v>
      </c>
      <c r="J5" s="26">
        <v>847.14285714285711</v>
      </c>
      <c r="K5" s="26">
        <v>771</v>
      </c>
    </row>
    <row r="6" spans="1:11">
      <c r="A6" s="3">
        <v>4</v>
      </c>
      <c r="B6" s="3" t="s">
        <v>134</v>
      </c>
      <c r="C6" s="18">
        <v>1</v>
      </c>
      <c r="D6" s="15">
        <v>202219016</v>
      </c>
      <c r="E6" s="13">
        <v>45004</v>
      </c>
      <c r="F6" s="3">
        <v>741</v>
      </c>
      <c r="G6" s="3">
        <v>607</v>
      </c>
      <c r="I6" s="25">
        <v>4</v>
      </c>
      <c r="J6" s="26">
        <v>734</v>
      </c>
      <c r="K6" s="26">
        <v>808.5</v>
      </c>
    </row>
    <row r="7" spans="1:11">
      <c r="A7" s="3">
        <v>5</v>
      </c>
      <c r="B7" s="3" t="s">
        <v>134</v>
      </c>
      <c r="C7" s="18">
        <v>1</v>
      </c>
      <c r="D7" s="16">
        <v>202224019</v>
      </c>
      <c r="E7" s="13">
        <v>45001</v>
      </c>
      <c r="F7" s="3">
        <v>800</v>
      </c>
      <c r="G7" s="3">
        <v>874</v>
      </c>
    </row>
    <row r="8" spans="1:11">
      <c r="A8" s="3">
        <v>6</v>
      </c>
      <c r="B8" s="3" t="s">
        <v>134</v>
      </c>
      <c r="C8" s="18">
        <v>3</v>
      </c>
      <c r="D8" s="16">
        <v>202029015</v>
      </c>
      <c r="E8" s="13">
        <v>44998</v>
      </c>
      <c r="F8" s="3">
        <v>674</v>
      </c>
      <c r="G8" s="3">
        <v>876</v>
      </c>
    </row>
    <row r="9" spans="1:11">
      <c r="A9" s="3">
        <v>7</v>
      </c>
      <c r="B9" s="3" t="s">
        <v>134</v>
      </c>
      <c r="C9" s="18">
        <v>4</v>
      </c>
      <c r="D9" s="16">
        <v>201919013</v>
      </c>
      <c r="E9" s="13">
        <v>45001</v>
      </c>
      <c r="F9" s="3">
        <v>713</v>
      </c>
      <c r="G9" s="3">
        <v>645</v>
      </c>
    </row>
    <row r="10" spans="1:11">
      <c r="A10" s="3">
        <v>8</v>
      </c>
      <c r="B10" s="3" t="s">
        <v>134</v>
      </c>
      <c r="C10" s="18">
        <v>3</v>
      </c>
      <c r="D10" s="16">
        <v>202049033</v>
      </c>
      <c r="E10" s="13">
        <v>45000</v>
      </c>
      <c r="F10" s="3">
        <v>856</v>
      </c>
      <c r="G10" s="3">
        <v>850</v>
      </c>
    </row>
    <row r="11" spans="1:11">
      <c r="A11" s="3">
        <v>9</v>
      </c>
      <c r="B11" s="3" t="s">
        <v>134</v>
      </c>
      <c r="C11" s="18">
        <v>2</v>
      </c>
      <c r="D11" s="16">
        <v>202131015</v>
      </c>
      <c r="E11" s="13">
        <v>45003</v>
      </c>
      <c r="F11" s="3">
        <v>887</v>
      </c>
      <c r="G11" s="3">
        <v>820</v>
      </c>
    </row>
    <row r="12" spans="1:11">
      <c r="A12" s="3">
        <v>10</v>
      </c>
      <c r="B12" s="3" t="s">
        <v>134</v>
      </c>
      <c r="C12" s="18">
        <v>2</v>
      </c>
      <c r="D12" s="16">
        <v>202111301</v>
      </c>
      <c r="E12" s="13">
        <v>44998</v>
      </c>
      <c r="F12" s="3">
        <v>718</v>
      </c>
      <c r="G12" s="3">
        <v>686</v>
      </c>
    </row>
    <row r="13" spans="1:11">
      <c r="A13" s="3">
        <v>11</v>
      </c>
      <c r="B13" s="3" t="s">
        <v>134</v>
      </c>
      <c r="C13" s="18">
        <v>3</v>
      </c>
      <c r="D13" s="15">
        <v>202041047</v>
      </c>
      <c r="E13" s="13">
        <v>45003</v>
      </c>
      <c r="F13" s="3">
        <v>754</v>
      </c>
      <c r="G13" s="3">
        <v>990</v>
      </c>
    </row>
    <row r="14" spans="1:11">
      <c r="A14" s="3">
        <v>12</v>
      </c>
      <c r="B14" s="3" t="s">
        <v>134</v>
      </c>
      <c r="C14" s="18">
        <v>1</v>
      </c>
      <c r="D14" s="16">
        <v>202211046</v>
      </c>
      <c r="E14" s="13">
        <v>45000</v>
      </c>
      <c r="F14" s="3">
        <v>669</v>
      </c>
      <c r="G14" s="3">
        <v>819</v>
      </c>
    </row>
    <row r="15" spans="1:11">
      <c r="A15" s="3">
        <v>13</v>
      </c>
      <c r="B15" s="3" t="s">
        <v>134</v>
      </c>
      <c r="C15" s="18">
        <v>1</v>
      </c>
      <c r="D15" s="16">
        <v>202227015</v>
      </c>
      <c r="E15" s="13">
        <v>45002</v>
      </c>
      <c r="F15" s="3">
        <v>790</v>
      </c>
      <c r="G15" s="3">
        <v>962</v>
      </c>
    </row>
    <row r="16" spans="1:11">
      <c r="A16" s="3">
        <v>14</v>
      </c>
      <c r="B16" s="3" t="s">
        <v>133</v>
      </c>
      <c r="C16" s="18">
        <v>2</v>
      </c>
      <c r="D16" s="16">
        <v>202149330</v>
      </c>
      <c r="E16" s="13">
        <v>45001</v>
      </c>
      <c r="F16" s="3">
        <v>963</v>
      </c>
      <c r="G16" s="3">
        <v>623</v>
      </c>
    </row>
    <row r="17" spans="1:7">
      <c r="A17" s="3">
        <v>15</v>
      </c>
      <c r="B17" s="3" t="s">
        <v>133</v>
      </c>
      <c r="C17" s="18">
        <v>1</v>
      </c>
      <c r="D17" s="15">
        <v>202227002</v>
      </c>
      <c r="E17" s="13">
        <v>45001</v>
      </c>
      <c r="F17" s="3">
        <v>978</v>
      </c>
      <c r="G17" s="3">
        <v>640</v>
      </c>
    </row>
    <row r="18" spans="1:7">
      <c r="A18" s="3">
        <v>16</v>
      </c>
      <c r="B18" s="3" t="s">
        <v>133</v>
      </c>
      <c r="C18" s="18">
        <v>1</v>
      </c>
      <c r="D18" s="15">
        <v>202214007</v>
      </c>
      <c r="E18" s="13">
        <v>45003</v>
      </c>
      <c r="F18" s="3">
        <v>992</v>
      </c>
      <c r="G18" s="3">
        <v>831</v>
      </c>
    </row>
    <row r="19" spans="1:7">
      <c r="A19" s="3">
        <v>17</v>
      </c>
      <c r="B19" s="3" t="s">
        <v>133</v>
      </c>
      <c r="C19" s="18">
        <v>3</v>
      </c>
      <c r="D19" s="15">
        <v>202034020</v>
      </c>
      <c r="E19" s="13">
        <v>45000</v>
      </c>
      <c r="F19" s="3">
        <v>966</v>
      </c>
      <c r="G19" s="3">
        <v>825</v>
      </c>
    </row>
    <row r="20" spans="1:7">
      <c r="A20" s="3">
        <v>18</v>
      </c>
      <c r="B20" s="3" t="s">
        <v>133</v>
      </c>
      <c r="C20" s="18">
        <v>4</v>
      </c>
      <c r="D20" s="15">
        <v>201934022</v>
      </c>
      <c r="E20" s="13">
        <v>45000</v>
      </c>
      <c r="F20" s="3">
        <v>818</v>
      </c>
      <c r="G20" s="3">
        <v>991</v>
      </c>
    </row>
    <row r="21" spans="1:7">
      <c r="A21" s="3">
        <v>19</v>
      </c>
      <c r="B21" s="3" t="s">
        <v>133</v>
      </c>
      <c r="C21" s="18">
        <v>1</v>
      </c>
      <c r="D21" s="16">
        <v>202211028</v>
      </c>
      <c r="E21" s="13">
        <v>44998</v>
      </c>
      <c r="F21" s="3">
        <v>946</v>
      </c>
      <c r="G21" s="3">
        <v>617</v>
      </c>
    </row>
    <row r="22" spans="1:7">
      <c r="A22" s="3">
        <v>20</v>
      </c>
      <c r="B22" s="3" t="s">
        <v>133</v>
      </c>
      <c r="C22" s="18">
        <v>1</v>
      </c>
      <c r="D22" s="16">
        <v>202211013</v>
      </c>
      <c r="E22" s="13">
        <v>45003</v>
      </c>
      <c r="F22" s="3">
        <v>967</v>
      </c>
      <c r="G22" s="3">
        <v>711</v>
      </c>
    </row>
    <row r="23" spans="1:7">
      <c r="A23" s="3">
        <v>21</v>
      </c>
      <c r="B23" s="3" t="s">
        <v>133</v>
      </c>
      <c r="C23" s="18">
        <v>4</v>
      </c>
      <c r="D23" s="16">
        <v>201911005</v>
      </c>
      <c r="E23" s="13">
        <v>44998</v>
      </c>
      <c r="F23" s="3">
        <v>602</v>
      </c>
      <c r="G23" s="3">
        <v>867</v>
      </c>
    </row>
    <row r="24" spans="1:7">
      <c r="A24" s="3">
        <v>22</v>
      </c>
      <c r="B24" s="3" t="s">
        <v>133</v>
      </c>
      <c r="C24" s="18">
        <v>3</v>
      </c>
      <c r="D24" s="16">
        <v>202041050</v>
      </c>
      <c r="E24" s="13">
        <v>45001</v>
      </c>
      <c r="F24" s="3">
        <v>729</v>
      </c>
      <c r="G24" s="3">
        <v>611</v>
      </c>
    </row>
    <row r="25" spans="1:7">
      <c r="A25" s="3">
        <v>23</v>
      </c>
      <c r="B25" s="3" t="s">
        <v>133</v>
      </c>
      <c r="C25" s="18">
        <v>4</v>
      </c>
      <c r="D25" s="16">
        <v>201911304</v>
      </c>
      <c r="E25" s="13">
        <v>45004</v>
      </c>
      <c r="F25" s="3">
        <v>644</v>
      </c>
      <c r="G25" s="3">
        <v>714</v>
      </c>
    </row>
    <row r="26" spans="1:7">
      <c r="A26" s="3">
        <v>24</v>
      </c>
      <c r="B26" s="3" t="s">
        <v>133</v>
      </c>
      <c r="C26" s="18">
        <v>3</v>
      </c>
      <c r="D26" s="16">
        <v>202037036</v>
      </c>
      <c r="E26" s="13">
        <v>45000</v>
      </c>
      <c r="F26" s="3">
        <v>974</v>
      </c>
      <c r="G26" s="3">
        <v>603</v>
      </c>
    </row>
    <row r="27" spans="1:7">
      <c r="A27" s="3">
        <v>25</v>
      </c>
      <c r="B27" s="3" t="s">
        <v>133</v>
      </c>
      <c r="C27" s="18">
        <v>4</v>
      </c>
      <c r="D27" s="15">
        <v>201921026</v>
      </c>
      <c r="E27" s="13">
        <v>44998</v>
      </c>
      <c r="F27" s="3">
        <v>638</v>
      </c>
      <c r="G27" s="3">
        <v>641</v>
      </c>
    </row>
  </sheetData>
  <dataConsolidate function="average" topLabels="1">
    <dataRefs count="1">
      <dataRef ref="C2:G27" sheet="분석작업-2"/>
    </dataRefs>
  </dataConsolidate>
  <phoneticPr fontId="2" type="noConversion"/>
  <dataValidations count="1">
    <dataValidation type="whole" errorStyle="warning" allowBlank="1" showInputMessage="1" showErrorMessage="1" errorTitle="입력오류" error="1부터 1000까지입력하세요" sqref="F3:G27" xr:uid="{00000000-0002-0000-0400-000000000000}">
      <formula1>1</formula1>
      <formula2>1000</formula2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C7"/>
  <sheetViews>
    <sheetView topLeftCell="C1" zoomScaleNormal="100" workbookViewId="0">
      <selection activeCell="M16" sqref="M16"/>
    </sheetView>
  </sheetViews>
  <sheetFormatPr defaultRowHeight="16.899999999999999"/>
  <sheetData>
    <row r="1" spans="1:3">
      <c r="A1" t="s">
        <v>178</v>
      </c>
    </row>
    <row r="2" spans="1:3">
      <c r="A2" s="14"/>
      <c r="B2" s="14" t="s">
        <v>139</v>
      </c>
      <c r="C2" s="14" t="s">
        <v>140</v>
      </c>
    </row>
    <row r="3" spans="1:3">
      <c r="A3" s="25">
        <v>1</v>
      </c>
      <c r="B3" s="30">
        <v>860.375</v>
      </c>
      <c r="C3" s="30">
        <v>757.625</v>
      </c>
    </row>
    <row r="4" spans="1:3">
      <c r="A4" s="25">
        <v>2</v>
      </c>
      <c r="B4" s="30">
        <v>820</v>
      </c>
      <c r="C4" s="30">
        <v>692.25</v>
      </c>
    </row>
    <row r="5" spans="1:3">
      <c r="A5" s="25">
        <v>3</v>
      </c>
      <c r="B5" s="30">
        <v>847.14285714285711</v>
      </c>
      <c r="C5" s="30">
        <v>771</v>
      </c>
    </row>
    <row r="6" spans="1:3">
      <c r="A6" s="25">
        <v>4</v>
      </c>
      <c r="B6" s="30">
        <v>734</v>
      </c>
      <c r="C6" s="30">
        <v>808.5</v>
      </c>
    </row>
    <row r="7" spans="1:3">
      <c r="B7" s="29"/>
    </row>
  </sheetData>
  <phoneticPr fontId="2" type="noConversion"/>
  <pageMargins left="0.7" right="0.7" top="0.75" bottom="0.75" header="0.3" footer="0.3"/>
  <pageSetup paperSize="9" orientation="portrait" horizontalDpi="4294967292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H14"/>
  <sheetViews>
    <sheetView workbookViewId="0">
      <selection activeCell="I2" sqref="I2"/>
    </sheetView>
  </sheetViews>
  <sheetFormatPr defaultColWidth="9" defaultRowHeight="18" customHeight="1"/>
  <cols>
    <col min="1" max="16384" width="9" style="2"/>
  </cols>
  <sheetData>
    <row r="1" spans="1:8" ht="18" customHeight="1">
      <c r="A1" s="2" t="s">
        <v>179</v>
      </c>
    </row>
    <row r="2" spans="1:8" ht="18" customHeight="1">
      <c r="B2" s="2" t="s">
        <v>180</v>
      </c>
      <c r="C2" s="2" t="s">
        <v>181</v>
      </c>
      <c r="D2" s="2" t="s">
        <v>182</v>
      </c>
      <c r="E2" s="2" t="s">
        <v>183</v>
      </c>
      <c r="F2" s="2" t="s">
        <v>184</v>
      </c>
      <c r="G2" s="2" t="s">
        <v>197</v>
      </c>
      <c r="H2" s="2" t="s">
        <v>198</v>
      </c>
    </row>
    <row r="3" spans="1:8" ht="18" customHeight="1">
      <c r="A3" s="2" t="s">
        <v>185</v>
      </c>
      <c r="B3" s="31">
        <v>0.23</v>
      </c>
      <c r="C3" s="31">
        <v>0.7</v>
      </c>
      <c r="D3" s="31">
        <v>0.64</v>
      </c>
      <c r="E3" s="31">
        <v>0.09</v>
      </c>
      <c r="F3" s="31">
        <v>0.06</v>
      </c>
      <c r="G3" s="31">
        <v>0.64</v>
      </c>
      <c r="H3" s="31">
        <v>0.6</v>
      </c>
    </row>
    <row r="4" spans="1:8" ht="18" customHeight="1">
      <c r="A4" s="2" t="s">
        <v>186</v>
      </c>
      <c r="B4" s="31">
        <v>0.86</v>
      </c>
      <c r="C4" s="31">
        <v>1</v>
      </c>
      <c r="D4" s="31">
        <v>0.35</v>
      </c>
      <c r="E4" s="31">
        <v>0.56999999999999995</v>
      </c>
      <c r="F4" s="31">
        <v>0.18</v>
      </c>
      <c r="G4" s="31">
        <v>0.88</v>
      </c>
      <c r="H4" s="31">
        <v>0.97</v>
      </c>
    </row>
    <row r="5" spans="1:8" ht="18" customHeight="1">
      <c r="A5" s="2" t="s">
        <v>187</v>
      </c>
      <c r="B5" s="31">
        <v>0.15</v>
      </c>
      <c r="C5" s="31">
        <v>0.76</v>
      </c>
      <c r="D5" s="31">
        <v>0.54</v>
      </c>
      <c r="E5" s="31">
        <v>0.03</v>
      </c>
      <c r="F5" s="31">
        <v>0.21</v>
      </c>
      <c r="G5" s="31">
        <v>0</v>
      </c>
      <c r="H5" s="31">
        <v>0.35</v>
      </c>
    </row>
    <row r="6" spans="1:8" ht="18" customHeight="1">
      <c r="A6" s="2" t="s">
        <v>188</v>
      </c>
      <c r="B6" s="31">
        <v>0.62</v>
      </c>
      <c r="C6" s="31">
        <v>0.3</v>
      </c>
      <c r="D6" s="31">
        <v>0.72</v>
      </c>
      <c r="E6" s="31">
        <v>0.06</v>
      </c>
      <c r="F6" s="31">
        <v>0.1</v>
      </c>
      <c r="G6" s="31">
        <v>0.46</v>
      </c>
      <c r="H6" s="31">
        <v>0.85</v>
      </c>
    </row>
    <row r="7" spans="1:8" ht="18" customHeight="1">
      <c r="A7" s="2" t="s">
        <v>189</v>
      </c>
      <c r="B7" s="31">
        <v>0.98</v>
      </c>
      <c r="C7" s="31">
        <v>0.99</v>
      </c>
      <c r="D7" s="31">
        <v>0.5</v>
      </c>
      <c r="E7" s="31">
        <v>0.1</v>
      </c>
      <c r="F7" s="31">
        <v>0.43</v>
      </c>
      <c r="G7" s="31">
        <v>0.43</v>
      </c>
      <c r="H7" s="31">
        <v>0.11</v>
      </c>
    </row>
    <row r="8" spans="1:8" ht="18" customHeight="1">
      <c r="A8" s="2" t="s">
        <v>190</v>
      </c>
      <c r="B8" s="31">
        <v>0.9</v>
      </c>
      <c r="C8" s="31">
        <v>0.24</v>
      </c>
      <c r="D8" s="31">
        <v>0.28000000000000003</v>
      </c>
      <c r="E8" s="31">
        <v>0</v>
      </c>
      <c r="F8" s="31">
        <v>0.06</v>
      </c>
      <c r="G8" s="31">
        <v>7.0000000000000007E-2</v>
      </c>
      <c r="H8" s="31">
        <v>0.43</v>
      </c>
    </row>
    <row r="9" spans="1:8" ht="18" customHeight="1">
      <c r="A9" s="2" t="s">
        <v>191</v>
      </c>
      <c r="B9" s="31">
        <v>0.99</v>
      </c>
      <c r="C9" s="31">
        <v>0.65</v>
      </c>
      <c r="D9" s="31">
        <v>0.57999999999999996</v>
      </c>
      <c r="E9" s="31">
        <v>0.84</v>
      </c>
      <c r="F9" s="31">
        <v>0.65</v>
      </c>
      <c r="G9" s="31">
        <v>0.7</v>
      </c>
      <c r="H9" s="31">
        <v>0.89</v>
      </c>
    </row>
    <row r="10" spans="1:8" ht="18" customHeight="1">
      <c r="A10" s="2" t="s">
        <v>192</v>
      </c>
      <c r="B10" s="31">
        <v>0.28000000000000003</v>
      </c>
      <c r="C10" s="31">
        <v>0</v>
      </c>
      <c r="D10" s="31">
        <v>0.31</v>
      </c>
      <c r="E10" s="31">
        <v>0.36</v>
      </c>
      <c r="F10" s="31">
        <v>0.78</v>
      </c>
      <c r="G10" s="31">
        <v>0</v>
      </c>
      <c r="H10" s="31">
        <v>0.81</v>
      </c>
    </row>
    <row r="11" spans="1:8" ht="18" customHeight="1">
      <c r="A11" s="2" t="s">
        <v>193</v>
      </c>
      <c r="B11" s="31">
        <v>0.96</v>
      </c>
      <c r="C11" s="31">
        <v>0.67</v>
      </c>
      <c r="D11" s="31">
        <v>0.38</v>
      </c>
      <c r="E11" s="31">
        <v>0.3</v>
      </c>
      <c r="F11" s="31">
        <v>0.2</v>
      </c>
      <c r="G11" s="31">
        <v>0.54</v>
      </c>
      <c r="H11" s="31">
        <v>0.78</v>
      </c>
    </row>
    <row r="12" spans="1:8" ht="18" customHeight="1">
      <c r="A12" s="2" t="s">
        <v>194</v>
      </c>
      <c r="B12" s="31">
        <v>0.02</v>
      </c>
      <c r="C12" s="31">
        <v>0.26</v>
      </c>
      <c r="D12" s="31">
        <v>0.64</v>
      </c>
      <c r="E12" s="31">
        <v>0.48</v>
      </c>
      <c r="F12" s="31">
        <v>0.36</v>
      </c>
      <c r="G12" s="31">
        <v>0.04</v>
      </c>
      <c r="H12" s="31">
        <v>0.7</v>
      </c>
    </row>
    <row r="13" spans="1:8" ht="18" customHeight="1">
      <c r="A13" s="2" t="s">
        <v>195</v>
      </c>
      <c r="B13" s="31">
        <v>0</v>
      </c>
      <c r="C13" s="31">
        <v>0.53</v>
      </c>
      <c r="D13" s="31">
        <v>0.24</v>
      </c>
      <c r="E13" s="31">
        <v>0.97</v>
      </c>
      <c r="F13" s="31">
        <v>0.56999999999999995</v>
      </c>
      <c r="G13" s="31">
        <v>0.8</v>
      </c>
      <c r="H13" s="31">
        <v>0.72</v>
      </c>
    </row>
    <row r="14" spans="1:8" ht="18" customHeight="1">
      <c r="A14" s="2" t="s">
        <v>196</v>
      </c>
      <c r="B14" s="31">
        <v>0.03</v>
      </c>
      <c r="C14" s="31">
        <v>0.5</v>
      </c>
      <c r="D14" s="31">
        <v>0.2</v>
      </c>
      <c r="E14" s="31">
        <v>0.83</v>
      </c>
      <c r="F14" s="31">
        <v>7.0000000000000007E-2</v>
      </c>
      <c r="G14" s="31">
        <v>0.43</v>
      </c>
      <c r="H14" s="31">
        <v>0.4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서식적용">
                <anchor moveWithCells="1" siz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B1:K7"/>
  <sheetViews>
    <sheetView workbookViewId="0">
      <selection activeCell="N1" sqref="N1"/>
    </sheetView>
  </sheetViews>
  <sheetFormatPr defaultColWidth="9" defaultRowHeight="16.899999999999999"/>
  <cols>
    <col min="1" max="2" width="9" style="2"/>
    <col min="3" max="3" width="7.75" style="2" customWidth="1"/>
    <col min="4" max="4" width="11.6875" style="2" customWidth="1"/>
    <col min="5" max="6" width="12.25" style="2" customWidth="1"/>
    <col min="7" max="7" width="13.375" style="2" bestFit="1" customWidth="1"/>
    <col min="8" max="8" width="9" style="2"/>
    <col min="9" max="9" width="9" style="5"/>
    <col min="10" max="16384" width="9" style="2"/>
  </cols>
  <sheetData>
    <row r="1" spans="2:11" ht="22.5" customHeight="1"/>
    <row r="2" spans="2:11" ht="24" customHeight="1">
      <c r="B2" s="2" t="s">
        <v>1</v>
      </c>
      <c r="C2" s="28" t="s">
        <v>209</v>
      </c>
    </row>
    <row r="3" spans="2:11">
      <c r="B3" s="5" t="s">
        <v>135</v>
      </c>
      <c r="C3" s="5" t="s">
        <v>138</v>
      </c>
      <c r="D3" s="5" t="s">
        <v>137</v>
      </c>
      <c r="E3" s="5" t="s">
        <v>141</v>
      </c>
      <c r="F3" s="5" t="s">
        <v>139</v>
      </c>
      <c r="G3" s="5" t="s">
        <v>140</v>
      </c>
      <c r="H3" s="5" t="s">
        <v>199</v>
      </c>
      <c r="I3" s="5" t="s">
        <v>200</v>
      </c>
      <c r="K3" s="5" t="s">
        <v>201</v>
      </c>
    </row>
    <row r="4" spans="2:11">
      <c r="B4" s="2" t="s">
        <v>205</v>
      </c>
      <c r="C4" s="2" t="s">
        <v>170</v>
      </c>
      <c r="D4" s="2">
        <v>202312345</v>
      </c>
      <c r="E4" s="27">
        <v>45008</v>
      </c>
      <c r="F4" s="2">
        <v>925</v>
      </c>
      <c r="G4" s="2">
        <v>968</v>
      </c>
      <c r="H4" s="2">
        <v>946</v>
      </c>
      <c r="I4" s="5" t="s">
        <v>206</v>
      </c>
      <c r="K4" s="5" t="s">
        <v>202</v>
      </c>
    </row>
    <row r="5" spans="2:11">
      <c r="B5" s="2" t="s">
        <v>207</v>
      </c>
      <c r="C5" s="2" t="s">
        <v>171</v>
      </c>
      <c r="D5" s="2">
        <v>202314785</v>
      </c>
      <c r="E5" s="27">
        <v>45009</v>
      </c>
      <c r="F5" s="2">
        <v>560</v>
      </c>
      <c r="G5" s="2">
        <v>450</v>
      </c>
      <c r="H5" s="2">
        <v>505</v>
      </c>
      <c r="I5" s="5" t="s">
        <v>208</v>
      </c>
      <c r="K5" s="5" t="s">
        <v>203</v>
      </c>
    </row>
    <row r="6" spans="2:11">
      <c r="K6" s="5" t="s">
        <v>204</v>
      </c>
    </row>
    <row r="7" spans="2:11">
      <c r="K7" s="5" t="s">
        <v>169</v>
      </c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cmd관리">
          <controlPr defaultSize="0" autoLine="0" autoPict="0" r:id="rId4">
            <anchor moveWithCells="1">
              <from>
                <xdr:col>4</xdr:col>
                <xdr:colOff>9525</xdr:colOff>
                <xdr:row>0</xdr:row>
                <xdr:rowOff>57150</xdr:rowOff>
              </from>
              <to>
                <xdr:col>6</xdr:col>
                <xdr:colOff>114300</xdr:colOff>
                <xdr:row>1</xdr:row>
                <xdr:rowOff>185738</xdr:rowOff>
              </to>
            </anchor>
          </controlPr>
        </control>
      </mc:Choice>
      <mc:Fallback>
        <control shapeId="9217" r:id="rId3" name="cmd관리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57A6B90-25CE-45F9-8D36-8A57E380C49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4</vt:i4>
      </vt:variant>
    </vt:vector>
  </HeadingPairs>
  <TitlesOfParts>
    <vt:vector size="12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  <vt:lpstr>'기본작업-1'!Print_Titles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기풍쌤</dc:creator>
  <cp:lastModifiedBy>Jieun Park</cp:lastModifiedBy>
  <cp:lastPrinted>2023-03-16T06:05:47Z</cp:lastPrinted>
  <dcterms:created xsi:type="dcterms:W3CDTF">2020-12-09T06:53:57Z</dcterms:created>
  <dcterms:modified xsi:type="dcterms:W3CDTF">2023-10-07T14:18:36Z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1a4b63c5-aa02-4d7f-a7fa-85f1d31ac02f</vt:lpwstr>
  </property>
</Properties>
</file>