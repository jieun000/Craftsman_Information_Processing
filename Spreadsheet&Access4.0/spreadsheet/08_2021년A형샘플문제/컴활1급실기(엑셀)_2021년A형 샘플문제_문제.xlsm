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4.0\spreadsheet\08_2021년A형샘플문제\"/>
    </mc:Choice>
  </mc:AlternateContent>
  <xr:revisionPtr revIDLastSave="0" documentId="13_ncr:1_{9F2F74CF-0731-4A2E-895D-4FFF9C0C2B91}" xr6:coauthVersionLast="47" xr6:coauthVersionMax="47" xr10:uidLastSave="{00000000-0000-0000-0000-000000000000}"/>
  <workbookProtection lockWindows="1"/>
  <bookViews>
    <workbookView xWindow="-98" yWindow="-98" windowWidth="21795" windowHeight="12975" tabRatio="799" activeTab="2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2" hidden="1">계산작업!$B$3:$H$39</definedName>
    <definedName name="_xlnm._FilterDatabase" localSheetId="0" hidden="1">'기본작업-1'!$B$3:$T$31</definedName>
    <definedName name="_xlnm._FilterDatabase" localSheetId="1" hidden="1">'기본작업-2'!$B$3:$T$31</definedName>
    <definedName name="_xlnm.Criteria" localSheetId="0">'기본작업-1'!$V$3:$V$4</definedName>
    <definedName name="_xlnm.Extract" localSheetId="0">'기본작업-1'!$X$3:$AB$3</definedName>
    <definedName name="_xlnm.Print_Area" localSheetId="1">'기본작업-2'!$B$3:$T$31</definedName>
    <definedName name="Z_4FA91318_F568_4C4C_93A1_CBAB7D8E6C44_.wvu.FilterData" localSheetId="2" hidden="1">계산작업!$B$3:$H$39</definedName>
    <definedName name="Z_4FA91318_F568_4C4C_93A1_CBAB7D8E6C44_.wvu.FilterData" localSheetId="0" hidden="1">'기본작업-1'!$B$3:$T$31</definedName>
    <definedName name="Z_4FA91318_F568_4C4C_93A1_CBAB7D8E6C44_.wvu.FilterData" localSheetId="1" hidden="1">'기본작업-2'!$B$3:$T$31</definedName>
  </definedNames>
  <calcPr calcId="191029"/>
  <customWorkbookViews>
    <customWorkbookView name="Mihyun Chung - 사용자 보기" guid="{4FA91318-F568-4C4C-93A1-CBAB7D8E6C44}" mergeInterval="0" personalView="1" maximized="1" xWindow="-8" yWindow="-8" windowWidth="1936" windowHeight="1056" tabRatio="799" activeSheetId="2"/>
  </customWorkbookViews>
  <pivotCaches>
    <pivotCache cacheId="37" r:id="rId9"/>
  </pivotCaches>
  <extLs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3" l="1" a="1"/>
  <c r="P23" i="3" s="1"/>
  <c r="Q23" i="3" a="1"/>
  <c r="Q23" i="3" s="1"/>
  <c r="R23" i="3" a="1"/>
  <c r="R23" i="3" s="1"/>
  <c r="S23" i="3" a="1"/>
  <c r="S23" i="3"/>
  <c r="T23" i="3" a="1"/>
  <c r="T23" i="3" s="1"/>
  <c r="P24" i="3" a="1"/>
  <c r="P24" i="3" s="1"/>
  <c r="Q24" i="3" a="1"/>
  <c r="Q24" i="3" s="1"/>
  <c r="R24" i="3" a="1"/>
  <c r="R24" i="3" s="1"/>
  <c r="S24" i="3" a="1"/>
  <c r="S24" i="3" s="1"/>
  <c r="T24" i="3" a="1"/>
  <c r="T24" i="3" s="1"/>
  <c r="P25" i="3" a="1"/>
  <c r="P25" i="3" s="1"/>
  <c r="Q25" i="3" a="1"/>
  <c r="Q25" i="3"/>
  <c r="R25" i="3" a="1"/>
  <c r="R25" i="3" s="1"/>
  <c r="S25" i="3" a="1"/>
  <c r="S25" i="3" s="1"/>
  <c r="T25" i="3" a="1"/>
  <c r="T25" i="3" s="1"/>
  <c r="Q22" i="3" a="1"/>
  <c r="Q22" i="3" s="1"/>
  <c r="R22" i="3" a="1"/>
  <c r="R22" i="3" s="1"/>
  <c r="S22" i="3" a="1"/>
  <c r="S22" i="3" s="1"/>
  <c r="T22" i="3" a="1"/>
  <c r="T22" i="3" s="1"/>
  <c r="P22" i="3" a="1"/>
  <c r="P22" i="3" s="1"/>
  <c r="M21" i="3" a="1"/>
  <c r="M21" i="3" s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" i="3"/>
  <c r="C34" i="8"/>
  <c r="C29" i="8"/>
  <c r="C24" i="8"/>
  <c r="C17" i="8"/>
  <c r="C12" i="8"/>
  <c r="C9" i="8"/>
  <c r="C38" i="8" s="1"/>
  <c r="G35" i="8"/>
  <c r="G25" i="8"/>
  <c r="G13" i="8"/>
  <c r="G37" i="8" s="1"/>
  <c r="H5" i="3" a="1"/>
  <c r="H13" i="3" a="1"/>
  <c r="H21" i="3" a="1"/>
  <c r="H29" i="3" a="1"/>
  <c r="H37" i="3" a="1"/>
  <c r="H6" i="3" a="1"/>
  <c r="H14" i="3" a="1"/>
  <c r="H22" i="3" a="1"/>
  <c r="H30" i="3" a="1"/>
  <c r="H38" i="3" a="1"/>
  <c r="H7" i="3" a="1"/>
  <c r="H15" i="3" a="1"/>
  <c r="H23" i="3" a="1"/>
  <c r="H31" i="3" a="1"/>
  <c r="H39" i="3" a="1"/>
  <c r="H8" i="3" a="1"/>
  <c r="H16" i="3" a="1"/>
  <c r="H24" i="3" a="1"/>
  <c r="H32" i="3" a="1"/>
  <c r="H9" i="3" a="1"/>
  <c r="H17" i="3" a="1"/>
  <c r="H25" i="3" a="1"/>
  <c r="H33" i="3" a="1"/>
  <c r="H10" i="3" a="1"/>
  <c r="H18" i="3" a="1"/>
  <c r="H26" i="3" a="1"/>
  <c r="H34" i="3" a="1"/>
  <c r="H11" i="3" a="1"/>
  <c r="H19" i="3" a="1"/>
  <c r="H27" i="3" a="1"/>
  <c r="H35" i="3" a="1"/>
  <c r="H12" i="3" a="1"/>
  <c r="H20" i="3" a="1"/>
  <c r="H28" i="3" a="1"/>
  <c r="H36" i="3" a="1"/>
  <c r="H4" i="3" a="1"/>
  <c r="H36" i="3" l="1"/>
  <c r="H28" i="3"/>
  <c r="H20" i="3"/>
  <c r="H12" i="3"/>
  <c r="H35" i="3"/>
  <c r="H27" i="3"/>
  <c r="H19" i="3"/>
  <c r="H11" i="3"/>
  <c r="H34" i="3"/>
  <c r="H26" i="3"/>
  <c r="H18" i="3"/>
  <c r="H10" i="3"/>
  <c r="H33" i="3"/>
  <c r="H25" i="3"/>
  <c r="H17" i="3"/>
  <c r="H9" i="3"/>
  <c r="H32" i="3"/>
  <c r="H24" i="3"/>
  <c r="H16" i="3"/>
  <c r="H8" i="3"/>
  <c r="H39" i="3"/>
  <c r="H31" i="3"/>
  <c r="H23" i="3"/>
  <c r="H15" i="3"/>
  <c r="H7" i="3"/>
  <c r="H38" i="3"/>
  <c r="H30" i="3"/>
  <c r="H22" i="3"/>
  <c r="H14" i="3"/>
  <c r="H6" i="3"/>
  <c r="H37" i="3"/>
  <c r="H29" i="3"/>
  <c r="H21" i="3"/>
  <c r="H13" i="3"/>
  <c r="H5" i="3"/>
  <c r="H4" i="3"/>
  <c r="V4" i="1" l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T29" i="2" l="1"/>
  <c r="T6" i="2"/>
  <c r="T14" i="2"/>
  <c r="T25" i="2"/>
  <c r="T31" i="2"/>
  <c r="T23" i="2"/>
  <c r="T5" i="2"/>
  <c r="T22" i="2"/>
  <c r="T24" i="2"/>
  <c r="T13" i="2"/>
  <c r="T12" i="2"/>
  <c r="T17" i="2"/>
  <c r="T18" i="2"/>
  <c r="T21" i="2"/>
  <c r="T16" i="2"/>
  <c r="T4" i="2"/>
  <c r="T28" i="2"/>
  <c r="T19" i="2"/>
  <c r="T9" i="2"/>
  <c r="T27" i="2"/>
  <c r="T30" i="2"/>
  <c r="T15" i="2"/>
  <c r="T7" i="2"/>
  <c r="T20" i="2"/>
  <c r="T11" i="2"/>
  <c r="T10" i="2"/>
  <c r="T26" i="2"/>
  <c r="T8" i="2"/>
  <c r="T31" i="1" l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776C85-827D-48CF-BF77-E54A68D940F9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E00B972-A90D-4C96-A114-3A97FE9B53E6}" name="출석부관리" type="103" refreshedVersion="8" minRefreshableVersion="5">
    <extLst>
      <ext xmlns:x15="http://schemas.microsoft.com/office/spreadsheetml/2010/11/main" uri="{DE250136-89BD-433C-8126-D09CA5730AF9}">
        <x15:connection id="출석부관리" autoDelete="1">
          <x15:textPr codePage="949" sourceFile="C:\Users\mondi\Desktop\A\Craftsman_Information_Processing\Spreadsheet&amp;Access4.0\spreadsheet\08_2021년A형샘플문제\출석부관리.csv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<sst xmlns="http://schemas.openxmlformats.org/spreadsheetml/2006/main" count="1239" uniqueCount="215">
  <si>
    <t>날짜</t>
  </si>
  <si>
    <t>매매</t>
  </si>
  <si>
    <t>기준율</t>
  </si>
  <si>
    <t>전일비</t>
  </si>
  <si>
    <t>등락률</t>
  </si>
  <si>
    <t>현찰</t>
  </si>
  <si>
    <t>송금(전신환)</t>
  </si>
  <si>
    <t>사실때</t>
  </si>
  <si>
    <t>파실때</t>
  </si>
  <si>
    <t>보내실때</t>
  </si>
  <si>
    <t>받으실때</t>
  </si>
  <si>
    <t>유치</t>
  </si>
  <si>
    <t>한새미</t>
  </si>
  <si>
    <t>유</t>
  </si>
  <si>
    <t>학년</t>
  </si>
  <si>
    <t>반</t>
  </si>
  <si>
    <t>이름</t>
  </si>
  <si>
    <t>사랑반</t>
    <phoneticPr fontId="8" type="noConversion"/>
  </si>
  <si>
    <t>김영서</t>
    <phoneticPr fontId="8" type="noConversion"/>
  </si>
  <si>
    <t>O</t>
    <phoneticPr fontId="8" type="noConversion"/>
  </si>
  <si>
    <t>김유준</t>
    <phoneticPr fontId="8" type="noConversion"/>
  </si>
  <si>
    <t>이환</t>
    <phoneticPr fontId="8" type="noConversion"/>
  </si>
  <si>
    <t>화평반</t>
    <phoneticPr fontId="8" type="noConversion"/>
  </si>
  <si>
    <t>노재현</t>
    <phoneticPr fontId="8" type="noConversion"/>
  </si>
  <si>
    <t>희락반</t>
    <phoneticPr fontId="8" type="noConversion"/>
  </si>
  <si>
    <t>김우인</t>
    <phoneticPr fontId="8" type="noConversion"/>
  </si>
  <si>
    <t>김지환</t>
    <phoneticPr fontId="8" type="noConversion"/>
  </si>
  <si>
    <t>양선반</t>
    <phoneticPr fontId="8" type="noConversion"/>
  </si>
  <si>
    <t>정승우</t>
  </si>
  <si>
    <t>원가은</t>
    <phoneticPr fontId="8" type="noConversion"/>
  </si>
  <si>
    <t>오래참음반</t>
    <phoneticPr fontId="8" type="noConversion"/>
  </si>
  <si>
    <t>윤지강</t>
  </si>
  <si>
    <t>김서찬</t>
    <phoneticPr fontId="8" type="noConversion"/>
  </si>
  <si>
    <t>손채영</t>
  </si>
  <si>
    <t>자비반</t>
    <phoneticPr fontId="8" type="noConversion"/>
  </si>
  <si>
    <t>이지훈</t>
  </si>
  <si>
    <t>최예진</t>
    <phoneticPr fontId="8" type="noConversion"/>
  </si>
  <si>
    <t>이선녕</t>
  </si>
  <si>
    <t>전준호</t>
    <phoneticPr fontId="8" type="noConversion"/>
  </si>
  <si>
    <t>충성반</t>
    <phoneticPr fontId="8" type="noConversion"/>
  </si>
  <si>
    <t>최경주</t>
  </si>
  <si>
    <t>신지섭</t>
  </si>
  <si>
    <t>강연지</t>
  </si>
  <si>
    <t>박소연</t>
  </si>
  <si>
    <t>박지민</t>
  </si>
  <si>
    <t>김하람</t>
  </si>
  <si>
    <t>김하영</t>
  </si>
  <si>
    <t>곽용빈</t>
  </si>
  <si>
    <t>이승아</t>
  </si>
  <si>
    <t>한정우</t>
    <phoneticPr fontId="8" type="noConversion"/>
  </si>
  <si>
    <t>이창재</t>
  </si>
  <si>
    <t>노석진</t>
  </si>
  <si>
    <t>권한지</t>
    <phoneticPr fontId="8" type="noConversion"/>
  </si>
  <si>
    <t>출석수</t>
  </si>
  <si>
    <t>초등</t>
  </si>
  <si>
    <t>이시환</t>
  </si>
  <si>
    <t>무</t>
  </si>
  <si>
    <t>[표1]</t>
    <phoneticPr fontId="2" type="noConversion"/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</si>
  <si>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</si>
  <si>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</si>
  <si>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</si>
  <si>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</si>
  <si>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</si>
  <si>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</si>
  <si>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</si>
  <si>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</si>
  <si>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</si>
  <si>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</si>
  <si>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[표2]</t>
    <phoneticPr fontId="2" type="noConversion"/>
  </si>
  <si>
    <t>유아</t>
    <phoneticPr fontId="2" type="noConversion"/>
  </si>
  <si>
    <t>유치</t>
    <phoneticPr fontId="2" type="noConversion"/>
  </si>
  <si>
    <t>초등</t>
    <phoneticPr fontId="2" type="noConversion"/>
  </si>
  <si>
    <t>구분</t>
    <phoneticPr fontId="2" type="noConversion"/>
  </si>
  <si>
    <t>아동명</t>
    <phoneticPr fontId="2" type="noConversion"/>
  </si>
  <si>
    <t>보호자동반</t>
    <phoneticPr fontId="2" type="noConversion"/>
  </si>
  <si>
    <t>기본요금</t>
    <phoneticPr fontId="2" type="noConversion"/>
  </si>
  <si>
    <t>입장시간</t>
    <phoneticPr fontId="2" type="noConversion"/>
  </si>
  <si>
    <t>퇴장시간</t>
    <phoneticPr fontId="2" type="noConversion"/>
  </si>
  <si>
    <t>요금</t>
    <phoneticPr fontId="2" type="noConversion"/>
  </si>
  <si>
    <t>[표1]</t>
    <phoneticPr fontId="2" type="noConversion"/>
  </si>
  <si>
    <t>가입나이</t>
    <phoneticPr fontId="2" type="noConversion"/>
  </si>
  <si>
    <t>코드</t>
    <phoneticPr fontId="2" type="noConversion"/>
  </si>
  <si>
    <t>구분-성별</t>
    <phoneticPr fontId="2" type="noConversion"/>
  </si>
  <si>
    <t>가입금액</t>
    <phoneticPr fontId="2" type="noConversion"/>
  </si>
  <si>
    <t>가입기간</t>
    <phoneticPr fontId="2" type="noConversion"/>
  </si>
  <si>
    <t>미납기간</t>
    <phoneticPr fontId="2" type="noConversion"/>
  </si>
  <si>
    <t>가입상태</t>
    <phoneticPr fontId="2" type="noConversion"/>
  </si>
  <si>
    <t>[표2]</t>
    <phoneticPr fontId="2" type="noConversion"/>
  </si>
  <si>
    <t>BM</t>
    <phoneticPr fontId="2" type="noConversion"/>
  </si>
  <si>
    <t>BW</t>
    <phoneticPr fontId="2" type="noConversion"/>
  </si>
  <si>
    <t>남자</t>
  </si>
  <si>
    <t>SM</t>
    <phoneticPr fontId="2" type="noConversion"/>
  </si>
  <si>
    <t>BW</t>
    <phoneticPr fontId="2" type="noConversion"/>
  </si>
  <si>
    <t>여자</t>
  </si>
  <si>
    <t>SW</t>
    <phoneticPr fontId="2" type="noConversion"/>
  </si>
  <si>
    <t>SM</t>
    <phoneticPr fontId="2" type="noConversion"/>
  </si>
  <si>
    <t>SW</t>
    <phoneticPr fontId="2" type="noConversion"/>
  </si>
  <si>
    <t>SM</t>
    <phoneticPr fontId="2" type="noConversion"/>
  </si>
  <si>
    <t>BM</t>
    <phoneticPr fontId="2" type="noConversion"/>
  </si>
  <si>
    <t>BW</t>
    <phoneticPr fontId="2" type="noConversion"/>
  </si>
  <si>
    <t>나이</t>
    <phoneticPr fontId="2" type="noConversion"/>
  </si>
  <si>
    <t>가입자수</t>
    <phoneticPr fontId="2" type="noConversion"/>
  </si>
  <si>
    <t>BM</t>
    <phoneticPr fontId="2" type="noConversion"/>
  </si>
  <si>
    <t>코드</t>
    <phoneticPr fontId="2" type="noConversion"/>
  </si>
  <si>
    <t>성별</t>
    <phoneticPr fontId="2" type="noConversion"/>
  </si>
  <si>
    <t>BM</t>
    <phoneticPr fontId="2" type="noConversion"/>
  </si>
  <si>
    <t>기본형</t>
    <phoneticPr fontId="2" type="noConversion"/>
  </si>
  <si>
    <t>SM</t>
    <phoneticPr fontId="2" type="noConversion"/>
  </si>
  <si>
    <t>BW</t>
    <phoneticPr fontId="2" type="noConversion"/>
  </si>
  <si>
    <t>SW</t>
    <phoneticPr fontId="2" type="noConversion"/>
  </si>
  <si>
    <t>[표3] 코드별 가입나이별 가입금액</t>
    <phoneticPr fontId="2" type="noConversion"/>
  </si>
  <si>
    <t>[표5] 코드별 나이별 평균 가입기간</t>
    <phoneticPr fontId="2" type="noConversion"/>
  </si>
  <si>
    <t>환율 미국(USD)</t>
    <phoneticPr fontId="2" type="noConversion"/>
  </si>
  <si>
    <t>환율 중국(CNY)</t>
    <phoneticPr fontId="2" type="noConversion"/>
  </si>
  <si>
    <t>[표4] 나이대별 가입자수</t>
    <phoneticPr fontId="2" type="noConversion"/>
  </si>
  <si>
    <t>추가보장</t>
    <phoneticPr fontId="2" type="noConversion"/>
  </si>
  <si>
    <t>추가보장</t>
    <phoneticPr fontId="2" type="noConversion"/>
  </si>
  <si>
    <t>구분</t>
    <phoneticPr fontId="2" type="noConversion"/>
  </si>
  <si>
    <t>[표1]</t>
    <phoneticPr fontId="2" type="noConversion"/>
  </si>
  <si>
    <t>충성반</t>
    <phoneticPr fontId="8" type="noConversion"/>
  </si>
  <si>
    <t>사랑반</t>
    <phoneticPr fontId="8" type="noConversion"/>
  </si>
  <si>
    <t>김영서</t>
    <phoneticPr fontId="8" type="noConversion"/>
  </si>
  <si>
    <t>이환</t>
    <phoneticPr fontId="8" type="noConversion"/>
  </si>
  <si>
    <t>김유준</t>
    <phoneticPr fontId="8" type="noConversion"/>
  </si>
  <si>
    <t>화평반</t>
    <phoneticPr fontId="8" type="noConversion"/>
  </si>
  <si>
    <t>김지환</t>
    <phoneticPr fontId="8" type="noConversion"/>
  </si>
  <si>
    <t>원가은</t>
    <phoneticPr fontId="8" type="noConversion"/>
  </si>
  <si>
    <t>김서찬</t>
    <phoneticPr fontId="8" type="noConversion"/>
  </si>
  <si>
    <t>노재현</t>
    <phoneticPr fontId="8" type="noConversion"/>
  </si>
  <si>
    <t>희락반</t>
    <phoneticPr fontId="8" type="noConversion"/>
  </si>
  <si>
    <t>최예진</t>
    <phoneticPr fontId="8" type="noConversion"/>
  </si>
  <si>
    <t>전준호</t>
    <phoneticPr fontId="8" type="noConversion"/>
  </si>
  <si>
    <t>김우인</t>
    <phoneticPr fontId="8" type="noConversion"/>
  </si>
  <si>
    <t>양선반</t>
    <phoneticPr fontId="8" type="noConversion"/>
  </si>
  <si>
    <t>오래참음반</t>
    <phoneticPr fontId="8" type="noConversion"/>
  </si>
  <si>
    <t>자비반</t>
    <phoneticPr fontId="8" type="noConversion"/>
  </si>
  <si>
    <t>충성반</t>
    <phoneticPr fontId="8" type="noConversion"/>
  </si>
  <si>
    <t>한정우</t>
    <phoneticPr fontId="8" type="noConversion"/>
  </si>
  <si>
    <t>권한지</t>
    <phoneticPr fontId="8" type="noConversion"/>
  </si>
  <si>
    <t>출석</t>
    <phoneticPr fontId="2" type="noConversion"/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</si>
  <si>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</si>
  <si>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</si>
  <si>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</si>
  <si>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</si>
  <si>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</si>
  <si>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</si>
  <si>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</si>
  <si>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</si>
  <si>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</si>
  <si>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</si>
  <si>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</si>
  <si>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</si>
  <si>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</si>
  <si>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</si>
  <si>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</si>
  <si>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</si>
  <si>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</si>
  <si>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</si>
  <si>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</si>
  <si>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</si>
  <si>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</si>
  <si>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</si>
  <si>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</si>
  <si>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</si>
  <si>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</si>
  <si>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</si>
  <si>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</si>
  <si>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</si>
  <si>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</si>
  <si>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</si>
  <si>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</si>
  <si>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</si>
  <si>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</si>
  <si>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</si>
  <si>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</si>
  <si>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</si>
  <si>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</si>
  <si>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</si>
  <si>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</si>
  <si>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</si>
  <si>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</si>
  <si>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</si>
  <si>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</si>
  <si>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</si>
  <si>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</si>
  <si>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</si>
  <si>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</si>
  <si>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</si>
  <si>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</si>
  <si>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</si>
  <si>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출석일수</t>
    <phoneticPr fontId="2" type="noConversion"/>
  </si>
  <si>
    <t>조건</t>
    <phoneticPr fontId="2" type="noConversion"/>
  </si>
  <si>
    <t>총합계</t>
  </si>
  <si>
    <t>값</t>
  </si>
  <si>
    <t>전체 학생수</t>
  </si>
  <si>
    <t>학생수</t>
  </si>
  <si>
    <t>사랑반</t>
  </si>
  <si>
    <t>화평반</t>
  </si>
  <si>
    <t>희락반</t>
  </si>
  <si>
    <t>양선반</t>
  </si>
  <si>
    <t>오래참음반</t>
  </si>
  <si>
    <t>자비반</t>
  </si>
  <si>
    <t>충성반</t>
  </si>
  <si>
    <t>절제반</t>
  </si>
  <si>
    <t>전체 평균: 출석수</t>
  </si>
  <si>
    <t>평균: 출석수</t>
  </si>
  <si>
    <t>*</t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</si>
  <si>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</si>
  <si>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</si>
  <si>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</si>
  <si>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</si>
  <si>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</si>
  <si>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</si>
  <si>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</si>
  <si>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>홍길동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</si>
</sst>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\ &quot;세&quot;"/>
    <numFmt numFmtId="181" formatCode="0&quot;세 ~&quot;"/>
    <numFmt numFmtId="182" formatCode="\ 0&quot;세&quot;"/>
    <numFmt numFmtId="183" formatCode="0&quot;세 이상&quot;"/>
    <numFmt numFmtId="184" formatCode="0&quot;세 미만&quot;"/>
    <numFmt numFmtId="185" formatCode="0_ "/>
    <numFmt numFmtId="186" formatCode="[=1]\O;[=0]\X;"/>
  </numFmts>
  <fonts count="33"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0" borderId="0">
      <alignment vertical="center"/>
    </xf>
    <xf numFmtId="9" fontId="12" fillId="0" borderId="0" applyFont="0" applyFill="0" applyBorder="0" applyAlignment="0" applyProtection="0"/>
    <xf numFmtId="0" fontId="4" fillId="11" borderId="0" applyNumberFormat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5" fillId="0" borderId="0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 wrapText="1"/>
    </xf>
    <xf numFmtId="0" fontId="3" fillId="0" borderId="1" xfId="5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3" fillId="0" borderId="1" xfId="7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/>
    </xf>
    <xf numFmtId="0" fontId="3" fillId="0" borderId="1" xfId="5" applyFill="1" applyBorder="1" applyAlignment="1">
      <alignment horizontal="center" vertical="center" shrinkToFit="1"/>
    </xf>
    <xf numFmtId="0" fontId="3" fillId="0" borderId="1" xfId="6" applyFill="1" applyBorder="1" applyAlignment="1">
      <alignment horizontal="center" vertical="center" wrapText="1"/>
    </xf>
    <xf numFmtId="0" fontId="9" fillId="0" borderId="1" xfId="8" applyFont="1" applyFill="1" applyBorder="1" applyAlignment="1">
      <alignment horizontal="center" vertical="center" wrapText="1"/>
    </xf>
    <xf numFmtId="0" fontId="3" fillId="0" borderId="1" xfId="8" applyFill="1" applyBorder="1" applyAlignment="1">
      <alignment horizontal="center" vertical="center" wrapText="1"/>
    </xf>
    <xf numFmtId="0" fontId="3" fillId="0" borderId="1" xfId="5" applyFill="1" applyBorder="1" applyAlignment="1">
      <alignment horizontal="center" vertical="center" wrapText="1"/>
    </xf>
    <xf numFmtId="179" fontId="0" fillId="0" borderId="1" xfId="0" applyNumberFormat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41" fontId="9" fillId="0" borderId="0" xfId="2" applyFont="1">
      <alignment vertical="center"/>
    </xf>
    <xf numFmtId="0" fontId="13" fillId="0" borderId="0" xfId="9" applyFont="1" applyAlignment="1">
      <alignment horizontal="center"/>
    </xf>
    <xf numFmtId="0" fontId="13" fillId="0" borderId="0" xfId="9" applyFont="1" applyAlignment="1"/>
    <xf numFmtId="0" fontId="13" fillId="0" borderId="0" xfId="9" applyFont="1">
      <alignment vertical="center"/>
    </xf>
    <xf numFmtId="0" fontId="15" fillId="0" borderId="0" xfId="1" applyFont="1" applyAlignment="1">
      <alignment vertical="center"/>
    </xf>
    <xf numFmtId="176" fontId="17" fillId="0" borderId="1" xfId="0" applyNumberFormat="1" applyFont="1" applyBorder="1" applyAlignment="1">
      <alignment horizontal="center" vertical="center" wrapText="1"/>
    </xf>
    <xf numFmtId="177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78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20" fontId="9" fillId="0" borderId="0" xfId="0" applyNumberFormat="1" applyFont="1">
      <alignment vertical="center"/>
    </xf>
    <xf numFmtId="0" fontId="9" fillId="0" borderId="1" xfId="0" applyFont="1" applyBorder="1" applyAlignment="1">
      <alignment horizontal="center" vertical="center"/>
    </xf>
    <xf numFmtId="3" fontId="9" fillId="0" borderId="1" xfId="2" applyNumberFormat="1" applyFont="1" applyBorder="1">
      <alignment vertical="center"/>
    </xf>
    <xf numFmtId="0" fontId="24" fillId="8" borderId="1" xfId="3" applyFont="1" applyFill="1" applyBorder="1" applyAlignment="1">
      <alignment horizontal="center" vertical="center"/>
    </xf>
    <xf numFmtId="41" fontId="24" fillId="8" borderId="1" xfId="2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4" fontId="9" fillId="0" borderId="0" xfId="2" applyNumberFormat="1" applyFont="1">
      <alignment vertical="center"/>
    </xf>
    <xf numFmtId="0" fontId="25" fillId="9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41" fontId="25" fillId="10" borderId="1" xfId="2" applyFont="1" applyFill="1" applyBorder="1" applyAlignment="1">
      <alignment horizontal="center" vertical="center"/>
    </xf>
    <xf numFmtId="41" fontId="25" fillId="9" borderId="1" xfId="2" applyFont="1" applyFill="1" applyBorder="1" applyAlignment="1">
      <alignment horizontal="center" vertical="center"/>
    </xf>
    <xf numFmtId="180" fontId="9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9" fillId="0" borderId="2" xfId="2" applyFont="1" applyBorder="1">
      <alignment vertical="center"/>
    </xf>
    <xf numFmtId="0" fontId="9" fillId="0" borderId="2" xfId="0" applyFont="1" applyBorder="1">
      <alignment vertical="center"/>
    </xf>
    <xf numFmtId="0" fontId="9" fillId="0" borderId="2" xfId="0" applyFont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 wrapText="1"/>
    </xf>
    <xf numFmtId="180" fontId="9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9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0" fontId="26" fillId="10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181" fontId="11" fillId="0" borderId="3" xfId="0" applyNumberFormat="1" applyFont="1" applyBorder="1" applyAlignment="1">
      <alignment horizontal="right" vertical="center" wrapText="1"/>
    </xf>
    <xf numFmtId="182" fontId="11" fillId="0" borderId="4" xfId="0" applyNumberFormat="1" applyFont="1" applyBorder="1" applyAlignment="1">
      <alignment horizontal="left" vertical="center" wrapText="1"/>
    </xf>
    <xf numFmtId="0" fontId="11" fillId="0" borderId="3" xfId="0" applyFont="1" applyBorder="1" applyAlignment="1">
      <alignment horizontal="center" vertical="center" wrapText="1"/>
    </xf>
    <xf numFmtId="178" fontId="9" fillId="0" borderId="1" xfId="0" applyNumberFormat="1" applyFont="1" applyBorder="1">
      <alignment vertical="center"/>
    </xf>
    <xf numFmtId="20" fontId="9" fillId="0" borderId="0" xfId="2" applyNumberFormat="1" applyFont="1">
      <alignment vertical="center"/>
    </xf>
    <xf numFmtId="183" fontId="26" fillId="9" borderId="1" xfId="0" applyNumberFormat="1" applyFont="1" applyFill="1" applyBorder="1" applyAlignment="1">
      <alignment horizontal="center" vertical="center" wrapText="1"/>
    </xf>
    <xf numFmtId="184" fontId="26" fillId="9" borderId="1" xfId="0" applyNumberFormat="1" applyFont="1" applyFill="1" applyBorder="1" applyAlignment="1">
      <alignment horizontal="center" vertical="center" wrapText="1"/>
    </xf>
    <xf numFmtId="183" fontId="26" fillId="10" borderId="1" xfId="0" applyNumberFormat="1" applyFont="1" applyFill="1" applyBorder="1" applyAlignment="1">
      <alignment horizontal="center" vertical="center" wrapText="1"/>
    </xf>
    <xf numFmtId="184" fontId="26" fillId="10" borderId="1" xfId="0" applyNumberFormat="1" applyFont="1" applyFill="1" applyBorder="1" applyAlignment="1">
      <alignment horizontal="center" vertical="center" wrapText="1"/>
    </xf>
    <xf numFmtId="0" fontId="27" fillId="0" borderId="1" xfId="4" applyFont="1" applyFill="1" applyBorder="1" applyAlignment="1">
      <alignment horizontal="center" vertical="center"/>
    </xf>
    <xf numFmtId="0" fontId="14" fillId="0" borderId="1" xfId="4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4" fillId="11" borderId="1" xfId="11" applyFont="1" applyBorder="1" applyAlignment="1" applyProtection="1">
      <alignment horizontal="center" vertical="center"/>
      <protection locked="0"/>
    </xf>
    <xf numFmtId="0" fontId="24" fillId="11" borderId="1" xfId="11" applyFont="1" applyBorder="1" applyAlignment="1" applyProtection="1">
      <alignment horizontal="center" vertical="center" wrapText="1"/>
      <protection locked="0"/>
    </xf>
    <xf numFmtId="179" fontId="24" fillId="11" borderId="1" xfId="11" applyNumberFormat="1" applyFont="1" applyBorder="1" applyAlignment="1" applyProtection="1">
      <alignment horizontal="center" vertical="center" shrinkToFit="1"/>
      <protection locked="0"/>
    </xf>
    <xf numFmtId="0" fontId="3" fillId="0" borderId="1" xfId="5" applyFill="1" applyBorder="1" applyAlignment="1" applyProtection="1">
      <alignment horizontal="center" vertical="center" wrapText="1"/>
      <protection locked="0"/>
    </xf>
    <xf numFmtId="0" fontId="3" fillId="0" borderId="1" xfId="5" applyFill="1" applyBorder="1" applyAlignment="1" applyProtection="1">
      <alignment horizontal="center" vertical="center" shrinkToFit="1"/>
      <protection locked="0"/>
    </xf>
    <xf numFmtId="0" fontId="9" fillId="0" borderId="1" xfId="5" applyFont="1" applyFill="1" applyBorder="1" applyAlignment="1" applyProtection="1">
      <alignment horizontal="center" vertical="center" wrapText="1"/>
      <protection locked="0"/>
    </xf>
    <xf numFmtId="0" fontId="3" fillId="0" borderId="1" xfId="8" applyFill="1" applyBorder="1" applyAlignment="1" applyProtection="1">
      <alignment horizontal="center" vertical="center" wrapText="1"/>
      <protection locked="0"/>
    </xf>
    <xf numFmtId="0" fontId="9" fillId="0" borderId="1" xfId="8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27" fillId="0" borderId="1" xfId="4" applyFont="1" applyFill="1" applyBorder="1" applyAlignment="1" applyProtection="1">
      <alignment horizontal="center" vertical="center"/>
      <protection locked="0"/>
    </xf>
    <xf numFmtId="0" fontId="9" fillId="0" borderId="1" xfId="7" applyFont="1" applyFill="1" applyBorder="1" applyAlignment="1" applyProtection="1">
      <alignment horizontal="center" vertical="center" wrapText="1"/>
      <protection locked="0"/>
    </xf>
    <xf numFmtId="0" fontId="3" fillId="0" borderId="1" xfId="7" applyFill="1" applyBorder="1" applyAlignment="1" applyProtection="1">
      <alignment horizontal="center" vertical="center" wrapText="1"/>
      <protection locked="0"/>
    </xf>
    <xf numFmtId="0" fontId="3" fillId="0" borderId="1" xfId="5" applyFill="1" applyBorder="1" applyAlignment="1" applyProtection="1">
      <alignment horizontal="center" vertical="center"/>
      <protection locked="0"/>
    </xf>
    <xf numFmtId="0" fontId="9" fillId="0" borderId="1" xfId="6" applyFont="1" applyFill="1" applyBorder="1" applyAlignment="1" applyProtection="1">
      <alignment horizontal="center" vertical="center" wrapText="1"/>
      <protection locked="0"/>
    </xf>
    <xf numFmtId="0" fontId="9" fillId="0" borderId="1" xfId="7" applyFont="1" applyFill="1" applyBorder="1" applyAlignment="1" applyProtection="1">
      <alignment horizontal="center" vertical="center"/>
      <protection locked="0"/>
    </xf>
    <xf numFmtId="0" fontId="3" fillId="0" borderId="1" xfId="6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179" fontId="25" fillId="0" borderId="1" xfId="0" applyNumberFormat="1" applyFon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29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26" fillId="9" borderId="5" xfId="0" applyFont="1" applyFill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3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14" fontId="30" fillId="0" borderId="0" xfId="0" applyNumberFormat="1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1" fillId="0" borderId="0" xfId="0" applyFont="1">
      <alignment vertical="center"/>
    </xf>
    <xf numFmtId="186" fontId="0" fillId="0" borderId="1" xfId="0" applyNumberFormat="1" applyBorder="1" applyAlignment="1">
      <alignment horizontal="center" vertical="center" shrinkToFit="1"/>
    </xf>
  </cellXfs>
  <cellStyles count="12">
    <cellStyle name="20% - 강조색1" xfId="5" builtinId="30"/>
    <cellStyle name="20% - 강조색2" xfId="6" builtinId="34"/>
    <cellStyle name="20% - 강조색3" xfId="7" builtinId="38"/>
    <cellStyle name="20% - 강조색4" xfId="8" builtinId="42"/>
    <cellStyle name="60% - 강조색1" xfId="3" builtinId="32"/>
    <cellStyle name="강조색1" xfId="11" builtinId="29"/>
    <cellStyle name="백분율 2" xfId="10" xr:uid="{00000000-0005-0000-0000-000006000000}"/>
    <cellStyle name="쉼표 [0]" xfId="2" builtinId="6"/>
    <cellStyle name="제목" xfId="1" builtinId="15"/>
    <cellStyle name="좋음" xfId="4" builtinId="26"/>
    <cellStyle name="표준" xfId="0" builtinId="0"/>
    <cellStyle name="표준 2" xfId="9" xr:uid="{00000000-0005-0000-0000-00000B000000}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spPr>
            <a:ln>
              <a:solidFill>
                <a:schemeClr val="accent5">
                  <a:alpha val="99000"/>
                </a:schemeClr>
              </a:solidFill>
            </a:ln>
          </c:spPr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10-453B-A23E-17573BF79EB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0B5-4079-87C8-3CF1E5BC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중국(CNY)</c:v>
          </c:tx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10-453B-A23E-17573BF79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186367"/>
        <c:axId val="997265503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997265503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438186367"/>
        <c:crosses val="max"/>
        <c:crossBetween val="between"/>
      </c:valAx>
      <c:dateAx>
        <c:axId val="438186367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997265503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90488</xdr:rowOff>
        </xdr:to>
        <xdr:sp macro="" textlink="">
          <xdr:nvSpPr>
            <xdr:cNvPr id="1025" name="cmd등록작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204.815268865743" backgroundQuery="1" createdVersion="8" refreshedVersion="8" minRefreshableVersion="3" recordCount="0" supportSubquery="1" supportAdvancedDrill="1" xr:uid="{D5CB404F-D54A-4A4E-97C6-67BA7D3CD598}">
  <cacheSource type="external" connectionId="1"/>
  <cacheFields count="5">
    <cacheField name="[출석부관리].[학년].[학년]" caption="학년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성별].[성별]" caption="성별" numFmtId="0" hierarchy="3" level="1">
      <sharedItems count="2">
        <s v="남"/>
        <s v="여"/>
      </sharedItems>
    </cacheField>
    <cacheField name="[Measures].[개수: 이름]" caption="개수: 이름" numFmtId="0" hierarchy="8" level="32767"/>
    <cacheField name="[출석부관리].[반].[반]" caption="반" numFmtId="0" hierarchy="1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Measures].[평균: 출석수]" caption="평균: 출석수" numFmtId="0" hierarchy="9" level="32767"/>
  </cacheFields>
  <cacheHierarchies count="10"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3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62D9FF-5EFE-4FF8-B0C7-15BD8ACED233}" name="피벗 테이블1" cacheId="37" applyNumberFormats="0" applyBorderFormats="0" applyFontFormats="0" applyPatternFormats="0" applyAlignmentFormats="0" applyWidthHeightFormats="1" dataCaption="값" missingCaption="*" updatedVersion="8" minRefreshableVersion="3" useAutoFormatting="1" itemPrintTitles="1" mergeItem="1" createdVersion="8" indent="0" compact="0" outline="1" outlineData="1" compactData="0" multipleFieldFilters="0">
  <location ref="A3:H20" firstHeaderRow="1" firstDataRow="3" firstDataCol="2"/>
  <pivotFields count="5">
    <pivotField axis="axisRow" compact="0" allDrilled="1" subtotalTop="0" showAll="0" dataSourceSort="1" defaultSubtotal="0" defaultAttributeDrillState="1">
      <items count="3">
        <item x="0"/>
        <item x="1"/>
        <item x="2"/>
      </items>
    </pivotField>
    <pivotField axis="axisCol" compact="0" allDrilled="1" subtotalTop="0" showAll="0" dataSourceSort="1" defaultSubtotal="0" defaultAttributeDrillState="1">
      <items count="2">
        <item x="0"/>
        <item x="1"/>
      </items>
    </pivotField>
    <pivotField dataField="1" compact="0" subtotalTop="0" showAll="0" defaultSubtotal="0"/>
    <pivotField axis="axisRow" compact="0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subtotalTop="0" showAll="0" defaultSubtotal="0"/>
  </pivotFields>
  <rowFields count="2">
    <field x="0"/>
    <field x="3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4" subtotal="average" baseField="0" baseItem="0" numFmtId="185"/>
    <dataField name="학생수" fld="2" subtotal="count" baseField="0" baseItem="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학생수"/>
    <pivotHierarchy dragToData="1" caption="평균: 출석수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3:AB31"/>
  <sheetViews>
    <sheetView windowProtection="1" zoomScaleNormal="100" workbookViewId="0">
      <selection activeCell="U1" sqref="U1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8">
      <c r="B3" s="3" t="s">
        <v>14</v>
      </c>
      <c r="C3" s="4" t="s">
        <v>15</v>
      </c>
      <c r="D3" s="4" t="s">
        <v>16</v>
      </c>
      <c r="E3" s="20">
        <v>42432</v>
      </c>
      <c r="F3" s="20">
        <v>42439</v>
      </c>
      <c r="G3" s="20">
        <v>42446</v>
      </c>
      <c r="H3" s="20">
        <v>42453</v>
      </c>
      <c r="I3" s="20">
        <v>42460</v>
      </c>
      <c r="J3" s="20">
        <v>42467</v>
      </c>
      <c r="K3" s="20">
        <v>42474</v>
      </c>
      <c r="L3" s="20">
        <v>42481</v>
      </c>
      <c r="M3" s="20">
        <v>42488</v>
      </c>
      <c r="N3" s="20">
        <v>42495</v>
      </c>
      <c r="O3" s="20">
        <v>42502</v>
      </c>
      <c r="P3" s="20">
        <v>42509</v>
      </c>
      <c r="Q3" s="20">
        <v>42516</v>
      </c>
      <c r="R3" s="20">
        <v>42523</v>
      </c>
      <c r="S3" s="20">
        <v>42530</v>
      </c>
      <c r="T3" s="70" t="s">
        <v>53</v>
      </c>
      <c r="V3" t="s">
        <v>191</v>
      </c>
      <c r="X3" s="3" t="s">
        <v>14</v>
      </c>
      <c r="Y3" s="4" t="s">
        <v>15</v>
      </c>
      <c r="Z3" s="4" t="s">
        <v>16</v>
      </c>
      <c r="AA3" s="20">
        <v>42530</v>
      </c>
      <c r="AB3" s="70" t="s">
        <v>53</v>
      </c>
    </row>
    <row r="4" spans="2:28">
      <c r="B4" s="5">
        <v>1</v>
      </c>
      <c r="C4" s="6" t="s">
        <v>17</v>
      </c>
      <c r="D4" s="5" t="s">
        <v>18</v>
      </c>
      <c r="E4" s="7" t="s">
        <v>19</v>
      </c>
      <c r="F4" s="7" t="s">
        <v>19</v>
      </c>
      <c r="G4" s="7" t="s">
        <v>19</v>
      </c>
      <c r="H4" s="7" t="s">
        <v>19</v>
      </c>
      <c r="I4" s="7" t="s">
        <v>19</v>
      </c>
      <c r="J4" s="7" t="s">
        <v>19</v>
      </c>
      <c r="K4" s="7" t="s">
        <v>19</v>
      </c>
      <c r="L4" s="7" t="s">
        <v>19</v>
      </c>
      <c r="M4" s="7" t="s">
        <v>19</v>
      </c>
      <c r="N4" s="7" t="s">
        <v>19</v>
      </c>
      <c r="O4" s="7" t="s">
        <v>19</v>
      </c>
      <c r="P4" s="7" t="s">
        <v>19</v>
      </c>
      <c r="Q4" s="7" t="s">
        <v>19</v>
      </c>
      <c r="R4" s="7" t="s">
        <v>19</v>
      </c>
      <c r="S4" s="7" t="s">
        <v>19</v>
      </c>
      <c r="T4" s="71">
        <f t="shared" ref="T4:T31" si="0">COUNTA(E4:S4)</f>
        <v>15</v>
      </c>
      <c r="V4" t="b">
        <f>OR(T4&lt;MEDIAN($T$4:$T$31),ISBLANK(S4))</f>
        <v>0</v>
      </c>
      <c r="X4" s="8">
        <v>1</v>
      </c>
      <c r="Y4" s="9" t="s">
        <v>17</v>
      </c>
      <c r="Z4" s="10" t="s">
        <v>21</v>
      </c>
      <c r="AA4" s="7" t="s">
        <v>19</v>
      </c>
      <c r="AB4" s="71">
        <v>13</v>
      </c>
    </row>
    <row r="5" spans="2:28">
      <c r="B5" s="8">
        <v>1</v>
      </c>
      <c r="C5" s="9" t="s">
        <v>17</v>
      </c>
      <c r="D5" s="10" t="s">
        <v>21</v>
      </c>
      <c r="E5" s="7" t="s">
        <v>19</v>
      </c>
      <c r="F5" s="7" t="s">
        <v>19</v>
      </c>
      <c r="G5" s="7"/>
      <c r="H5" s="7" t="s">
        <v>19</v>
      </c>
      <c r="I5" s="7" t="s">
        <v>19</v>
      </c>
      <c r="J5" s="7" t="s">
        <v>19</v>
      </c>
      <c r="K5" s="7" t="s">
        <v>19</v>
      </c>
      <c r="L5" s="7" t="s">
        <v>19</v>
      </c>
      <c r="M5" s="7"/>
      <c r="N5" s="7" t="s">
        <v>19</v>
      </c>
      <c r="O5" s="7" t="s">
        <v>19</v>
      </c>
      <c r="P5" s="7" t="s">
        <v>19</v>
      </c>
      <c r="Q5" s="7" t="s">
        <v>19</v>
      </c>
      <c r="R5" s="7" t="s">
        <v>19</v>
      </c>
      <c r="S5" s="7" t="s">
        <v>19</v>
      </c>
      <c r="T5" s="71">
        <f t="shared" si="0"/>
        <v>13</v>
      </c>
      <c r="X5" s="5">
        <v>1</v>
      </c>
      <c r="Y5" s="6" t="s">
        <v>17</v>
      </c>
      <c r="Z5" s="5" t="s">
        <v>20</v>
      </c>
      <c r="AA5" s="7" t="s">
        <v>19</v>
      </c>
      <c r="AB5" s="71">
        <v>12</v>
      </c>
    </row>
    <row r="6" spans="2:28">
      <c r="B6" s="5">
        <v>1</v>
      </c>
      <c r="C6" s="6" t="s">
        <v>17</v>
      </c>
      <c r="D6" s="5" t="s">
        <v>20</v>
      </c>
      <c r="E6" s="7"/>
      <c r="F6" s="7" t="s">
        <v>19</v>
      </c>
      <c r="G6" s="7" t="s">
        <v>19</v>
      </c>
      <c r="H6" s="7" t="s">
        <v>19</v>
      </c>
      <c r="I6" s="7" t="s">
        <v>19</v>
      </c>
      <c r="J6" s="7" t="s">
        <v>19</v>
      </c>
      <c r="K6" s="7" t="s">
        <v>19</v>
      </c>
      <c r="L6" s="7" t="s">
        <v>19</v>
      </c>
      <c r="M6" s="7" t="s">
        <v>19</v>
      </c>
      <c r="N6" s="7" t="s">
        <v>19</v>
      </c>
      <c r="O6" s="7"/>
      <c r="P6" s="7" t="s">
        <v>19</v>
      </c>
      <c r="Q6" s="7" t="s">
        <v>19</v>
      </c>
      <c r="R6" s="7"/>
      <c r="S6" s="7" t="s">
        <v>19</v>
      </c>
      <c r="T6" s="71">
        <f t="shared" si="0"/>
        <v>12</v>
      </c>
      <c r="X6" s="12">
        <v>1</v>
      </c>
      <c r="Y6" s="11" t="s">
        <v>22</v>
      </c>
      <c r="Z6" s="12" t="s">
        <v>32</v>
      </c>
      <c r="AA6" s="7" t="s">
        <v>19</v>
      </c>
      <c r="AB6" s="71">
        <v>13</v>
      </c>
    </row>
    <row r="7" spans="2:28">
      <c r="B7" s="12">
        <v>1</v>
      </c>
      <c r="C7" s="11" t="s">
        <v>22</v>
      </c>
      <c r="D7" s="14" t="s">
        <v>26</v>
      </c>
      <c r="E7" s="7" t="s">
        <v>19</v>
      </c>
      <c r="F7" s="7" t="s">
        <v>19</v>
      </c>
      <c r="G7" s="7" t="s">
        <v>19</v>
      </c>
      <c r="H7" s="7" t="s">
        <v>19</v>
      </c>
      <c r="I7" s="7" t="s">
        <v>19</v>
      </c>
      <c r="J7" s="7" t="s">
        <v>19</v>
      </c>
      <c r="K7" s="7" t="s">
        <v>19</v>
      </c>
      <c r="L7" s="7" t="s">
        <v>19</v>
      </c>
      <c r="M7" s="7" t="s">
        <v>19</v>
      </c>
      <c r="N7" s="7" t="s">
        <v>19</v>
      </c>
      <c r="O7" s="7" t="s">
        <v>19</v>
      </c>
      <c r="P7" s="7" t="s">
        <v>19</v>
      </c>
      <c r="Q7" s="7" t="s">
        <v>19</v>
      </c>
      <c r="R7" s="7" t="s">
        <v>19</v>
      </c>
      <c r="S7" s="7" t="s">
        <v>19</v>
      </c>
      <c r="T7" s="71">
        <f t="shared" si="0"/>
        <v>15</v>
      </c>
      <c r="X7" s="11">
        <v>1</v>
      </c>
      <c r="Y7" s="11" t="s">
        <v>22</v>
      </c>
      <c r="Z7" s="12" t="s">
        <v>23</v>
      </c>
      <c r="AA7" s="7" t="s">
        <v>19</v>
      </c>
      <c r="AB7" s="71">
        <v>11</v>
      </c>
    </row>
    <row r="8" spans="2:28">
      <c r="B8" s="12">
        <v>1</v>
      </c>
      <c r="C8" s="11" t="s">
        <v>22</v>
      </c>
      <c r="D8" s="12" t="s">
        <v>29</v>
      </c>
      <c r="E8" s="7"/>
      <c r="F8" s="7" t="s">
        <v>19</v>
      </c>
      <c r="G8" s="7" t="s">
        <v>19</v>
      </c>
      <c r="H8" s="7" t="s">
        <v>19</v>
      </c>
      <c r="I8" s="7" t="s">
        <v>19</v>
      </c>
      <c r="J8" s="7" t="s">
        <v>19</v>
      </c>
      <c r="K8" s="7" t="s">
        <v>19</v>
      </c>
      <c r="L8" s="7" t="s">
        <v>19</v>
      </c>
      <c r="M8" s="7" t="s">
        <v>19</v>
      </c>
      <c r="N8" s="7" t="s">
        <v>19</v>
      </c>
      <c r="O8" s="7" t="s">
        <v>19</v>
      </c>
      <c r="P8" s="7" t="s">
        <v>19</v>
      </c>
      <c r="Q8" s="7" t="s">
        <v>19</v>
      </c>
      <c r="R8" s="7" t="s">
        <v>19</v>
      </c>
      <c r="S8" s="7" t="s">
        <v>19</v>
      </c>
      <c r="T8" s="71">
        <f t="shared" si="0"/>
        <v>14</v>
      </c>
      <c r="X8" s="13">
        <v>1</v>
      </c>
      <c r="Y8" s="13" t="s">
        <v>24</v>
      </c>
      <c r="Z8" s="13" t="s">
        <v>25</v>
      </c>
      <c r="AA8" s="7" t="s">
        <v>19</v>
      </c>
      <c r="AB8" s="71">
        <v>10</v>
      </c>
    </row>
    <row r="9" spans="2:28">
      <c r="B9" s="12">
        <v>1</v>
      </c>
      <c r="C9" s="11" t="s">
        <v>22</v>
      </c>
      <c r="D9" s="12" t="s">
        <v>32</v>
      </c>
      <c r="E9" s="7" t="s">
        <v>19</v>
      </c>
      <c r="F9" s="7" t="s">
        <v>19</v>
      </c>
      <c r="G9" s="7" t="s">
        <v>19</v>
      </c>
      <c r="H9" s="7" t="s">
        <v>19</v>
      </c>
      <c r="I9" s="7" t="s">
        <v>19</v>
      </c>
      <c r="J9" s="7" t="s">
        <v>19</v>
      </c>
      <c r="K9" s="7"/>
      <c r="L9" s="7"/>
      <c r="M9" s="7" t="s">
        <v>19</v>
      </c>
      <c r="N9" s="7" t="s">
        <v>19</v>
      </c>
      <c r="O9" s="7" t="s">
        <v>19</v>
      </c>
      <c r="P9" s="7" t="s">
        <v>19</v>
      </c>
      <c r="Q9" s="7" t="s">
        <v>19</v>
      </c>
      <c r="R9" s="7" t="s">
        <v>19</v>
      </c>
      <c r="S9" s="7" t="s">
        <v>19</v>
      </c>
      <c r="T9" s="71">
        <f t="shared" si="0"/>
        <v>13</v>
      </c>
      <c r="X9" s="12">
        <v>2</v>
      </c>
      <c r="Y9" s="11" t="s">
        <v>27</v>
      </c>
      <c r="Z9" s="12" t="s">
        <v>28</v>
      </c>
      <c r="AA9" s="7"/>
      <c r="AB9" s="71">
        <v>13</v>
      </c>
    </row>
    <row r="10" spans="2:28">
      <c r="B10" s="11">
        <v>1</v>
      </c>
      <c r="C10" s="11" t="s">
        <v>22</v>
      </c>
      <c r="D10" s="12" t="s">
        <v>23</v>
      </c>
      <c r="E10" s="7"/>
      <c r="F10" s="7" t="s">
        <v>19</v>
      </c>
      <c r="G10" s="7" t="s">
        <v>19</v>
      </c>
      <c r="H10" s="7" t="s">
        <v>19</v>
      </c>
      <c r="I10" s="7"/>
      <c r="J10" s="7" t="s">
        <v>19</v>
      </c>
      <c r="K10" s="7" t="s">
        <v>19</v>
      </c>
      <c r="L10" s="7" t="s">
        <v>19</v>
      </c>
      <c r="M10" s="7" t="s">
        <v>19</v>
      </c>
      <c r="N10" s="7" t="s">
        <v>19</v>
      </c>
      <c r="O10" s="7"/>
      <c r="P10" s="7" t="s">
        <v>19</v>
      </c>
      <c r="Q10" s="7" t="s">
        <v>19</v>
      </c>
      <c r="R10" s="7"/>
      <c r="S10" s="7" t="s">
        <v>19</v>
      </c>
      <c r="T10" s="71">
        <f t="shared" si="0"/>
        <v>11</v>
      </c>
      <c r="X10" s="5">
        <v>2</v>
      </c>
      <c r="Y10" s="15" t="s">
        <v>30</v>
      </c>
      <c r="Z10" s="5" t="s">
        <v>31</v>
      </c>
      <c r="AA10" s="7"/>
      <c r="AB10" s="71">
        <v>13</v>
      </c>
    </row>
    <row r="11" spans="2:28">
      <c r="B11" s="13">
        <v>1</v>
      </c>
      <c r="C11" s="13" t="s">
        <v>24</v>
      </c>
      <c r="D11" s="13" t="s">
        <v>36</v>
      </c>
      <c r="E11" s="7" t="s">
        <v>19</v>
      </c>
      <c r="F11" s="7" t="s">
        <v>19</v>
      </c>
      <c r="G11" s="7" t="s">
        <v>19</v>
      </c>
      <c r="H11" s="7" t="s">
        <v>19</v>
      </c>
      <c r="I11" s="7" t="s">
        <v>19</v>
      </c>
      <c r="J11" s="7" t="s">
        <v>19</v>
      </c>
      <c r="K11" s="7" t="s">
        <v>19</v>
      </c>
      <c r="L11" s="7" t="s">
        <v>19</v>
      </c>
      <c r="M11" s="7" t="s">
        <v>19</v>
      </c>
      <c r="N11" s="7" t="s">
        <v>19</v>
      </c>
      <c r="O11" s="7" t="s">
        <v>19</v>
      </c>
      <c r="P11" s="7" t="s">
        <v>19</v>
      </c>
      <c r="Q11" s="7" t="s">
        <v>19</v>
      </c>
      <c r="R11" s="7" t="s">
        <v>19</v>
      </c>
      <c r="S11" s="7" t="s">
        <v>19</v>
      </c>
      <c r="T11" s="71">
        <f t="shared" si="0"/>
        <v>15</v>
      </c>
      <c r="X11" s="5">
        <v>2</v>
      </c>
      <c r="Y11" s="15" t="s">
        <v>30</v>
      </c>
      <c r="Z11" s="5" t="s">
        <v>33</v>
      </c>
      <c r="AA11" s="7"/>
      <c r="AB11" s="71">
        <v>12</v>
      </c>
    </row>
    <row r="12" spans="2:28">
      <c r="B12" s="13">
        <v>1</v>
      </c>
      <c r="C12" s="13" t="s">
        <v>24</v>
      </c>
      <c r="D12" s="13" t="s">
        <v>38</v>
      </c>
      <c r="E12" s="7" t="s">
        <v>19</v>
      </c>
      <c r="F12" s="7" t="s">
        <v>19</v>
      </c>
      <c r="G12" s="7" t="s">
        <v>19</v>
      </c>
      <c r="H12" s="7" t="s">
        <v>19</v>
      </c>
      <c r="I12" s="7" t="s">
        <v>19</v>
      </c>
      <c r="J12" s="7" t="s">
        <v>19</v>
      </c>
      <c r="K12" s="7" t="s">
        <v>19</v>
      </c>
      <c r="L12" s="7" t="s">
        <v>19</v>
      </c>
      <c r="M12" s="7" t="s">
        <v>19</v>
      </c>
      <c r="N12" s="7" t="s">
        <v>19</v>
      </c>
      <c r="O12" s="7" t="s">
        <v>19</v>
      </c>
      <c r="P12" s="7" t="s">
        <v>19</v>
      </c>
      <c r="Q12" s="7" t="s">
        <v>19</v>
      </c>
      <c r="R12" s="7" t="s">
        <v>19</v>
      </c>
      <c r="S12" s="7" t="s">
        <v>19</v>
      </c>
      <c r="T12" s="71">
        <f t="shared" si="0"/>
        <v>15</v>
      </c>
      <c r="X12" s="13">
        <v>2</v>
      </c>
      <c r="Y12" s="16" t="s">
        <v>34</v>
      </c>
      <c r="Z12" s="13" t="s">
        <v>35</v>
      </c>
      <c r="AA12" s="7" t="s">
        <v>19</v>
      </c>
      <c r="AB12" s="71">
        <v>12</v>
      </c>
    </row>
    <row r="13" spans="2:28">
      <c r="B13" s="13">
        <v>1</v>
      </c>
      <c r="C13" s="13" t="s">
        <v>24</v>
      </c>
      <c r="D13" s="13" t="s">
        <v>25</v>
      </c>
      <c r="E13" s="7" t="s">
        <v>19</v>
      </c>
      <c r="F13" s="7" t="s">
        <v>19</v>
      </c>
      <c r="G13" s="7" t="s">
        <v>19</v>
      </c>
      <c r="H13" s="7"/>
      <c r="I13" s="7" t="s">
        <v>19</v>
      </c>
      <c r="J13" s="7"/>
      <c r="K13" s="7"/>
      <c r="L13" s="7"/>
      <c r="M13" s="7" t="s">
        <v>19</v>
      </c>
      <c r="N13" s="7"/>
      <c r="O13" s="7" t="s">
        <v>19</v>
      </c>
      <c r="P13" s="7" t="s">
        <v>19</v>
      </c>
      <c r="Q13" s="7" t="s">
        <v>19</v>
      </c>
      <c r="R13" s="7" t="s">
        <v>19</v>
      </c>
      <c r="S13" s="7" t="s">
        <v>19</v>
      </c>
      <c r="T13" s="71">
        <f t="shared" si="0"/>
        <v>10</v>
      </c>
      <c r="X13" s="13">
        <v>2</v>
      </c>
      <c r="Y13" s="16" t="s">
        <v>34</v>
      </c>
      <c r="Z13" s="13" t="s">
        <v>37</v>
      </c>
      <c r="AA13" s="7" t="s">
        <v>19</v>
      </c>
      <c r="AB13" s="71">
        <v>9</v>
      </c>
    </row>
    <row r="14" spans="2:28">
      <c r="B14" s="11">
        <v>2</v>
      </c>
      <c r="C14" s="11" t="s">
        <v>27</v>
      </c>
      <c r="D14" s="12" t="s">
        <v>41</v>
      </c>
      <c r="E14" s="7" t="s">
        <v>19</v>
      </c>
      <c r="F14" s="7" t="s">
        <v>19</v>
      </c>
      <c r="G14" s="7" t="s">
        <v>19</v>
      </c>
      <c r="H14" s="7" t="s">
        <v>19</v>
      </c>
      <c r="I14" s="7" t="s">
        <v>19</v>
      </c>
      <c r="J14" s="7" t="s">
        <v>19</v>
      </c>
      <c r="K14" s="7" t="s">
        <v>19</v>
      </c>
      <c r="L14" s="7" t="s">
        <v>19</v>
      </c>
      <c r="M14" s="7" t="s">
        <v>19</v>
      </c>
      <c r="N14" s="7" t="s">
        <v>19</v>
      </c>
      <c r="O14" s="7" t="s">
        <v>19</v>
      </c>
      <c r="P14" s="7" t="s">
        <v>19</v>
      </c>
      <c r="Q14" s="7" t="s">
        <v>19</v>
      </c>
      <c r="R14" s="7" t="s">
        <v>19</v>
      </c>
      <c r="S14" s="7" t="s">
        <v>19</v>
      </c>
      <c r="T14" s="71">
        <f t="shared" si="0"/>
        <v>15</v>
      </c>
      <c r="X14" s="17">
        <v>2</v>
      </c>
      <c r="Y14" s="18" t="s">
        <v>39</v>
      </c>
      <c r="Z14" s="17" t="s">
        <v>51</v>
      </c>
      <c r="AA14" s="7" t="s">
        <v>19</v>
      </c>
      <c r="AB14" s="71">
        <v>13</v>
      </c>
    </row>
    <row r="15" spans="2:28">
      <c r="B15" s="12">
        <v>2</v>
      </c>
      <c r="C15" s="11" t="s">
        <v>27</v>
      </c>
      <c r="D15" s="12" t="s">
        <v>28</v>
      </c>
      <c r="E15" s="7" t="s">
        <v>19</v>
      </c>
      <c r="F15" s="7" t="s">
        <v>19</v>
      </c>
      <c r="G15" s="7" t="s">
        <v>19</v>
      </c>
      <c r="H15" s="7" t="s">
        <v>19</v>
      </c>
      <c r="I15" s="7" t="s">
        <v>19</v>
      </c>
      <c r="J15" s="7"/>
      <c r="K15" s="7" t="s">
        <v>19</v>
      </c>
      <c r="L15" s="7" t="s">
        <v>19</v>
      </c>
      <c r="M15" s="7" t="s">
        <v>19</v>
      </c>
      <c r="N15" s="7" t="s">
        <v>19</v>
      </c>
      <c r="O15" s="7" t="s">
        <v>19</v>
      </c>
      <c r="P15" s="7" t="s">
        <v>19</v>
      </c>
      <c r="Q15" s="7" t="s">
        <v>19</v>
      </c>
      <c r="R15" s="7" t="s">
        <v>19</v>
      </c>
      <c r="S15" s="7"/>
      <c r="T15" s="71">
        <f t="shared" si="0"/>
        <v>13</v>
      </c>
      <c r="X15" s="4">
        <v>2</v>
      </c>
      <c r="Y15" s="18" t="s">
        <v>39</v>
      </c>
      <c r="Z15" s="69" t="s">
        <v>52</v>
      </c>
      <c r="AA15" s="7" t="s">
        <v>19</v>
      </c>
      <c r="AB15" s="71">
        <v>13</v>
      </c>
    </row>
    <row r="16" spans="2:28">
      <c r="B16" s="19">
        <v>2</v>
      </c>
      <c r="C16" s="15" t="s">
        <v>30</v>
      </c>
      <c r="D16" s="5" t="s">
        <v>42</v>
      </c>
      <c r="E16" s="7" t="s">
        <v>19</v>
      </c>
      <c r="F16" s="7" t="s">
        <v>19</v>
      </c>
      <c r="G16" s="7" t="s">
        <v>19</v>
      </c>
      <c r="H16" s="7" t="s">
        <v>19</v>
      </c>
      <c r="I16" s="7" t="s">
        <v>19</v>
      </c>
      <c r="J16" s="7" t="s">
        <v>19</v>
      </c>
      <c r="K16" s="7" t="s">
        <v>19</v>
      </c>
      <c r="L16" s="7" t="s">
        <v>19</v>
      </c>
      <c r="M16" s="7" t="s">
        <v>19</v>
      </c>
      <c r="N16" s="7" t="s">
        <v>19</v>
      </c>
      <c r="O16" s="7" t="s">
        <v>19</v>
      </c>
      <c r="P16" s="7" t="s">
        <v>19</v>
      </c>
      <c r="Q16" s="7" t="s">
        <v>19</v>
      </c>
      <c r="R16" s="7" t="s">
        <v>19</v>
      </c>
      <c r="S16" s="7" t="s">
        <v>19</v>
      </c>
      <c r="T16" s="71">
        <f t="shared" si="0"/>
        <v>15</v>
      </c>
      <c r="X16" s="17">
        <v>2</v>
      </c>
      <c r="Y16" s="18" t="s">
        <v>39</v>
      </c>
      <c r="Z16" s="17" t="s">
        <v>40</v>
      </c>
      <c r="AA16" s="7" t="s">
        <v>19</v>
      </c>
      <c r="AB16" s="71">
        <v>10</v>
      </c>
    </row>
    <row r="17" spans="2:20">
      <c r="B17" s="5">
        <v>2</v>
      </c>
      <c r="C17" s="15" t="s">
        <v>30</v>
      </c>
      <c r="D17" s="5" t="s">
        <v>43</v>
      </c>
      <c r="E17" s="7" t="s">
        <v>19</v>
      </c>
      <c r="F17" s="7" t="s">
        <v>19</v>
      </c>
      <c r="G17" s="7" t="s">
        <v>19</v>
      </c>
      <c r="H17" s="7" t="s">
        <v>19</v>
      </c>
      <c r="I17" s="7" t="s">
        <v>19</v>
      </c>
      <c r="J17" s="7" t="s">
        <v>19</v>
      </c>
      <c r="K17" s="7" t="s">
        <v>19</v>
      </c>
      <c r="L17" s="7" t="s">
        <v>19</v>
      </c>
      <c r="M17" s="7"/>
      <c r="N17" s="7" t="s">
        <v>19</v>
      </c>
      <c r="O17" s="7" t="s">
        <v>19</v>
      </c>
      <c r="P17" s="7" t="s">
        <v>19</v>
      </c>
      <c r="Q17" s="7" t="s">
        <v>19</v>
      </c>
      <c r="R17" s="7" t="s">
        <v>19</v>
      </c>
      <c r="S17" s="7" t="s">
        <v>19</v>
      </c>
      <c r="T17" s="71">
        <f t="shared" si="0"/>
        <v>14</v>
      </c>
    </row>
    <row r="18" spans="2:20">
      <c r="B18" s="5">
        <v>2</v>
      </c>
      <c r="C18" s="15" t="s">
        <v>30</v>
      </c>
      <c r="D18" s="5" t="s">
        <v>31</v>
      </c>
      <c r="E18" s="7" t="s">
        <v>19</v>
      </c>
      <c r="F18" s="7" t="s">
        <v>19</v>
      </c>
      <c r="G18" s="7" t="s">
        <v>19</v>
      </c>
      <c r="H18" s="7" t="s">
        <v>19</v>
      </c>
      <c r="I18" s="7" t="s">
        <v>19</v>
      </c>
      <c r="J18" s="7" t="s">
        <v>19</v>
      </c>
      <c r="K18" s="7" t="s">
        <v>19</v>
      </c>
      <c r="L18" s="7" t="s">
        <v>19</v>
      </c>
      <c r="M18" s="7" t="s">
        <v>19</v>
      </c>
      <c r="N18" s="7" t="s">
        <v>19</v>
      </c>
      <c r="O18" s="7" t="s">
        <v>19</v>
      </c>
      <c r="P18" s="7"/>
      <c r="Q18" s="7" t="s">
        <v>19</v>
      </c>
      <c r="R18" s="7" t="s">
        <v>19</v>
      </c>
      <c r="S18" s="7"/>
      <c r="T18" s="71">
        <f t="shared" si="0"/>
        <v>13</v>
      </c>
    </row>
    <row r="19" spans="2:20">
      <c r="B19" s="5">
        <v>2</v>
      </c>
      <c r="C19" s="15" t="s">
        <v>30</v>
      </c>
      <c r="D19" s="5" t="s">
        <v>33</v>
      </c>
      <c r="E19" s="7" t="s">
        <v>19</v>
      </c>
      <c r="F19" s="7" t="s">
        <v>19</v>
      </c>
      <c r="G19" s="7" t="s">
        <v>19</v>
      </c>
      <c r="H19" s="7" t="s">
        <v>19</v>
      </c>
      <c r="I19" s="7" t="s">
        <v>19</v>
      </c>
      <c r="J19" s="7"/>
      <c r="K19" s="7" t="s">
        <v>19</v>
      </c>
      <c r="L19" s="7" t="s">
        <v>19</v>
      </c>
      <c r="M19" s="7"/>
      <c r="N19" s="7" t="s">
        <v>19</v>
      </c>
      <c r="O19" s="7" t="s">
        <v>19</v>
      </c>
      <c r="P19" s="7" t="s">
        <v>19</v>
      </c>
      <c r="Q19" s="7" t="s">
        <v>19</v>
      </c>
      <c r="R19" s="7" t="s">
        <v>19</v>
      </c>
      <c r="S19" s="7"/>
      <c r="T19" s="71">
        <f t="shared" si="0"/>
        <v>12</v>
      </c>
    </row>
    <row r="20" spans="2:20">
      <c r="B20" s="16">
        <v>2</v>
      </c>
      <c r="C20" s="16" t="s">
        <v>34</v>
      </c>
      <c r="D20" s="13" t="s">
        <v>44</v>
      </c>
      <c r="E20" s="7" t="s">
        <v>19</v>
      </c>
      <c r="F20" s="7" t="s">
        <v>19</v>
      </c>
      <c r="G20" s="7" t="s">
        <v>19</v>
      </c>
      <c r="H20" s="7" t="s">
        <v>19</v>
      </c>
      <c r="I20" s="7" t="s">
        <v>19</v>
      </c>
      <c r="J20" s="7" t="s">
        <v>19</v>
      </c>
      <c r="K20" s="7" t="s">
        <v>19</v>
      </c>
      <c r="L20" s="7" t="s">
        <v>19</v>
      </c>
      <c r="M20" s="7" t="s">
        <v>19</v>
      </c>
      <c r="N20" s="7" t="s">
        <v>19</v>
      </c>
      <c r="O20" s="7" t="s">
        <v>19</v>
      </c>
      <c r="P20" s="7" t="s">
        <v>19</v>
      </c>
      <c r="Q20" s="7" t="s">
        <v>19</v>
      </c>
      <c r="R20" s="7" t="s">
        <v>19</v>
      </c>
      <c r="S20" s="7" t="s">
        <v>19</v>
      </c>
      <c r="T20" s="71">
        <f t="shared" si="0"/>
        <v>15</v>
      </c>
    </row>
    <row r="21" spans="2:20">
      <c r="B21" s="13">
        <v>2</v>
      </c>
      <c r="C21" s="16" t="s">
        <v>34</v>
      </c>
      <c r="D21" s="13" t="s">
        <v>45</v>
      </c>
      <c r="E21" s="7" t="s">
        <v>19</v>
      </c>
      <c r="F21" s="7" t="s">
        <v>19</v>
      </c>
      <c r="G21" s="7" t="s">
        <v>19</v>
      </c>
      <c r="H21" s="7" t="s">
        <v>19</v>
      </c>
      <c r="I21" s="7" t="s">
        <v>19</v>
      </c>
      <c r="J21" s="7" t="s">
        <v>19</v>
      </c>
      <c r="K21" s="7" t="s">
        <v>19</v>
      </c>
      <c r="L21" s="7" t="s">
        <v>19</v>
      </c>
      <c r="M21" s="7" t="s">
        <v>19</v>
      </c>
      <c r="N21" s="7" t="s">
        <v>19</v>
      </c>
      <c r="O21" s="7" t="s">
        <v>19</v>
      </c>
      <c r="P21" s="7" t="s">
        <v>19</v>
      </c>
      <c r="Q21" s="7" t="s">
        <v>19</v>
      </c>
      <c r="R21" s="7" t="s">
        <v>19</v>
      </c>
      <c r="S21" s="7" t="s">
        <v>19</v>
      </c>
      <c r="T21" s="71">
        <f t="shared" si="0"/>
        <v>15</v>
      </c>
    </row>
    <row r="22" spans="2:20">
      <c r="B22" s="12">
        <v>2</v>
      </c>
      <c r="C22" s="11" t="s">
        <v>34</v>
      </c>
      <c r="D22" s="12" t="s">
        <v>46</v>
      </c>
      <c r="E22" s="7" t="s">
        <v>19</v>
      </c>
      <c r="F22" s="7"/>
      <c r="G22" s="7" t="s">
        <v>19</v>
      </c>
      <c r="H22" s="7" t="s">
        <v>19</v>
      </c>
      <c r="I22" s="7" t="s">
        <v>19</v>
      </c>
      <c r="J22" s="7" t="s">
        <v>19</v>
      </c>
      <c r="K22" s="7" t="s">
        <v>19</v>
      </c>
      <c r="L22" s="7" t="s">
        <v>19</v>
      </c>
      <c r="M22" s="7" t="s">
        <v>19</v>
      </c>
      <c r="N22" s="7" t="s">
        <v>19</v>
      </c>
      <c r="O22" s="7" t="s">
        <v>19</v>
      </c>
      <c r="P22" s="7" t="s">
        <v>19</v>
      </c>
      <c r="Q22" s="7" t="s">
        <v>19</v>
      </c>
      <c r="R22" s="7" t="s">
        <v>19</v>
      </c>
      <c r="S22" s="7" t="s">
        <v>19</v>
      </c>
      <c r="T22" s="71">
        <f t="shared" si="0"/>
        <v>14</v>
      </c>
    </row>
    <row r="23" spans="2:20">
      <c r="B23" s="13">
        <v>2</v>
      </c>
      <c r="C23" s="16" t="s">
        <v>34</v>
      </c>
      <c r="D23" s="13" t="s">
        <v>35</v>
      </c>
      <c r="E23" s="7" t="s">
        <v>19</v>
      </c>
      <c r="F23" s="7" t="s">
        <v>19</v>
      </c>
      <c r="G23" s="7"/>
      <c r="H23" s="7" t="s">
        <v>19</v>
      </c>
      <c r="I23" s="7"/>
      <c r="J23" s="7"/>
      <c r="K23" s="7" t="s">
        <v>19</v>
      </c>
      <c r="L23" s="7" t="s">
        <v>19</v>
      </c>
      <c r="M23" s="7" t="s">
        <v>19</v>
      </c>
      <c r="N23" s="7" t="s">
        <v>19</v>
      </c>
      <c r="O23" s="7" t="s">
        <v>19</v>
      </c>
      <c r="P23" s="7" t="s">
        <v>19</v>
      </c>
      <c r="Q23" s="7" t="s">
        <v>19</v>
      </c>
      <c r="R23" s="7" t="s">
        <v>19</v>
      </c>
      <c r="S23" s="7" t="s">
        <v>19</v>
      </c>
      <c r="T23" s="71">
        <f t="shared" si="0"/>
        <v>12</v>
      </c>
    </row>
    <row r="24" spans="2:20">
      <c r="B24" s="13">
        <v>2</v>
      </c>
      <c r="C24" s="16" t="s">
        <v>34</v>
      </c>
      <c r="D24" s="13" t="s">
        <v>37</v>
      </c>
      <c r="E24" s="7"/>
      <c r="F24" s="7" t="s">
        <v>19</v>
      </c>
      <c r="G24" s="7" t="s">
        <v>19</v>
      </c>
      <c r="H24" s="7"/>
      <c r="I24" s="7" t="s">
        <v>19</v>
      </c>
      <c r="J24" s="7"/>
      <c r="K24" s="7" t="s">
        <v>19</v>
      </c>
      <c r="L24" s="7"/>
      <c r="M24" s="7"/>
      <c r="N24" s="7"/>
      <c r="O24" s="7" t="s">
        <v>19</v>
      </c>
      <c r="P24" s="7" t="s">
        <v>19</v>
      </c>
      <c r="Q24" s="7" t="s">
        <v>19</v>
      </c>
      <c r="R24" s="7" t="s">
        <v>19</v>
      </c>
      <c r="S24" s="7" t="s">
        <v>19</v>
      </c>
      <c r="T24" s="71">
        <f t="shared" si="0"/>
        <v>9</v>
      </c>
    </row>
    <row r="25" spans="2:20">
      <c r="B25" s="18">
        <v>2</v>
      </c>
      <c r="C25" s="18" t="s">
        <v>39</v>
      </c>
      <c r="D25" s="17" t="s">
        <v>47</v>
      </c>
      <c r="E25" s="7" t="s">
        <v>19</v>
      </c>
      <c r="F25" s="7" t="s">
        <v>19</v>
      </c>
      <c r="G25" s="7" t="s">
        <v>19</v>
      </c>
      <c r="H25" s="7" t="s">
        <v>19</v>
      </c>
      <c r="I25" s="7" t="s">
        <v>19</v>
      </c>
      <c r="J25" s="7" t="s">
        <v>19</v>
      </c>
      <c r="K25" s="7" t="s">
        <v>19</v>
      </c>
      <c r="L25" s="7" t="s">
        <v>19</v>
      </c>
      <c r="M25" s="7" t="s">
        <v>19</v>
      </c>
      <c r="N25" s="7" t="s">
        <v>19</v>
      </c>
      <c r="O25" s="7" t="s">
        <v>19</v>
      </c>
      <c r="P25" s="7" t="s">
        <v>19</v>
      </c>
      <c r="Q25" s="7" t="s">
        <v>19</v>
      </c>
      <c r="R25" s="7" t="s">
        <v>19</v>
      </c>
      <c r="S25" s="7" t="s">
        <v>19</v>
      </c>
      <c r="T25" s="71">
        <f t="shared" si="0"/>
        <v>15</v>
      </c>
    </row>
    <row r="26" spans="2:20">
      <c r="B26" s="17">
        <v>2</v>
      </c>
      <c r="C26" s="18" t="s">
        <v>39</v>
      </c>
      <c r="D26" s="17" t="s">
        <v>48</v>
      </c>
      <c r="E26" s="7" t="s">
        <v>19</v>
      </c>
      <c r="F26" s="7" t="s">
        <v>19</v>
      </c>
      <c r="G26" s="7" t="s">
        <v>19</v>
      </c>
      <c r="H26" s="7" t="s">
        <v>19</v>
      </c>
      <c r="I26" s="7" t="s">
        <v>19</v>
      </c>
      <c r="J26" s="7" t="s">
        <v>19</v>
      </c>
      <c r="K26" s="7" t="s">
        <v>19</v>
      </c>
      <c r="L26" s="7" t="s">
        <v>19</v>
      </c>
      <c r="M26" s="7" t="s">
        <v>19</v>
      </c>
      <c r="N26" s="7" t="s">
        <v>19</v>
      </c>
      <c r="O26" s="7" t="s">
        <v>19</v>
      </c>
      <c r="P26" s="7" t="s">
        <v>19</v>
      </c>
      <c r="Q26" s="7" t="s">
        <v>19</v>
      </c>
      <c r="R26" s="7" t="s">
        <v>19</v>
      </c>
      <c r="S26" s="7" t="s">
        <v>19</v>
      </c>
      <c r="T26" s="71">
        <f t="shared" si="0"/>
        <v>15</v>
      </c>
    </row>
    <row r="27" spans="2:20">
      <c r="B27" s="17">
        <v>2</v>
      </c>
      <c r="C27" s="18" t="s">
        <v>39</v>
      </c>
      <c r="D27" s="17" t="s">
        <v>49</v>
      </c>
      <c r="E27" s="7" t="s">
        <v>19</v>
      </c>
      <c r="F27" s="7" t="s">
        <v>19</v>
      </c>
      <c r="G27" s="7" t="s">
        <v>19</v>
      </c>
      <c r="H27" s="7" t="s">
        <v>19</v>
      </c>
      <c r="I27" s="7" t="s">
        <v>19</v>
      </c>
      <c r="J27" s="7" t="s">
        <v>19</v>
      </c>
      <c r="K27" s="7" t="s">
        <v>19</v>
      </c>
      <c r="L27" s="7" t="s">
        <v>19</v>
      </c>
      <c r="M27" s="7" t="s">
        <v>19</v>
      </c>
      <c r="N27" s="7" t="s">
        <v>19</v>
      </c>
      <c r="O27" s="7" t="s">
        <v>19</v>
      </c>
      <c r="P27" s="7" t="s">
        <v>19</v>
      </c>
      <c r="Q27" s="7" t="s">
        <v>19</v>
      </c>
      <c r="R27" s="7" t="s">
        <v>19</v>
      </c>
      <c r="S27" s="7" t="s">
        <v>19</v>
      </c>
      <c r="T27" s="71">
        <f t="shared" si="0"/>
        <v>15</v>
      </c>
    </row>
    <row r="28" spans="2:20">
      <c r="B28" s="17">
        <v>2</v>
      </c>
      <c r="C28" s="18" t="s">
        <v>39</v>
      </c>
      <c r="D28" s="17" t="s">
        <v>50</v>
      </c>
      <c r="E28" s="7" t="s">
        <v>19</v>
      </c>
      <c r="F28" s="7" t="s">
        <v>19</v>
      </c>
      <c r="G28" s="7" t="s">
        <v>19</v>
      </c>
      <c r="H28" s="7" t="s">
        <v>19</v>
      </c>
      <c r="I28" s="7" t="s">
        <v>19</v>
      </c>
      <c r="J28" s="7"/>
      <c r="K28" s="7" t="s">
        <v>19</v>
      </c>
      <c r="L28" s="7" t="s">
        <v>19</v>
      </c>
      <c r="M28" s="7" t="s">
        <v>19</v>
      </c>
      <c r="N28" s="7" t="s">
        <v>19</v>
      </c>
      <c r="O28" s="7" t="s">
        <v>19</v>
      </c>
      <c r="P28" s="7" t="s">
        <v>19</v>
      </c>
      <c r="Q28" s="7" t="s">
        <v>19</v>
      </c>
      <c r="R28" s="7" t="s">
        <v>19</v>
      </c>
      <c r="S28" s="7" t="s">
        <v>19</v>
      </c>
      <c r="T28" s="71">
        <f t="shared" si="0"/>
        <v>14</v>
      </c>
    </row>
    <row r="29" spans="2:20">
      <c r="B29" s="17">
        <v>2</v>
      </c>
      <c r="C29" s="18" t="s">
        <v>39</v>
      </c>
      <c r="D29" s="17" t="s">
        <v>51</v>
      </c>
      <c r="E29" s="7"/>
      <c r="F29" s="7" t="s">
        <v>19</v>
      </c>
      <c r="G29" s="7" t="s">
        <v>19</v>
      </c>
      <c r="H29" s="7" t="s">
        <v>19</v>
      </c>
      <c r="I29" s="7"/>
      <c r="J29" s="7" t="s">
        <v>19</v>
      </c>
      <c r="K29" s="7" t="s">
        <v>19</v>
      </c>
      <c r="L29" s="7" t="s">
        <v>19</v>
      </c>
      <c r="M29" s="7" t="s">
        <v>19</v>
      </c>
      <c r="N29" s="7" t="s">
        <v>19</v>
      </c>
      <c r="O29" s="7" t="s">
        <v>19</v>
      </c>
      <c r="P29" s="7" t="s">
        <v>19</v>
      </c>
      <c r="Q29" s="7" t="s">
        <v>19</v>
      </c>
      <c r="R29" s="7" t="s">
        <v>19</v>
      </c>
      <c r="S29" s="7" t="s">
        <v>19</v>
      </c>
      <c r="T29" s="71">
        <f t="shared" si="0"/>
        <v>13</v>
      </c>
    </row>
    <row r="30" spans="2:20">
      <c r="B30" s="4">
        <v>2</v>
      </c>
      <c r="C30" s="18" t="s">
        <v>39</v>
      </c>
      <c r="D30" s="69" t="s">
        <v>52</v>
      </c>
      <c r="E30" s="7"/>
      <c r="F30" s="7"/>
      <c r="G30" s="7" t="s">
        <v>19</v>
      </c>
      <c r="H30" s="7" t="s">
        <v>19</v>
      </c>
      <c r="I30" s="7" t="s">
        <v>19</v>
      </c>
      <c r="J30" s="7" t="s">
        <v>19</v>
      </c>
      <c r="K30" s="7" t="s">
        <v>19</v>
      </c>
      <c r="L30" s="7" t="s">
        <v>19</v>
      </c>
      <c r="M30" s="7" t="s">
        <v>19</v>
      </c>
      <c r="N30" s="7" t="s">
        <v>19</v>
      </c>
      <c r="O30" s="7" t="s">
        <v>19</v>
      </c>
      <c r="P30" s="7" t="s">
        <v>19</v>
      </c>
      <c r="Q30" s="7" t="s">
        <v>19</v>
      </c>
      <c r="R30" s="7" t="s">
        <v>19</v>
      </c>
      <c r="S30" s="7" t="s">
        <v>19</v>
      </c>
      <c r="T30" s="71">
        <f t="shared" si="0"/>
        <v>13</v>
      </c>
    </row>
    <row r="31" spans="2:20">
      <c r="B31" s="17">
        <v>2</v>
      </c>
      <c r="C31" s="18" t="s">
        <v>39</v>
      </c>
      <c r="D31" s="17" t="s">
        <v>40</v>
      </c>
      <c r="E31" s="7" t="s">
        <v>19</v>
      </c>
      <c r="F31" s="7" t="s">
        <v>19</v>
      </c>
      <c r="G31" s="7" t="s">
        <v>19</v>
      </c>
      <c r="H31" s="7" t="s">
        <v>19</v>
      </c>
      <c r="I31" s="7"/>
      <c r="J31" s="7" t="s">
        <v>19</v>
      </c>
      <c r="K31" s="7" t="s">
        <v>19</v>
      </c>
      <c r="L31" s="7" t="s">
        <v>19</v>
      </c>
      <c r="M31" s="7"/>
      <c r="N31" s="7"/>
      <c r="O31" s="7" t="s">
        <v>19</v>
      </c>
      <c r="P31" s="7" t="s">
        <v>19</v>
      </c>
      <c r="Q31" s="7"/>
      <c r="R31" s="7"/>
      <c r="S31" s="7" t="s">
        <v>19</v>
      </c>
      <c r="T31" s="71">
        <f t="shared" si="0"/>
        <v>10</v>
      </c>
    </row>
  </sheetData>
  <sheetProtection formatCells="0"/>
  <customSheetViews>
    <customSheetView guid="{4FA91318-F568-4C4C-93A1-CBAB7D8E6C44}">
      <selection activeCell="G7" sqref="G7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E3:S31">
    <cfRule type="expression" dxfId="0" priority="1">
      <formula>AND(ISODD(COLUMN(E$3)),ISODD(MONTH(E$3)))</formula>
    </cfRule>
  </conditionalFormatting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3:T31"/>
  <sheetViews>
    <sheetView windowProtection="1" view="pageBreakPreview" zoomScaleNormal="100" zoomScaleSheetLayoutView="100" workbookViewId="0">
      <selection activeCell="E4" sqref="E4:T31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0">
      <c r="B3" s="72" t="s">
        <v>14</v>
      </c>
      <c r="C3" s="73" t="s">
        <v>15</v>
      </c>
      <c r="D3" s="73" t="s">
        <v>16</v>
      </c>
      <c r="E3" s="74">
        <v>42432</v>
      </c>
      <c r="F3" s="74">
        <v>42439</v>
      </c>
      <c r="G3" s="74">
        <v>42446</v>
      </c>
      <c r="H3" s="74">
        <v>42453</v>
      </c>
      <c r="I3" s="74">
        <v>42460</v>
      </c>
      <c r="J3" s="74">
        <v>42467</v>
      </c>
      <c r="K3" s="74">
        <v>42474</v>
      </c>
      <c r="L3" s="74">
        <v>42481</v>
      </c>
      <c r="M3" s="74">
        <v>42488</v>
      </c>
      <c r="N3" s="74">
        <v>42495</v>
      </c>
      <c r="O3" s="74">
        <v>42502</v>
      </c>
      <c r="P3" s="74">
        <v>42509</v>
      </c>
      <c r="Q3" s="74">
        <v>42516</v>
      </c>
      <c r="R3" s="74">
        <v>42523</v>
      </c>
      <c r="S3" s="74">
        <v>42530</v>
      </c>
      <c r="T3" s="72" t="s">
        <v>53</v>
      </c>
    </row>
    <row r="4" spans="2:20">
      <c r="B4" s="75">
        <v>2</v>
      </c>
      <c r="C4" s="76" t="s">
        <v>30</v>
      </c>
      <c r="D4" s="77" t="s">
        <v>42</v>
      </c>
      <c r="E4" s="102" t="s">
        <v>19</v>
      </c>
      <c r="F4" s="102" t="s">
        <v>19</v>
      </c>
      <c r="G4" s="102" t="s">
        <v>19</v>
      </c>
      <c r="H4" s="102" t="s">
        <v>19</v>
      </c>
      <c r="I4" s="102" t="s">
        <v>19</v>
      </c>
      <c r="J4" s="102" t="s">
        <v>19</v>
      </c>
      <c r="K4" s="102" t="s">
        <v>19</v>
      </c>
      <c r="L4" s="102" t="s">
        <v>19</v>
      </c>
      <c r="M4" s="102" t="s">
        <v>19</v>
      </c>
      <c r="N4" s="102" t="s">
        <v>19</v>
      </c>
      <c r="O4" s="102" t="s">
        <v>19</v>
      </c>
      <c r="P4" s="102" t="s">
        <v>19</v>
      </c>
      <c r="Q4" s="102" t="s">
        <v>19</v>
      </c>
      <c r="R4" s="102" t="s">
        <v>19</v>
      </c>
      <c r="S4" s="102" t="s">
        <v>19</v>
      </c>
      <c r="T4" s="103">
        <f t="shared" ref="T4:T31" si="0">COUNTA(E4:S4)</f>
        <v>15</v>
      </c>
    </row>
    <row r="5" spans="2:20">
      <c r="B5" s="78">
        <v>2</v>
      </c>
      <c r="C5" s="78" t="s">
        <v>39</v>
      </c>
      <c r="D5" s="79" t="s">
        <v>47</v>
      </c>
      <c r="E5" s="102" t="s">
        <v>19</v>
      </c>
      <c r="F5" s="102" t="s">
        <v>19</v>
      </c>
      <c r="G5" s="102" t="s">
        <v>19</v>
      </c>
      <c r="H5" s="102" t="s">
        <v>19</v>
      </c>
      <c r="I5" s="102" t="s">
        <v>19</v>
      </c>
      <c r="J5" s="102" t="s">
        <v>19</v>
      </c>
      <c r="K5" s="102" t="s">
        <v>19</v>
      </c>
      <c r="L5" s="102" t="s">
        <v>19</v>
      </c>
      <c r="M5" s="102" t="s">
        <v>19</v>
      </c>
      <c r="N5" s="102" t="s">
        <v>19</v>
      </c>
      <c r="O5" s="102" t="s">
        <v>19</v>
      </c>
      <c r="P5" s="102" t="s">
        <v>19</v>
      </c>
      <c r="Q5" s="102" t="s">
        <v>19</v>
      </c>
      <c r="R5" s="102" t="s">
        <v>19</v>
      </c>
      <c r="S5" s="102" t="s">
        <v>19</v>
      </c>
      <c r="T5" s="103">
        <f t="shared" si="0"/>
        <v>15</v>
      </c>
    </row>
    <row r="6" spans="2:20">
      <c r="B6" s="80">
        <v>2</v>
      </c>
      <c r="C6" s="78" t="s">
        <v>39</v>
      </c>
      <c r="D6" s="81" t="s">
        <v>52</v>
      </c>
      <c r="E6" s="102"/>
      <c r="F6" s="102"/>
      <c r="G6" s="102" t="s">
        <v>19</v>
      </c>
      <c r="H6" s="102" t="s">
        <v>19</v>
      </c>
      <c r="I6" s="102" t="s">
        <v>19</v>
      </c>
      <c r="J6" s="102" t="s">
        <v>19</v>
      </c>
      <c r="K6" s="102" t="s">
        <v>19</v>
      </c>
      <c r="L6" s="102" t="s">
        <v>19</v>
      </c>
      <c r="M6" s="102" t="s">
        <v>19</v>
      </c>
      <c r="N6" s="102" t="s">
        <v>19</v>
      </c>
      <c r="O6" s="102" t="s">
        <v>19</v>
      </c>
      <c r="P6" s="102" t="s">
        <v>19</v>
      </c>
      <c r="Q6" s="102" t="s">
        <v>19</v>
      </c>
      <c r="R6" s="102" t="s">
        <v>19</v>
      </c>
      <c r="S6" s="102" t="s">
        <v>19</v>
      </c>
      <c r="T6" s="103">
        <f t="shared" si="0"/>
        <v>13</v>
      </c>
    </row>
    <row r="7" spans="2:20">
      <c r="B7" s="82">
        <v>1</v>
      </c>
      <c r="C7" s="83" t="s">
        <v>22</v>
      </c>
      <c r="D7" s="82" t="s">
        <v>32</v>
      </c>
      <c r="E7" s="102" t="s">
        <v>19</v>
      </c>
      <c r="F7" s="102" t="s">
        <v>19</v>
      </c>
      <c r="G7" s="102" t="s">
        <v>19</v>
      </c>
      <c r="H7" s="102" t="s">
        <v>19</v>
      </c>
      <c r="I7" s="102" t="s">
        <v>19</v>
      </c>
      <c r="J7" s="102" t="s">
        <v>19</v>
      </c>
      <c r="K7" s="102"/>
      <c r="L7" s="102"/>
      <c r="M7" s="102" t="s">
        <v>19</v>
      </c>
      <c r="N7" s="102" t="s">
        <v>19</v>
      </c>
      <c r="O7" s="102" t="s">
        <v>19</v>
      </c>
      <c r="P7" s="102" t="s">
        <v>19</v>
      </c>
      <c r="Q7" s="102" t="s">
        <v>19</v>
      </c>
      <c r="R7" s="102" t="s">
        <v>19</v>
      </c>
      <c r="S7" s="102" t="s">
        <v>19</v>
      </c>
      <c r="T7" s="103">
        <f t="shared" si="0"/>
        <v>13</v>
      </c>
    </row>
    <row r="8" spans="2:20">
      <c r="B8" s="77">
        <v>1</v>
      </c>
      <c r="C8" s="84" t="s">
        <v>17</v>
      </c>
      <c r="D8" s="77" t="s">
        <v>18</v>
      </c>
      <c r="E8" s="102" t="s">
        <v>19</v>
      </c>
      <c r="F8" s="102" t="s">
        <v>19</v>
      </c>
      <c r="G8" s="102" t="s">
        <v>19</v>
      </c>
      <c r="H8" s="102" t="s">
        <v>19</v>
      </c>
      <c r="I8" s="102" t="s">
        <v>19</v>
      </c>
      <c r="J8" s="102" t="s">
        <v>19</v>
      </c>
      <c r="K8" s="102" t="s">
        <v>19</v>
      </c>
      <c r="L8" s="102" t="s">
        <v>19</v>
      </c>
      <c r="M8" s="102" t="s">
        <v>19</v>
      </c>
      <c r="N8" s="102" t="s">
        <v>19</v>
      </c>
      <c r="O8" s="102" t="s">
        <v>19</v>
      </c>
      <c r="P8" s="102" t="s">
        <v>19</v>
      </c>
      <c r="Q8" s="102" t="s">
        <v>19</v>
      </c>
      <c r="R8" s="102" t="s">
        <v>19</v>
      </c>
      <c r="S8" s="102" t="s">
        <v>19</v>
      </c>
      <c r="T8" s="103">
        <f t="shared" si="0"/>
        <v>15</v>
      </c>
    </row>
    <row r="9" spans="2:20">
      <c r="B9" s="85">
        <v>1</v>
      </c>
      <c r="C9" s="85" t="s">
        <v>24</v>
      </c>
      <c r="D9" s="85" t="s">
        <v>25</v>
      </c>
      <c r="E9" s="102" t="s">
        <v>19</v>
      </c>
      <c r="F9" s="102" t="s">
        <v>19</v>
      </c>
      <c r="G9" s="102" t="s">
        <v>19</v>
      </c>
      <c r="H9" s="102"/>
      <c r="I9" s="102" t="s">
        <v>19</v>
      </c>
      <c r="J9" s="102"/>
      <c r="K9" s="102"/>
      <c r="L9" s="102"/>
      <c r="M9" s="102" t="s">
        <v>19</v>
      </c>
      <c r="N9" s="102"/>
      <c r="O9" s="102" t="s">
        <v>19</v>
      </c>
      <c r="P9" s="102" t="s">
        <v>19</v>
      </c>
      <c r="Q9" s="102" t="s">
        <v>19</v>
      </c>
      <c r="R9" s="102" t="s">
        <v>19</v>
      </c>
      <c r="S9" s="102" t="s">
        <v>19</v>
      </c>
      <c r="T9" s="103">
        <f t="shared" si="0"/>
        <v>10</v>
      </c>
    </row>
    <row r="10" spans="2:20">
      <c r="B10" s="77">
        <v>1</v>
      </c>
      <c r="C10" s="84" t="s">
        <v>17</v>
      </c>
      <c r="D10" s="77" t="s">
        <v>20</v>
      </c>
      <c r="E10" s="102"/>
      <c r="F10" s="102" t="s">
        <v>19</v>
      </c>
      <c r="G10" s="102" t="s">
        <v>19</v>
      </c>
      <c r="H10" s="102" t="s">
        <v>19</v>
      </c>
      <c r="I10" s="102" t="s">
        <v>19</v>
      </c>
      <c r="J10" s="102" t="s">
        <v>19</v>
      </c>
      <c r="K10" s="102" t="s">
        <v>19</v>
      </c>
      <c r="L10" s="102" t="s">
        <v>19</v>
      </c>
      <c r="M10" s="102" t="s">
        <v>19</v>
      </c>
      <c r="N10" s="102" t="s">
        <v>19</v>
      </c>
      <c r="O10" s="102"/>
      <c r="P10" s="102" t="s">
        <v>19</v>
      </c>
      <c r="Q10" s="102" t="s">
        <v>19</v>
      </c>
      <c r="R10" s="102"/>
      <c r="S10" s="102" t="s">
        <v>19</v>
      </c>
      <c r="T10" s="103">
        <f t="shared" si="0"/>
        <v>12</v>
      </c>
    </row>
    <row r="11" spans="2:20">
      <c r="B11" s="82">
        <v>1</v>
      </c>
      <c r="C11" s="83" t="s">
        <v>22</v>
      </c>
      <c r="D11" s="86" t="s">
        <v>26</v>
      </c>
      <c r="E11" s="102" t="s">
        <v>19</v>
      </c>
      <c r="F11" s="102" t="s">
        <v>19</v>
      </c>
      <c r="G11" s="102" t="s">
        <v>19</v>
      </c>
      <c r="H11" s="102" t="s">
        <v>19</v>
      </c>
      <c r="I11" s="102" t="s">
        <v>19</v>
      </c>
      <c r="J11" s="102" t="s">
        <v>19</v>
      </c>
      <c r="K11" s="102" t="s">
        <v>19</v>
      </c>
      <c r="L11" s="102" t="s">
        <v>19</v>
      </c>
      <c r="M11" s="102" t="s">
        <v>19</v>
      </c>
      <c r="N11" s="102" t="s">
        <v>19</v>
      </c>
      <c r="O11" s="102" t="s">
        <v>19</v>
      </c>
      <c r="P11" s="102" t="s">
        <v>19</v>
      </c>
      <c r="Q11" s="102" t="s">
        <v>19</v>
      </c>
      <c r="R11" s="102" t="s">
        <v>19</v>
      </c>
      <c r="S11" s="102" t="s">
        <v>19</v>
      </c>
      <c r="T11" s="103">
        <f t="shared" si="0"/>
        <v>15</v>
      </c>
    </row>
    <row r="12" spans="2:20">
      <c r="B12" s="85">
        <v>2</v>
      </c>
      <c r="C12" s="87" t="s">
        <v>34</v>
      </c>
      <c r="D12" s="85" t="s">
        <v>45</v>
      </c>
      <c r="E12" s="102" t="s">
        <v>19</v>
      </c>
      <c r="F12" s="102" t="s">
        <v>19</v>
      </c>
      <c r="G12" s="102" t="s">
        <v>19</v>
      </c>
      <c r="H12" s="102" t="s">
        <v>19</v>
      </c>
      <c r="I12" s="102" t="s">
        <v>19</v>
      </c>
      <c r="J12" s="102" t="s">
        <v>19</v>
      </c>
      <c r="K12" s="102" t="s">
        <v>19</v>
      </c>
      <c r="L12" s="102" t="s">
        <v>19</v>
      </c>
      <c r="M12" s="102" t="s">
        <v>19</v>
      </c>
      <c r="N12" s="102" t="s">
        <v>19</v>
      </c>
      <c r="O12" s="102" t="s">
        <v>19</v>
      </c>
      <c r="P12" s="102" t="s">
        <v>19</v>
      </c>
      <c r="Q12" s="102" t="s">
        <v>19</v>
      </c>
      <c r="R12" s="102" t="s">
        <v>19</v>
      </c>
      <c r="S12" s="102" t="s">
        <v>19</v>
      </c>
      <c r="T12" s="103">
        <f t="shared" si="0"/>
        <v>15</v>
      </c>
    </row>
    <row r="13" spans="2:20">
      <c r="B13" s="82">
        <v>2</v>
      </c>
      <c r="C13" s="83" t="s">
        <v>34</v>
      </c>
      <c r="D13" s="82" t="s">
        <v>46</v>
      </c>
      <c r="E13" s="102" t="s">
        <v>19</v>
      </c>
      <c r="F13" s="102"/>
      <c r="G13" s="102" t="s">
        <v>19</v>
      </c>
      <c r="H13" s="102" t="s">
        <v>19</v>
      </c>
      <c r="I13" s="102" t="s">
        <v>19</v>
      </c>
      <c r="J13" s="102" t="s">
        <v>19</v>
      </c>
      <c r="K13" s="102" t="s">
        <v>19</v>
      </c>
      <c r="L13" s="102" t="s">
        <v>19</v>
      </c>
      <c r="M13" s="102" t="s">
        <v>19</v>
      </c>
      <c r="N13" s="102" t="s">
        <v>19</v>
      </c>
      <c r="O13" s="102" t="s">
        <v>19</v>
      </c>
      <c r="P13" s="102" t="s">
        <v>19</v>
      </c>
      <c r="Q13" s="102" t="s">
        <v>19</v>
      </c>
      <c r="R13" s="102" t="s">
        <v>19</v>
      </c>
      <c r="S13" s="102" t="s">
        <v>19</v>
      </c>
      <c r="T13" s="103">
        <f t="shared" si="0"/>
        <v>14</v>
      </c>
    </row>
    <row r="14" spans="2:20">
      <c r="B14" s="79">
        <v>2</v>
      </c>
      <c r="C14" s="78" t="s">
        <v>39</v>
      </c>
      <c r="D14" s="79" t="s">
        <v>51</v>
      </c>
      <c r="E14" s="102"/>
      <c r="F14" s="102" t="s">
        <v>19</v>
      </c>
      <c r="G14" s="102" t="s">
        <v>19</v>
      </c>
      <c r="H14" s="102" t="s">
        <v>19</v>
      </c>
      <c r="I14" s="102"/>
      <c r="J14" s="102" t="s">
        <v>19</v>
      </c>
      <c r="K14" s="102" t="s">
        <v>19</v>
      </c>
      <c r="L14" s="102" t="s">
        <v>19</v>
      </c>
      <c r="M14" s="102" t="s">
        <v>19</v>
      </c>
      <c r="N14" s="102" t="s">
        <v>19</v>
      </c>
      <c r="O14" s="102" t="s">
        <v>19</v>
      </c>
      <c r="P14" s="102" t="s">
        <v>19</v>
      </c>
      <c r="Q14" s="102" t="s">
        <v>19</v>
      </c>
      <c r="R14" s="102" t="s">
        <v>19</v>
      </c>
      <c r="S14" s="102" t="s">
        <v>19</v>
      </c>
      <c r="T14" s="103">
        <f t="shared" si="0"/>
        <v>13</v>
      </c>
    </row>
    <row r="15" spans="2:20">
      <c r="B15" s="83">
        <v>1</v>
      </c>
      <c r="C15" s="83" t="s">
        <v>22</v>
      </c>
      <c r="D15" s="82" t="s">
        <v>23</v>
      </c>
      <c r="E15" s="102"/>
      <c r="F15" s="102" t="s">
        <v>19</v>
      </c>
      <c r="G15" s="102" t="s">
        <v>19</v>
      </c>
      <c r="H15" s="102" t="s">
        <v>19</v>
      </c>
      <c r="I15" s="102"/>
      <c r="J15" s="102" t="s">
        <v>19</v>
      </c>
      <c r="K15" s="102" t="s">
        <v>19</v>
      </c>
      <c r="L15" s="102" t="s">
        <v>19</v>
      </c>
      <c r="M15" s="102" t="s">
        <v>19</v>
      </c>
      <c r="N15" s="102" t="s">
        <v>19</v>
      </c>
      <c r="O15" s="102"/>
      <c r="P15" s="102" t="s">
        <v>19</v>
      </c>
      <c r="Q15" s="102" t="s">
        <v>19</v>
      </c>
      <c r="R15" s="102"/>
      <c r="S15" s="102" t="s">
        <v>19</v>
      </c>
      <c r="T15" s="103">
        <f t="shared" si="0"/>
        <v>11</v>
      </c>
    </row>
    <row r="16" spans="2:20">
      <c r="B16" s="77">
        <v>2</v>
      </c>
      <c r="C16" s="76" t="s">
        <v>30</v>
      </c>
      <c r="D16" s="77" t="s">
        <v>43</v>
      </c>
      <c r="E16" s="102" t="s">
        <v>19</v>
      </c>
      <c r="F16" s="102" t="s">
        <v>19</v>
      </c>
      <c r="G16" s="102" t="s">
        <v>19</v>
      </c>
      <c r="H16" s="102" t="s">
        <v>19</v>
      </c>
      <c r="I16" s="102" t="s">
        <v>19</v>
      </c>
      <c r="J16" s="102" t="s">
        <v>19</v>
      </c>
      <c r="K16" s="102" t="s">
        <v>19</v>
      </c>
      <c r="L16" s="102" t="s">
        <v>19</v>
      </c>
      <c r="M16" s="102"/>
      <c r="N16" s="102" t="s">
        <v>19</v>
      </c>
      <c r="O16" s="102" t="s">
        <v>19</v>
      </c>
      <c r="P16" s="102" t="s">
        <v>19</v>
      </c>
      <c r="Q16" s="102" t="s">
        <v>19</v>
      </c>
      <c r="R16" s="102" t="s">
        <v>19</v>
      </c>
      <c r="S16" s="102" t="s">
        <v>19</v>
      </c>
      <c r="T16" s="103">
        <f t="shared" si="0"/>
        <v>14</v>
      </c>
    </row>
    <row r="17" spans="2:20">
      <c r="B17" s="87">
        <v>2</v>
      </c>
      <c r="C17" s="87" t="s">
        <v>34</v>
      </c>
      <c r="D17" s="85" t="s">
        <v>44</v>
      </c>
      <c r="E17" s="102" t="s">
        <v>19</v>
      </c>
      <c r="F17" s="102" t="s">
        <v>19</v>
      </c>
      <c r="G17" s="102" t="s">
        <v>19</v>
      </c>
      <c r="H17" s="102" t="s">
        <v>19</v>
      </c>
      <c r="I17" s="102" t="s">
        <v>19</v>
      </c>
      <c r="J17" s="102" t="s">
        <v>19</v>
      </c>
      <c r="K17" s="102" t="s">
        <v>19</v>
      </c>
      <c r="L17" s="102" t="s">
        <v>19</v>
      </c>
      <c r="M17" s="102" t="s">
        <v>19</v>
      </c>
      <c r="N17" s="102" t="s">
        <v>19</v>
      </c>
      <c r="O17" s="102" t="s">
        <v>19</v>
      </c>
      <c r="P17" s="102" t="s">
        <v>19</v>
      </c>
      <c r="Q17" s="102" t="s">
        <v>19</v>
      </c>
      <c r="R17" s="102" t="s">
        <v>19</v>
      </c>
      <c r="S17" s="102" t="s">
        <v>19</v>
      </c>
      <c r="T17" s="103">
        <f t="shared" si="0"/>
        <v>15</v>
      </c>
    </row>
    <row r="18" spans="2:20">
      <c r="B18" s="77">
        <v>2</v>
      </c>
      <c r="C18" s="76" t="s">
        <v>30</v>
      </c>
      <c r="D18" s="77" t="s">
        <v>33</v>
      </c>
      <c r="E18" s="102" t="s">
        <v>19</v>
      </c>
      <c r="F18" s="102" t="s">
        <v>19</v>
      </c>
      <c r="G18" s="102" t="s">
        <v>19</v>
      </c>
      <c r="H18" s="102" t="s">
        <v>19</v>
      </c>
      <c r="I18" s="102" t="s">
        <v>19</v>
      </c>
      <c r="J18" s="102"/>
      <c r="K18" s="102" t="s">
        <v>19</v>
      </c>
      <c r="L18" s="102" t="s">
        <v>19</v>
      </c>
      <c r="M18" s="102"/>
      <c r="N18" s="102" t="s">
        <v>19</v>
      </c>
      <c r="O18" s="102" t="s">
        <v>19</v>
      </c>
      <c r="P18" s="102" t="s">
        <v>19</v>
      </c>
      <c r="Q18" s="102" t="s">
        <v>19</v>
      </c>
      <c r="R18" s="102" t="s">
        <v>19</v>
      </c>
      <c r="S18" s="102"/>
      <c r="T18" s="103">
        <f t="shared" si="0"/>
        <v>12</v>
      </c>
    </row>
    <row r="19" spans="2:20">
      <c r="B19" s="83">
        <v>2</v>
      </c>
      <c r="C19" s="83" t="s">
        <v>27</v>
      </c>
      <c r="D19" s="82" t="s">
        <v>41</v>
      </c>
      <c r="E19" s="102" t="s">
        <v>19</v>
      </c>
      <c r="F19" s="102" t="s">
        <v>19</v>
      </c>
      <c r="G19" s="102" t="s">
        <v>19</v>
      </c>
      <c r="H19" s="102" t="s">
        <v>19</v>
      </c>
      <c r="I19" s="102" t="s">
        <v>19</v>
      </c>
      <c r="J19" s="102" t="s">
        <v>19</v>
      </c>
      <c r="K19" s="102" t="s">
        <v>19</v>
      </c>
      <c r="L19" s="102" t="s">
        <v>19</v>
      </c>
      <c r="M19" s="102" t="s">
        <v>19</v>
      </c>
      <c r="N19" s="102" t="s">
        <v>19</v>
      </c>
      <c r="O19" s="102" t="s">
        <v>19</v>
      </c>
      <c r="P19" s="102" t="s">
        <v>19</v>
      </c>
      <c r="Q19" s="102" t="s">
        <v>19</v>
      </c>
      <c r="R19" s="102" t="s">
        <v>19</v>
      </c>
      <c r="S19" s="102" t="s">
        <v>19</v>
      </c>
      <c r="T19" s="103">
        <f t="shared" si="0"/>
        <v>15</v>
      </c>
    </row>
    <row r="20" spans="2:20">
      <c r="B20" s="82">
        <v>1</v>
      </c>
      <c r="C20" s="83" t="s">
        <v>22</v>
      </c>
      <c r="D20" s="82" t="s">
        <v>29</v>
      </c>
      <c r="E20" s="102"/>
      <c r="F20" s="102" t="s">
        <v>19</v>
      </c>
      <c r="G20" s="102" t="s">
        <v>19</v>
      </c>
      <c r="H20" s="102" t="s">
        <v>19</v>
      </c>
      <c r="I20" s="102" t="s">
        <v>19</v>
      </c>
      <c r="J20" s="102" t="s">
        <v>19</v>
      </c>
      <c r="K20" s="102" t="s">
        <v>19</v>
      </c>
      <c r="L20" s="102" t="s">
        <v>19</v>
      </c>
      <c r="M20" s="102" t="s">
        <v>19</v>
      </c>
      <c r="N20" s="102" t="s">
        <v>19</v>
      </c>
      <c r="O20" s="102" t="s">
        <v>19</v>
      </c>
      <c r="P20" s="102" t="s">
        <v>19</v>
      </c>
      <c r="Q20" s="102" t="s">
        <v>19</v>
      </c>
      <c r="R20" s="102" t="s">
        <v>19</v>
      </c>
      <c r="S20" s="102" t="s">
        <v>19</v>
      </c>
      <c r="T20" s="103">
        <f t="shared" si="0"/>
        <v>14</v>
      </c>
    </row>
    <row r="21" spans="2:20">
      <c r="B21" s="77">
        <v>2</v>
      </c>
      <c r="C21" s="76" t="s">
        <v>30</v>
      </c>
      <c r="D21" s="77" t="s">
        <v>31</v>
      </c>
      <c r="E21" s="102" t="s">
        <v>19</v>
      </c>
      <c r="F21" s="102" t="s">
        <v>19</v>
      </c>
      <c r="G21" s="102" t="s">
        <v>19</v>
      </c>
      <c r="H21" s="102" t="s">
        <v>19</v>
      </c>
      <c r="I21" s="102" t="s">
        <v>19</v>
      </c>
      <c r="J21" s="102" t="s">
        <v>19</v>
      </c>
      <c r="K21" s="102" t="s">
        <v>19</v>
      </c>
      <c r="L21" s="102" t="s">
        <v>19</v>
      </c>
      <c r="M21" s="102" t="s">
        <v>19</v>
      </c>
      <c r="N21" s="102" t="s">
        <v>19</v>
      </c>
      <c r="O21" s="102" t="s">
        <v>19</v>
      </c>
      <c r="P21" s="102"/>
      <c r="Q21" s="102" t="s">
        <v>19</v>
      </c>
      <c r="R21" s="102" t="s">
        <v>19</v>
      </c>
      <c r="S21" s="102"/>
      <c r="T21" s="103">
        <f t="shared" si="0"/>
        <v>13</v>
      </c>
    </row>
    <row r="22" spans="2:20">
      <c r="B22" s="85">
        <v>2</v>
      </c>
      <c r="C22" s="87" t="s">
        <v>34</v>
      </c>
      <c r="D22" s="85" t="s">
        <v>37</v>
      </c>
      <c r="E22" s="102"/>
      <c r="F22" s="102" t="s">
        <v>19</v>
      </c>
      <c r="G22" s="102" t="s">
        <v>19</v>
      </c>
      <c r="H22" s="102"/>
      <c r="I22" s="102" t="s">
        <v>19</v>
      </c>
      <c r="J22" s="102"/>
      <c r="K22" s="102" t="s">
        <v>19</v>
      </c>
      <c r="L22" s="102"/>
      <c r="M22" s="102"/>
      <c r="N22" s="102"/>
      <c r="O22" s="102" t="s">
        <v>19</v>
      </c>
      <c r="P22" s="102" t="s">
        <v>19</v>
      </c>
      <c r="Q22" s="102" t="s">
        <v>19</v>
      </c>
      <c r="R22" s="102" t="s">
        <v>19</v>
      </c>
      <c r="S22" s="102" t="s">
        <v>19</v>
      </c>
      <c r="T22" s="103">
        <f t="shared" si="0"/>
        <v>9</v>
      </c>
    </row>
    <row r="23" spans="2:20">
      <c r="B23" s="79">
        <v>2</v>
      </c>
      <c r="C23" s="78" t="s">
        <v>39</v>
      </c>
      <c r="D23" s="79" t="s">
        <v>48</v>
      </c>
      <c r="E23" s="102" t="s">
        <v>19</v>
      </c>
      <c r="F23" s="102" t="s">
        <v>19</v>
      </c>
      <c r="G23" s="102" t="s">
        <v>19</v>
      </c>
      <c r="H23" s="102" t="s">
        <v>19</v>
      </c>
      <c r="I23" s="102" t="s">
        <v>19</v>
      </c>
      <c r="J23" s="102" t="s">
        <v>19</v>
      </c>
      <c r="K23" s="102" t="s">
        <v>19</v>
      </c>
      <c r="L23" s="102" t="s">
        <v>19</v>
      </c>
      <c r="M23" s="102" t="s">
        <v>19</v>
      </c>
      <c r="N23" s="102" t="s">
        <v>19</v>
      </c>
      <c r="O23" s="102" t="s">
        <v>19</v>
      </c>
      <c r="P23" s="102" t="s">
        <v>19</v>
      </c>
      <c r="Q23" s="102" t="s">
        <v>19</v>
      </c>
      <c r="R23" s="102" t="s">
        <v>19</v>
      </c>
      <c r="S23" s="102" t="s">
        <v>19</v>
      </c>
      <c r="T23" s="103">
        <f t="shared" si="0"/>
        <v>15</v>
      </c>
    </row>
    <row r="24" spans="2:20">
      <c r="B24" s="85">
        <v>2</v>
      </c>
      <c r="C24" s="87" t="s">
        <v>34</v>
      </c>
      <c r="D24" s="85" t="s">
        <v>35</v>
      </c>
      <c r="E24" s="102" t="s">
        <v>19</v>
      </c>
      <c r="F24" s="102" t="s">
        <v>19</v>
      </c>
      <c r="G24" s="102"/>
      <c r="H24" s="102" t="s">
        <v>19</v>
      </c>
      <c r="I24" s="102"/>
      <c r="J24" s="102"/>
      <c r="K24" s="102" t="s">
        <v>19</v>
      </c>
      <c r="L24" s="102" t="s">
        <v>19</v>
      </c>
      <c r="M24" s="102" t="s">
        <v>19</v>
      </c>
      <c r="N24" s="102" t="s">
        <v>19</v>
      </c>
      <c r="O24" s="102" t="s">
        <v>19</v>
      </c>
      <c r="P24" s="102" t="s">
        <v>19</v>
      </c>
      <c r="Q24" s="102" t="s">
        <v>19</v>
      </c>
      <c r="R24" s="102" t="s">
        <v>19</v>
      </c>
      <c r="S24" s="102" t="s">
        <v>19</v>
      </c>
      <c r="T24" s="103">
        <f t="shared" si="0"/>
        <v>12</v>
      </c>
    </row>
    <row r="25" spans="2:20">
      <c r="B25" s="79">
        <v>2</v>
      </c>
      <c r="C25" s="78" t="s">
        <v>39</v>
      </c>
      <c r="D25" s="79" t="s">
        <v>50</v>
      </c>
      <c r="E25" s="102" t="s">
        <v>19</v>
      </c>
      <c r="F25" s="102" t="s">
        <v>19</v>
      </c>
      <c r="G25" s="102" t="s">
        <v>19</v>
      </c>
      <c r="H25" s="102" t="s">
        <v>19</v>
      </c>
      <c r="I25" s="102" t="s">
        <v>19</v>
      </c>
      <c r="J25" s="102"/>
      <c r="K25" s="102" t="s">
        <v>19</v>
      </c>
      <c r="L25" s="102" t="s">
        <v>19</v>
      </c>
      <c r="M25" s="102" t="s">
        <v>19</v>
      </c>
      <c r="N25" s="102" t="s">
        <v>19</v>
      </c>
      <c r="O25" s="102" t="s">
        <v>19</v>
      </c>
      <c r="P25" s="102" t="s">
        <v>19</v>
      </c>
      <c r="Q25" s="102" t="s">
        <v>19</v>
      </c>
      <c r="R25" s="102" t="s">
        <v>19</v>
      </c>
      <c r="S25" s="102" t="s">
        <v>19</v>
      </c>
      <c r="T25" s="103">
        <f t="shared" si="0"/>
        <v>14</v>
      </c>
    </row>
    <row r="26" spans="2:20">
      <c r="B26" s="88">
        <v>1</v>
      </c>
      <c r="C26" s="89" t="s">
        <v>17</v>
      </c>
      <c r="D26" s="90" t="s">
        <v>21</v>
      </c>
      <c r="E26" s="102" t="s">
        <v>19</v>
      </c>
      <c r="F26" s="102" t="s">
        <v>19</v>
      </c>
      <c r="G26" s="102"/>
      <c r="H26" s="102" t="s">
        <v>19</v>
      </c>
      <c r="I26" s="102" t="s">
        <v>19</v>
      </c>
      <c r="J26" s="102" t="s">
        <v>19</v>
      </c>
      <c r="K26" s="102" t="s">
        <v>19</v>
      </c>
      <c r="L26" s="102" t="s">
        <v>19</v>
      </c>
      <c r="M26" s="102"/>
      <c r="N26" s="102" t="s">
        <v>19</v>
      </c>
      <c r="O26" s="102" t="s">
        <v>19</v>
      </c>
      <c r="P26" s="102" t="s">
        <v>19</v>
      </c>
      <c r="Q26" s="102" t="s">
        <v>19</v>
      </c>
      <c r="R26" s="102" t="s">
        <v>19</v>
      </c>
      <c r="S26" s="102" t="s">
        <v>19</v>
      </c>
      <c r="T26" s="103">
        <f t="shared" si="0"/>
        <v>13</v>
      </c>
    </row>
    <row r="27" spans="2:20">
      <c r="B27" s="85">
        <v>1</v>
      </c>
      <c r="C27" s="85" t="s">
        <v>24</v>
      </c>
      <c r="D27" s="85" t="s">
        <v>38</v>
      </c>
      <c r="E27" s="102" t="s">
        <v>19</v>
      </c>
      <c r="F27" s="102" t="s">
        <v>19</v>
      </c>
      <c r="G27" s="102" t="s">
        <v>19</v>
      </c>
      <c r="H27" s="102" t="s">
        <v>19</v>
      </c>
      <c r="I27" s="102" t="s">
        <v>19</v>
      </c>
      <c r="J27" s="102" t="s">
        <v>19</v>
      </c>
      <c r="K27" s="102" t="s">
        <v>19</v>
      </c>
      <c r="L27" s="102" t="s">
        <v>19</v>
      </c>
      <c r="M27" s="102" t="s">
        <v>19</v>
      </c>
      <c r="N27" s="102" t="s">
        <v>19</v>
      </c>
      <c r="O27" s="102" t="s">
        <v>19</v>
      </c>
      <c r="P27" s="102" t="s">
        <v>19</v>
      </c>
      <c r="Q27" s="102" t="s">
        <v>19</v>
      </c>
      <c r="R27" s="102" t="s">
        <v>19</v>
      </c>
      <c r="S27" s="102" t="s">
        <v>19</v>
      </c>
      <c r="T27" s="103">
        <f t="shared" si="0"/>
        <v>15</v>
      </c>
    </row>
    <row r="28" spans="2:20">
      <c r="B28" s="82">
        <v>2</v>
      </c>
      <c r="C28" s="83" t="s">
        <v>27</v>
      </c>
      <c r="D28" s="82" t="s">
        <v>28</v>
      </c>
      <c r="E28" s="102" t="s">
        <v>19</v>
      </c>
      <c r="F28" s="102" t="s">
        <v>19</v>
      </c>
      <c r="G28" s="102" t="s">
        <v>19</v>
      </c>
      <c r="H28" s="102" t="s">
        <v>19</v>
      </c>
      <c r="I28" s="102" t="s">
        <v>19</v>
      </c>
      <c r="J28" s="102"/>
      <c r="K28" s="102" t="s">
        <v>19</v>
      </c>
      <c r="L28" s="102" t="s">
        <v>19</v>
      </c>
      <c r="M28" s="102" t="s">
        <v>19</v>
      </c>
      <c r="N28" s="102" t="s">
        <v>19</v>
      </c>
      <c r="O28" s="102" t="s">
        <v>19</v>
      </c>
      <c r="P28" s="102" t="s">
        <v>19</v>
      </c>
      <c r="Q28" s="102" t="s">
        <v>19</v>
      </c>
      <c r="R28" s="102" t="s">
        <v>19</v>
      </c>
      <c r="S28" s="102"/>
      <c r="T28" s="103">
        <f t="shared" si="0"/>
        <v>13</v>
      </c>
    </row>
    <row r="29" spans="2:20">
      <c r="B29" s="79">
        <v>2</v>
      </c>
      <c r="C29" s="78" t="s">
        <v>39</v>
      </c>
      <c r="D29" s="79" t="s">
        <v>40</v>
      </c>
      <c r="E29" s="102" t="s">
        <v>19</v>
      </c>
      <c r="F29" s="102" t="s">
        <v>19</v>
      </c>
      <c r="G29" s="102" t="s">
        <v>19</v>
      </c>
      <c r="H29" s="102" t="s">
        <v>19</v>
      </c>
      <c r="I29" s="102"/>
      <c r="J29" s="102" t="s">
        <v>19</v>
      </c>
      <c r="K29" s="102" t="s">
        <v>19</v>
      </c>
      <c r="L29" s="102" t="s">
        <v>19</v>
      </c>
      <c r="M29" s="102"/>
      <c r="N29" s="102"/>
      <c r="O29" s="102" t="s">
        <v>19</v>
      </c>
      <c r="P29" s="102" t="s">
        <v>19</v>
      </c>
      <c r="Q29" s="102"/>
      <c r="R29" s="102"/>
      <c r="S29" s="102" t="s">
        <v>19</v>
      </c>
      <c r="T29" s="103">
        <f t="shared" si="0"/>
        <v>10</v>
      </c>
    </row>
    <row r="30" spans="2:20">
      <c r="B30" s="85">
        <v>1</v>
      </c>
      <c r="C30" s="85" t="s">
        <v>24</v>
      </c>
      <c r="D30" s="85" t="s">
        <v>36</v>
      </c>
      <c r="E30" s="102" t="s">
        <v>19</v>
      </c>
      <c r="F30" s="102" t="s">
        <v>19</v>
      </c>
      <c r="G30" s="102" t="s">
        <v>19</v>
      </c>
      <c r="H30" s="102" t="s">
        <v>19</v>
      </c>
      <c r="I30" s="102" t="s">
        <v>19</v>
      </c>
      <c r="J30" s="102" t="s">
        <v>19</v>
      </c>
      <c r="K30" s="102" t="s">
        <v>19</v>
      </c>
      <c r="L30" s="102" t="s">
        <v>19</v>
      </c>
      <c r="M30" s="102" t="s">
        <v>19</v>
      </c>
      <c r="N30" s="102" t="s">
        <v>19</v>
      </c>
      <c r="O30" s="102" t="s">
        <v>19</v>
      </c>
      <c r="P30" s="102" t="s">
        <v>19</v>
      </c>
      <c r="Q30" s="102" t="s">
        <v>19</v>
      </c>
      <c r="R30" s="102" t="s">
        <v>19</v>
      </c>
      <c r="S30" s="102" t="s">
        <v>19</v>
      </c>
      <c r="T30" s="103">
        <f t="shared" si="0"/>
        <v>15</v>
      </c>
    </row>
    <row r="31" spans="2:20">
      <c r="B31" s="79">
        <v>2</v>
      </c>
      <c r="C31" s="78" t="s">
        <v>39</v>
      </c>
      <c r="D31" s="79" t="s">
        <v>49</v>
      </c>
      <c r="E31" s="102" t="s">
        <v>19</v>
      </c>
      <c r="F31" s="102" t="s">
        <v>19</v>
      </c>
      <c r="G31" s="102" t="s">
        <v>19</v>
      </c>
      <c r="H31" s="102" t="s">
        <v>19</v>
      </c>
      <c r="I31" s="102" t="s">
        <v>19</v>
      </c>
      <c r="J31" s="102" t="s">
        <v>19</v>
      </c>
      <c r="K31" s="102" t="s">
        <v>19</v>
      </c>
      <c r="L31" s="102" t="s">
        <v>19</v>
      </c>
      <c r="M31" s="102" t="s">
        <v>19</v>
      </c>
      <c r="N31" s="102" t="s">
        <v>19</v>
      </c>
      <c r="O31" s="102" t="s">
        <v>19</v>
      </c>
      <c r="P31" s="102" t="s">
        <v>19</v>
      </c>
      <c r="Q31" s="102" t="s">
        <v>19</v>
      </c>
      <c r="R31" s="102" t="s">
        <v>19</v>
      </c>
      <c r="S31" s="102" t="s">
        <v>19</v>
      </c>
      <c r="T31" s="103">
        <f t="shared" si="0"/>
        <v>15</v>
      </c>
    </row>
  </sheetData>
  <sheetProtection sheet="1" objects="1" scenarios="1"/>
  <sortState xmlns:xlrd2="http://schemas.microsoft.com/office/spreadsheetml/2017/richdata2" ref="B4:T31">
    <sortCondition ref="D3"/>
  </sortState>
  <customSheetViews>
    <customSheetView guid="{4FA91318-F568-4C4C-93A1-CBAB7D8E6C44}">
      <selection activeCell="Q11" sqref="Q11"/>
      <pageMargins left="0.7" right="0.7" top="0.75" bottom="0.75" header="0.3" footer="0.3"/>
      <pageSetup paperSize="9" orientation="portrait" r:id="rId1"/>
    </customSheetView>
  </customSheetViews>
  <phoneticPr fontId="2" type="noConversion"/>
  <pageMargins left="1.1811023622047245" right="1.1811023622047245" top="0.78740157480314965" bottom="0.78740157480314965" header="0.39370078740157483" footer="0.39370078740157483"/>
  <pageSetup paperSize="9" orientation="landscape" r:id="rId2"/>
  <ignoredErrors>
    <ignoredError sqref="T4:T3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2:T57"/>
  <sheetViews>
    <sheetView windowProtection="1" tabSelected="1" zoomScaleNormal="100" workbookViewId="0"/>
  </sheetViews>
  <sheetFormatPr defaultColWidth="9" defaultRowHeight="19.5" customHeight="1"/>
  <cols>
    <col min="1" max="1" width="5" style="21" customWidth="1"/>
    <col min="2" max="3" width="9" style="22"/>
    <col min="4" max="4" width="15.125" style="22" customWidth="1"/>
    <col min="5" max="5" width="9.375" style="23" bestFit="1" customWidth="1"/>
    <col min="6" max="7" width="10.75" style="23" bestFit="1" customWidth="1"/>
    <col min="8" max="8" width="11.875" style="23" customWidth="1"/>
    <col min="9" max="10" width="9" style="21"/>
    <col min="11" max="11" width="9.75" style="22" customWidth="1"/>
    <col min="12" max="18" width="9.75" style="21" customWidth="1"/>
    <col min="19" max="19" width="11.5" style="21" bestFit="1" customWidth="1"/>
    <col min="20" max="20" width="10.25" style="21" bestFit="1" customWidth="1"/>
    <col min="21" max="16384" width="9" style="21"/>
  </cols>
  <sheetData>
    <row r="2" spans="2:19" ht="19.5" customHeight="1">
      <c r="B2" s="40" t="s">
        <v>79</v>
      </c>
      <c r="F2" s="41"/>
      <c r="G2" s="41"/>
      <c r="H2" s="41"/>
    </row>
    <row r="3" spans="2:19" ht="19.5" customHeight="1">
      <c r="B3" s="42" t="s">
        <v>80</v>
      </c>
      <c r="C3" s="42" t="s">
        <v>81</v>
      </c>
      <c r="D3" s="43" t="s">
        <v>82</v>
      </c>
      <c r="E3" s="44" t="s">
        <v>83</v>
      </c>
      <c r="F3" s="45" t="s">
        <v>84</v>
      </c>
      <c r="G3" s="45" t="s">
        <v>85</v>
      </c>
      <c r="H3" s="44" t="s">
        <v>86</v>
      </c>
      <c r="K3" s="40" t="s">
        <v>87</v>
      </c>
    </row>
    <row r="4" spans="2:19" ht="19.5" customHeight="1">
      <c r="B4" s="46">
        <v>24</v>
      </c>
      <c r="C4" s="47" t="s">
        <v>88</v>
      </c>
      <c r="D4" s="47" t="str">
        <f>CONCATENATE(VLOOKUP(C4,$K$5:$M$8,2),"-",VLOOKUP(C4,$K$5:$M$8,3))</f>
        <v>기본형-남자</v>
      </c>
      <c r="E4" s="48">
        <f>INDEX($L$13:$S$16,MATCH($C4,$K$13:$K$16,0),MATCH($B4,$L$11:$S$11,1))</f>
        <v>13200</v>
      </c>
      <c r="F4" s="49">
        <v>5</v>
      </c>
      <c r="G4" s="49">
        <v>3</v>
      </c>
      <c r="H4" s="50" t="str" cm="1">
        <f t="array" ref="H4">fn가입상태(F4,G4)</f>
        <v>휴면보험</v>
      </c>
      <c r="K4" s="51" t="s">
        <v>103</v>
      </c>
      <c r="L4" s="51" t="s">
        <v>117</v>
      </c>
      <c r="M4" s="51" t="s">
        <v>104</v>
      </c>
    </row>
    <row r="5" spans="2:19" ht="19.5" customHeight="1">
      <c r="B5" s="52">
        <v>41</v>
      </c>
      <c r="C5" s="53" t="s">
        <v>89</v>
      </c>
      <c r="D5" s="47" t="str">
        <f t="shared" ref="D5:D39" si="0">CONCATENATE(VLOOKUP(C5,$K$5:$M$8,2),"-",VLOOKUP(C5,$K$5:$M$8,3))</f>
        <v>기본형-남자</v>
      </c>
      <c r="E5" s="48">
        <f t="shared" ref="E5:E39" si="1">INDEX($L$13:$S$16,MATCH($C5,$K$13:$K$16,0),MATCH($B5,$L$11:$S$11,1))</f>
        <v>22500</v>
      </c>
      <c r="F5" s="54">
        <v>3</v>
      </c>
      <c r="G5" s="54">
        <v>0</v>
      </c>
      <c r="H5" s="50" t="str" cm="1">
        <f t="array" ref="H5">fn가입상태(F5,G5)</f>
        <v>정상</v>
      </c>
      <c r="K5" s="53" t="s">
        <v>105</v>
      </c>
      <c r="L5" s="53" t="s">
        <v>106</v>
      </c>
      <c r="M5" s="53" t="s">
        <v>90</v>
      </c>
    </row>
    <row r="6" spans="2:19" ht="19.5" customHeight="1">
      <c r="B6" s="52">
        <v>50</v>
      </c>
      <c r="C6" s="53" t="s">
        <v>91</v>
      </c>
      <c r="D6" s="47" t="str">
        <f t="shared" si="0"/>
        <v>추가보장-남자</v>
      </c>
      <c r="E6" s="48">
        <f t="shared" si="1"/>
        <v>45000</v>
      </c>
      <c r="F6" s="54">
        <v>15</v>
      </c>
      <c r="G6" s="54">
        <v>0</v>
      </c>
      <c r="H6" s="50" t="str" cm="1">
        <f t="array" ref="H6">fn가입상태(F6,G6)</f>
        <v>정상</v>
      </c>
      <c r="K6" s="53" t="s">
        <v>107</v>
      </c>
      <c r="L6" s="53" t="s">
        <v>115</v>
      </c>
      <c r="M6" s="53" t="s">
        <v>90</v>
      </c>
    </row>
    <row r="7" spans="2:19" ht="19.5" customHeight="1">
      <c r="B7" s="52">
        <v>29</v>
      </c>
      <c r="C7" s="53" t="s">
        <v>94</v>
      </c>
      <c r="D7" s="47" t="str">
        <f t="shared" si="0"/>
        <v>추가보장-여자</v>
      </c>
      <c r="E7" s="48">
        <f t="shared" si="1"/>
        <v>14200</v>
      </c>
      <c r="F7" s="54">
        <v>15</v>
      </c>
      <c r="G7" s="54">
        <v>0</v>
      </c>
      <c r="H7" s="50" t="str" cm="1">
        <f t="array" ref="H7">fn가입상태(F7,G7)</f>
        <v>정상</v>
      </c>
      <c r="K7" s="53" t="s">
        <v>108</v>
      </c>
      <c r="L7" s="53" t="s">
        <v>106</v>
      </c>
      <c r="M7" s="53" t="s">
        <v>93</v>
      </c>
    </row>
    <row r="8" spans="2:19" ht="19.5" customHeight="1">
      <c r="B8" s="52">
        <v>42</v>
      </c>
      <c r="C8" s="53" t="s">
        <v>96</v>
      </c>
      <c r="D8" s="47" t="str">
        <f t="shared" si="0"/>
        <v>추가보장-여자</v>
      </c>
      <c r="E8" s="48">
        <f t="shared" si="1"/>
        <v>28400</v>
      </c>
      <c r="F8" s="54">
        <v>5</v>
      </c>
      <c r="G8" s="54">
        <v>1</v>
      </c>
      <c r="H8" s="50" t="str" cm="1">
        <f t="array" ref="H8">fn가입상태(F8,G8)</f>
        <v>1개월 미납</v>
      </c>
      <c r="K8" s="53" t="s">
        <v>109</v>
      </c>
      <c r="L8" s="53" t="s">
        <v>116</v>
      </c>
      <c r="M8" s="53" t="s">
        <v>93</v>
      </c>
    </row>
    <row r="9" spans="2:19" ht="19.5" customHeight="1">
      <c r="B9" s="52">
        <v>7</v>
      </c>
      <c r="C9" s="53" t="s">
        <v>96</v>
      </c>
      <c r="D9" s="47" t="str">
        <f t="shared" si="0"/>
        <v>추가보장-여자</v>
      </c>
      <c r="E9" s="48">
        <f t="shared" si="1"/>
        <v>13000</v>
      </c>
      <c r="F9" s="54">
        <v>10</v>
      </c>
      <c r="G9" s="54">
        <v>0</v>
      </c>
      <c r="H9" s="50" t="str" cm="1">
        <f t="array" ref="H9">fn가입상태(F9,G9)</f>
        <v>정상</v>
      </c>
    </row>
    <row r="10" spans="2:19" ht="19.5" customHeight="1">
      <c r="B10" s="52">
        <v>45</v>
      </c>
      <c r="C10" s="53" t="s">
        <v>97</v>
      </c>
      <c r="D10" s="47" t="str">
        <f t="shared" si="0"/>
        <v>추가보장-남자</v>
      </c>
      <c r="E10" s="48">
        <f t="shared" si="1"/>
        <v>24000</v>
      </c>
      <c r="F10" s="54">
        <v>14</v>
      </c>
      <c r="G10" s="54">
        <v>1</v>
      </c>
      <c r="H10" s="50" t="str" cm="1">
        <f t="array" ref="H10">fn가입상태(F10,G10)</f>
        <v>1개월 미납</v>
      </c>
      <c r="K10" s="40" t="s">
        <v>110</v>
      </c>
    </row>
    <row r="11" spans="2:19" ht="19.5" customHeight="1">
      <c r="B11" s="52">
        <v>16</v>
      </c>
      <c r="C11" s="53" t="s">
        <v>96</v>
      </c>
      <c r="D11" s="47" t="str">
        <f t="shared" si="0"/>
        <v>추가보장-여자</v>
      </c>
      <c r="E11" s="48">
        <f t="shared" si="1"/>
        <v>12900</v>
      </c>
      <c r="F11" s="54">
        <v>5</v>
      </c>
      <c r="G11" s="54">
        <v>1</v>
      </c>
      <c r="H11" s="50" t="str" cm="1">
        <f t="array" ref="H11">fn가입상태(F11,G11)</f>
        <v>1개월 미납</v>
      </c>
      <c r="K11" s="59"/>
      <c r="L11" s="65">
        <v>0</v>
      </c>
      <c r="M11" s="65">
        <v>10</v>
      </c>
      <c r="N11" s="65">
        <v>20</v>
      </c>
      <c r="O11" s="65">
        <v>30</v>
      </c>
      <c r="P11" s="65">
        <v>40</v>
      </c>
      <c r="Q11" s="65">
        <v>50</v>
      </c>
      <c r="R11" s="65">
        <v>60</v>
      </c>
      <c r="S11" s="65">
        <v>70</v>
      </c>
    </row>
    <row r="12" spans="2:19" ht="19.5" customHeight="1">
      <c r="B12" s="52">
        <v>16</v>
      </c>
      <c r="C12" s="53" t="s">
        <v>88</v>
      </c>
      <c r="D12" s="47" t="str">
        <f t="shared" si="0"/>
        <v>기본형-남자</v>
      </c>
      <c r="E12" s="48">
        <f t="shared" si="1"/>
        <v>12800</v>
      </c>
      <c r="F12" s="54">
        <v>6</v>
      </c>
      <c r="G12" s="54">
        <v>1</v>
      </c>
      <c r="H12" s="50" t="str" cm="1">
        <f t="array" ref="H12">fn가입상태(F12,G12)</f>
        <v>1개월 미납</v>
      </c>
      <c r="K12" s="58"/>
      <c r="L12" s="66">
        <v>10</v>
      </c>
      <c r="M12" s="66">
        <v>20</v>
      </c>
      <c r="N12" s="66">
        <v>30</v>
      </c>
      <c r="O12" s="66">
        <v>40</v>
      </c>
      <c r="P12" s="66">
        <v>50</v>
      </c>
      <c r="Q12" s="66">
        <v>60</v>
      </c>
      <c r="R12" s="66">
        <v>70</v>
      </c>
      <c r="S12" s="66"/>
    </row>
    <row r="13" spans="2:19" ht="19.5" customHeight="1">
      <c r="B13" s="52">
        <v>51</v>
      </c>
      <c r="C13" s="53" t="s">
        <v>98</v>
      </c>
      <c r="D13" s="47" t="str">
        <f t="shared" si="0"/>
        <v>기본형-남자</v>
      </c>
      <c r="E13" s="48">
        <f t="shared" si="1"/>
        <v>33000</v>
      </c>
      <c r="F13" s="54">
        <v>8</v>
      </c>
      <c r="G13" s="54">
        <v>0</v>
      </c>
      <c r="H13" s="50" t="str" cm="1">
        <f t="array" ref="H13">fn가입상태(F13,G13)</f>
        <v>정상</v>
      </c>
      <c r="K13" s="53" t="s">
        <v>88</v>
      </c>
      <c r="L13" s="55">
        <v>12800</v>
      </c>
      <c r="M13" s="55">
        <v>12800</v>
      </c>
      <c r="N13" s="55">
        <v>13200</v>
      </c>
      <c r="O13" s="55">
        <v>14800</v>
      </c>
      <c r="P13" s="55">
        <v>19800</v>
      </c>
      <c r="Q13" s="55">
        <v>33000</v>
      </c>
      <c r="R13" s="55">
        <v>58300</v>
      </c>
      <c r="S13" s="55">
        <v>89500</v>
      </c>
    </row>
    <row r="14" spans="2:19" ht="19.5" customHeight="1">
      <c r="B14" s="52">
        <v>46</v>
      </c>
      <c r="C14" s="53" t="s">
        <v>98</v>
      </c>
      <c r="D14" s="47" t="str">
        <f t="shared" si="0"/>
        <v>기본형-남자</v>
      </c>
      <c r="E14" s="48">
        <f t="shared" si="1"/>
        <v>19800</v>
      </c>
      <c r="F14" s="54">
        <v>8</v>
      </c>
      <c r="G14" s="54">
        <v>2</v>
      </c>
      <c r="H14" s="50" t="str" cm="1">
        <f t="array" ref="H14">fn가입상태(F14,G14)</f>
        <v>2개월 미납</v>
      </c>
      <c r="K14" s="53" t="s">
        <v>91</v>
      </c>
      <c r="L14" s="55">
        <v>13100</v>
      </c>
      <c r="M14" s="55">
        <v>13100</v>
      </c>
      <c r="N14" s="55">
        <v>13700</v>
      </c>
      <c r="O14" s="55">
        <v>16100</v>
      </c>
      <c r="P14" s="55">
        <v>24000</v>
      </c>
      <c r="Q14" s="55">
        <v>45000</v>
      </c>
      <c r="R14" s="55">
        <v>85500</v>
      </c>
      <c r="S14" s="55">
        <v>134800</v>
      </c>
    </row>
    <row r="15" spans="2:19" ht="19.5" customHeight="1">
      <c r="B15" s="52">
        <v>22</v>
      </c>
      <c r="C15" s="53" t="s">
        <v>98</v>
      </c>
      <c r="D15" s="47" t="str">
        <f t="shared" si="0"/>
        <v>기본형-남자</v>
      </c>
      <c r="E15" s="48">
        <f t="shared" si="1"/>
        <v>13200</v>
      </c>
      <c r="F15" s="54">
        <v>21</v>
      </c>
      <c r="G15" s="54">
        <v>0</v>
      </c>
      <c r="H15" s="50" t="str" cm="1">
        <f t="array" ref="H15">fn가입상태(F15,G15)</f>
        <v>정상</v>
      </c>
      <c r="K15" s="53" t="s">
        <v>92</v>
      </c>
      <c r="L15" s="55">
        <v>12700</v>
      </c>
      <c r="M15" s="55">
        <v>12600</v>
      </c>
      <c r="N15" s="55">
        <v>13500</v>
      </c>
      <c r="O15" s="55">
        <v>16700</v>
      </c>
      <c r="P15" s="55">
        <v>22500</v>
      </c>
      <c r="Q15" s="55">
        <v>26500</v>
      </c>
      <c r="R15" s="55">
        <v>32200</v>
      </c>
      <c r="S15" s="55">
        <v>43100</v>
      </c>
    </row>
    <row r="16" spans="2:19" ht="19.5" customHeight="1">
      <c r="B16" s="52">
        <v>6</v>
      </c>
      <c r="C16" s="53" t="s">
        <v>98</v>
      </c>
      <c r="D16" s="47" t="str">
        <f t="shared" si="0"/>
        <v>기본형-남자</v>
      </c>
      <c r="E16" s="48">
        <f t="shared" si="1"/>
        <v>12800</v>
      </c>
      <c r="F16" s="54">
        <v>7</v>
      </c>
      <c r="G16" s="54">
        <v>0</v>
      </c>
      <c r="H16" s="50" t="str" cm="1">
        <f t="array" ref="H16">fn가입상태(F16,G16)</f>
        <v>정상</v>
      </c>
      <c r="K16" s="53" t="s">
        <v>94</v>
      </c>
      <c r="L16" s="55">
        <v>13000</v>
      </c>
      <c r="M16" s="55">
        <v>12900</v>
      </c>
      <c r="N16" s="55">
        <v>14200</v>
      </c>
      <c r="O16" s="55">
        <v>19100</v>
      </c>
      <c r="P16" s="55">
        <v>28400</v>
      </c>
      <c r="Q16" s="55">
        <v>34900</v>
      </c>
      <c r="R16" s="55">
        <v>43900</v>
      </c>
      <c r="S16" s="55">
        <v>60700</v>
      </c>
    </row>
    <row r="17" spans="2:20" ht="19.5" customHeight="1">
      <c r="B17" s="52">
        <v>22</v>
      </c>
      <c r="C17" s="53" t="s">
        <v>99</v>
      </c>
      <c r="D17" s="47" t="str">
        <f t="shared" si="0"/>
        <v>기본형-남자</v>
      </c>
      <c r="E17" s="48">
        <f t="shared" si="1"/>
        <v>13500</v>
      </c>
      <c r="F17" s="54">
        <v>21</v>
      </c>
      <c r="G17" s="54">
        <v>2</v>
      </c>
      <c r="H17" s="50" t="str" cm="1">
        <f t="array" ref="H17">fn가입상태(F17,G17)</f>
        <v>2개월 미납</v>
      </c>
    </row>
    <row r="18" spans="2:20" ht="19.5" customHeight="1">
      <c r="B18" s="52">
        <v>21</v>
      </c>
      <c r="C18" s="53" t="s">
        <v>97</v>
      </c>
      <c r="D18" s="47" t="str">
        <f t="shared" si="0"/>
        <v>추가보장-남자</v>
      </c>
      <c r="E18" s="48">
        <f t="shared" si="1"/>
        <v>13700</v>
      </c>
      <c r="F18" s="54">
        <v>20</v>
      </c>
      <c r="G18" s="54">
        <v>0</v>
      </c>
      <c r="H18" s="50" t="str" cm="1">
        <f t="array" ref="H18">fn가입상태(F18,G18)</f>
        <v>정상</v>
      </c>
    </row>
    <row r="19" spans="2:20" ht="19.5" customHeight="1">
      <c r="B19" s="52">
        <v>13</v>
      </c>
      <c r="C19" s="53" t="s">
        <v>96</v>
      </c>
      <c r="D19" s="47" t="str">
        <f t="shared" si="0"/>
        <v>추가보장-여자</v>
      </c>
      <c r="E19" s="48">
        <f t="shared" si="1"/>
        <v>12900</v>
      </c>
      <c r="F19" s="54">
        <v>8</v>
      </c>
      <c r="G19" s="54">
        <v>0</v>
      </c>
      <c r="H19" s="50" t="str" cm="1">
        <f t="array" ref="H19">fn가입상태(F19,G19)</f>
        <v>정상</v>
      </c>
      <c r="K19" s="40" t="s">
        <v>114</v>
      </c>
      <c r="O19" s="40" t="s">
        <v>111</v>
      </c>
    </row>
    <row r="20" spans="2:20" ht="19.5" customHeight="1">
      <c r="B20" s="52">
        <v>29</v>
      </c>
      <c r="C20" s="53" t="s">
        <v>98</v>
      </c>
      <c r="D20" s="47" t="str">
        <f t="shared" si="0"/>
        <v>기본형-남자</v>
      </c>
      <c r="E20" s="48">
        <f t="shared" si="1"/>
        <v>13200</v>
      </c>
      <c r="F20" s="54">
        <v>24</v>
      </c>
      <c r="G20" s="54">
        <v>0</v>
      </c>
      <c r="H20" s="50" t="str" cm="1">
        <f t="array" ref="H20">fn가입상태(F20,G20)</f>
        <v>정상</v>
      </c>
      <c r="K20" s="99" t="s">
        <v>100</v>
      </c>
      <c r="L20" s="100"/>
      <c r="M20" s="56" t="s">
        <v>101</v>
      </c>
      <c r="O20" s="97" t="s">
        <v>103</v>
      </c>
      <c r="P20" s="67">
        <v>0</v>
      </c>
      <c r="Q20" s="67">
        <v>20</v>
      </c>
      <c r="R20" s="67">
        <v>30</v>
      </c>
      <c r="S20" s="67">
        <v>40</v>
      </c>
      <c r="T20" s="67">
        <v>60</v>
      </c>
    </row>
    <row r="21" spans="2:20" ht="19.5" customHeight="1">
      <c r="B21" s="52">
        <v>61</v>
      </c>
      <c r="C21" s="53" t="s">
        <v>99</v>
      </c>
      <c r="D21" s="47" t="str">
        <f t="shared" si="0"/>
        <v>기본형-남자</v>
      </c>
      <c r="E21" s="48">
        <f t="shared" si="1"/>
        <v>32200</v>
      </c>
      <c r="F21" s="54">
        <v>23</v>
      </c>
      <c r="G21" s="54">
        <v>1</v>
      </c>
      <c r="H21" s="50" t="str" cm="1">
        <f t="array" ref="H21">fn가입상태(F21,G21)</f>
        <v>1개월 미납</v>
      </c>
      <c r="K21" s="60">
        <v>1</v>
      </c>
      <c r="L21" s="61">
        <v>10</v>
      </c>
      <c r="M21" s="47" t="str" cm="1">
        <f t="array" ref="M21:M28">TEXT(FREQUENCY($B$4:$B$39,L21:L27),"[&gt;0]00명;미가입")</f>
        <v>03명</v>
      </c>
      <c r="O21" s="98"/>
      <c r="P21" s="68">
        <v>20</v>
      </c>
      <c r="Q21" s="68">
        <v>30</v>
      </c>
      <c r="R21" s="68">
        <v>40</v>
      </c>
      <c r="S21" s="68">
        <v>60</v>
      </c>
      <c r="T21" s="68">
        <v>80</v>
      </c>
    </row>
    <row r="22" spans="2:20" ht="19.5" customHeight="1">
      <c r="B22" s="52">
        <v>12</v>
      </c>
      <c r="C22" s="53" t="s">
        <v>92</v>
      </c>
      <c r="D22" s="47" t="str">
        <f t="shared" si="0"/>
        <v>기본형-남자</v>
      </c>
      <c r="E22" s="48">
        <f t="shared" si="1"/>
        <v>12600</v>
      </c>
      <c r="F22" s="54">
        <v>20</v>
      </c>
      <c r="G22" s="54">
        <v>2</v>
      </c>
      <c r="H22" s="50" t="str" cm="1">
        <f t="array" ref="H22">fn가입상태(F22,G22)</f>
        <v>2개월 미납</v>
      </c>
      <c r="K22" s="60">
        <v>11</v>
      </c>
      <c r="L22" s="61">
        <v>20</v>
      </c>
      <c r="M22" s="47" t="str">
        <v>06명</v>
      </c>
      <c r="O22" s="62" t="s">
        <v>105</v>
      </c>
      <c r="P22" s="63">
        <f t="array" ref="P22">IFERROR(AVERAGE(IF(($C$4:$C$39=$O22)*($B$4:$B$39&gt;=P$20)*($B$4:$B$39&lt;P$21),$F$4:$F$39)),"")</f>
        <v>7.333333333333333</v>
      </c>
      <c r="Q22" s="63">
        <f t="array" ref="Q22">IFERROR(AVERAGE(IF(($C$4:$C$39=$O22)*($B$4:$B$39&gt;=Q$20)*($B$4:$B$39&lt;Q$21),$F$4:$F$39)),"")</f>
        <v>16.75</v>
      </c>
      <c r="R22" s="63" t="str">
        <f t="array" ref="R22">IFERROR(AVERAGE(IF(($C$4:$C$39=$O22)*($B$4:$B$39&gt;=R$20)*($B$4:$B$39&lt;R$21),$F$4:$F$39)),"")</f>
        <v/>
      </c>
      <c r="S22" s="63">
        <f t="array" ref="S22">IFERROR(AVERAGE(IF(($C$4:$C$39=$O22)*($B$4:$B$39&gt;=S$20)*($B$4:$B$39&lt;S$21),$F$4:$F$39)),"")</f>
        <v>8</v>
      </c>
      <c r="T22" s="63" t="str">
        <f t="array" ref="T22">IFERROR(AVERAGE(IF(($C$4:$C$39=$O22)*($B$4:$B$39&gt;=T$20)*($B$4:$B$39&lt;T$21),$F$4:$F$39)),"")</f>
        <v/>
      </c>
    </row>
    <row r="23" spans="2:20" ht="19.5" customHeight="1">
      <c r="B23" s="52">
        <v>64</v>
      </c>
      <c r="C23" s="53" t="s">
        <v>94</v>
      </c>
      <c r="D23" s="47" t="str">
        <f t="shared" si="0"/>
        <v>추가보장-여자</v>
      </c>
      <c r="E23" s="48">
        <f t="shared" si="1"/>
        <v>43900</v>
      </c>
      <c r="F23" s="54">
        <v>7</v>
      </c>
      <c r="G23" s="54">
        <v>0</v>
      </c>
      <c r="H23" s="50" t="str" cm="1">
        <f t="array" ref="H23">fn가입상태(F23,G23)</f>
        <v>정상</v>
      </c>
      <c r="K23" s="60">
        <v>21</v>
      </c>
      <c r="L23" s="61">
        <v>30</v>
      </c>
      <c r="M23" s="47" t="str">
        <v>12명</v>
      </c>
      <c r="O23" s="53" t="s">
        <v>108</v>
      </c>
      <c r="P23" s="63">
        <f t="array" ref="P23">IFERROR(AVERAGE(IF(($C$4:$C$39=$O23)*($B$4:$B$39&gt;=P$20)*($B$4:$B$39&lt;P$21),$F$4:$F$39)),"")</f>
        <v>20.5</v>
      </c>
      <c r="Q23" s="63">
        <f t="array" ref="Q23">IFERROR(AVERAGE(IF(($C$4:$C$39=$O23)*($B$4:$B$39&gt;=Q$20)*($B$4:$B$39&lt;Q$21),$F$4:$F$39)),"")</f>
        <v>21</v>
      </c>
      <c r="R23" s="63" t="str">
        <f t="array" ref="R23">IFERROR(AVERAGE(IF(($C$4:$C$39=$O23)*($B$4:$B$39&gt;=R$20)*($B$4:$B$39&lt;R$21),$F$4:$F$39)),"")</f>
        <v/>
      </c>
      <c r="S23" s="63">
        <f t="array" ref="S23">IFERROR(AVERAGE(IF(($C$4:$C$39=$O23)*($B$4:$B$39&gt;=S$20)*($B$4:$B$39&lt;S$21),$F$4:$F$39)),"")</f>
        <v>5</v>
      </c>
      <c r="T23" s="63">
        <f t="array" ref="T23">IFERROR(AVERAGE(IF(($C$4:$C$39=$O23)*($B$4:$B$39&gt;=T$20)*($B$4:$B$39&lt;T$21),$F$4:$F$39)),"")</f>
        <v>23</v>
      </c>
    </row>
    <row r="24" spans="2:20" ht="19.5" customHeight="1">
      <c r="B24" s="52">
        <v>29</v>
      </c>
      <c r="C24" s="53" t="s">
        <v>102</v>
      </c>
      <c r="D24" s="47" t="str">
        <f t="shared" si="0"/>
        <v>기본형-남자</v>
      </c>
      <c r="E24" s="48">
        <f t="shared" si="1"/>
        <v>13200</v>
      </c>
      <c r="F24" s="54">
        <v>17</v>
      </c>
      <c r="G24" s="54">
        <v>2</v>
      </c>
      <c r="H24" s="50" t="str" cm="1">
        <f t="array" ref="H24">fn가입상태(F24,G24)</f>
        <v>2개월 미납</v>
      </c>
      <c r="K24" s="60">
        <v>31</v>
      </c>
      <c r="L24" s="61">
        <v>40</v>
      </c>
      <c r="M24" s="47" t="str">
        <v>미가입</v>
      </c>
      <c r="O24" s="53" t="s">
        <v>107</v>
      </c>
      <c r="P24" s="63">
        <f t="array" ref="P24">IFERROR(AVERAGE(IF(($C$4:$C$39=$O24)*($B$4:$B$39&gt;=P$20)*($B$4:$B$39&lt;P$21),$F$4:$F$39)),"")</f>
        <v>9</v>
      </c>
      <c r="Q24" s="63">
        <f t="array" ref="Q24">IFERROR(AVERAGE(IF(($C$4:$C$39=$O24)*($B$4:$B$39&gt;=Q$20)*($B$4:$B$39&lt;Q$21),$F$4:$F$39)),"")</f>
        <v>8.6666666666666661</v>
      </c>
      <c r="R24" s="63" t="str">
        <f t="array" ref="R24">IFERROR(AVERAGE(IF(($C$4:$C$39=$O24)*($B$4:$B$39&gt;=R$20)*($B$4:$B$39&lt;R$21),$F$4:$F$39)),"")</f>
        <v/>
      </c>
      <c r="S24" s="63">
        <f t="array" ref="S24">IFERROR(AVERAGE(IF(($C$4:$C$39=$O24)*($B$4:$B$39&gt;=S$20)*($B$4:$B$39&lt;S$21),$F$4:$F$39)),"")</f>
        <v>13</v>
      </c>
      <c r="T24" s="63" t="str">
        <f t="array" ref="T24">IFERROR(AVERAGE(IF(($C$4:$C$39=$O24)*($B$4:$B$39&gt;=T$20)*($B$4:$B$39&lt;T$21),$F$4:$F$39)),"")</f>
        <v/>
      </c>
    </row>
    <row r="25" spans="2:20" ht="19.5" customHeight="1">
      <c r="B25" s="52">
        <v>17</v>
      </c>
      <c r="C25" s="53" t="s">
        <v>92</v>
      </c>
      <c r="D25" s="47" t="str">
        <f t="shared" si="0"/>
        <v>기본형-남자</v>
      </c>
      <c r="E25" s="48">
        <f t="shared" si="1"/>
        <v>12600</v>
      </c>
      <c r="F25" s="54">
        <v>21</v>
      </c>
      <c r="G25" s="54">
        <v>2</v>
      </c>
      <c r="H25" s="50" t="str" cm="1">
        <f t="array" ref="H25">fn가입상태(F25,G25)</f>
        <v>2개월 미납</v>
      </c>
      <c r="K25" s="60">
        <v>41</v>
      </c>
      <c r="L25" s="61">
        <v>50</v>
      </c>
      <c r="M25" s="47" t="str">
        <v>07명</v>
      </c>
      <c r="O25" s="53" t="s">
        <v>109</v>
      </c>
      <c r="P25" s="63">
        <f t="array" ref="P25">IFERROR(AVERAGE(IF(($C$4:$C$39=$O25)*($B$4:$B$39&gt;=P$20)*($B$4:$B$39&lt;P$21),$F$4:$F$39)),"")</f>
        <v>7.666666666666667</v>
      </c>
      <c r="Q25" s="63">
        <f t="array" ref="Q25">IFERROR(AVERAGE(IF(($C$4:$C$39=$O25)*($B$4:$B$39&gt;=Q$20)*($B$4:$B$39&lt;Q$21),$F$4:$F$39)),"")</f>
        <v>16.5</v>
      </c>
      <c r="R25" s="63" t="str">
        <f t="array" ref="R25">IFERROR(AVERAGE(IF(($C$4:$C$39=$O25)*($B$4:$B$39&gt;=R$20)*($B$4:$B$39&lt;R$21),$F$4:$F$39)),"")</f>
        <v/>
      </c>
      <c r="S25" s="63">
        <f t="array" ref="S25">IFERROR(AVERAGE(IF(($C$4:$C$39=$O25)*($B$4:$B$39&gt;=S$20)*($B$4:$B$39&lt;S$21),$F$4:$F$39)),"")</f>
        <v>12.333333333333334</v>
      </c>
      <c r="T25" s="63">
        <f t="array" ref="T25">IFERROR(AVERAGE(IF(($C$4:$C$39=$O25)*($B$4:$B$39&gt;=T$20)*($B$4:$B$39&lt;T$21),$F$4:$F$39)),"")</f>
        <v>13.5</v>
      </c>
    </row>
    <row r="26" spans="2:20" ht="19.5" customHeight="1">
      <c r="B26" s="52">
        <v>29</v>
      </c>
      <c r="C26" s="53" t="s">
        <v>95</v>
      </c>
      <c r="D26" s="47" t="str">
        <f t="shared" si="0"/>
        <v>추가보장-남자</v>
      </c>
      <c r="E26" s="48">
        <f t="shared" si="1"/>
        <v>13700</v>
      </c>
      <c r="F26" s="54">
        <v>2</v>
      </c>
      <c r="G26" s="54">
        <v>2</v>
      </c>
      <c r="H26" s="50" t="str" cm="1">
        <f t="array" ref="H26">fn가입상태(F26,G26)</f>
        <v>2개월 미납</v>
      </c>
      <c r="K26" s="60">
        <v>51</v>
      </c>
      <c r="L26" s="61">
        <v>60</v>
      </c>
      <c r="M26" s="47" t="str">
        <v>05명</v>
      </c>
    </row>
    <row r="27" spans="2:20" ht="19.5" customHeight="1">
      <c r="B27" s="52">
        <v>26</v>
      </c>
      <c r="C27" s="53" t="s">
        <v>97</v>
      </c>
      <c r="D27" s="47" t="str">
        <f t="shared" si="0"/>
        <v>추가보장-남자</v>
      </c>
      <c r="E27" s="48">
        <f t="shared" si="1"/>
        <v>13700</v>
      </c>
      <c r="F27" s="54">
        <v>4</v>
      </c>
      <c r="G27" s="54">
        <v>1</v>
      </c>
      <c r="H27" s="50" t="str" cm="1">
        <f t="array" ref="H27">fn가입상태(F27,G27)</f>
        <v>1개월 미납</v>
      </c>
      <c r="K27" s="60">
        <v>61</v>
      </c>
      <c r="L27" s="61">
        <v>70</v>
      </c>
      <c r="M27" s="47" t="str">
        <v>03명</v>
      </c>
    </row>
    <row r="28" spans="2:20" ht="16.899999999999999">
      <c r="B28" s="52">
        <v>59</v>
      </c>
      <c r="C28" s="53" t="s">
        <v>97</v>
      </c>
      <c r="D28" s="47" t="str">
        <f t="shared" si="0"/>
        <v>추가보장-남자</v>
      </c>
      <c r="E28" s="48">
        <f t="shared" si="1"/>
        <v>45000</v>
      </c>
      <c r="F28" s="54">
        <v>2</v>
      </c>
      <c r="G28" s="54">
        <v>1</v>
      </c>
      <c r="H28" s="50" t="str" cm="1">
        <f t="array" ref="H28">fn가입상태(F28,G28)</f>
        <v>1개월 미납</v>
      </c>
      <c r="M28" s="21" t="str">
        <v>미가입</v>
      </c>
    </row>
    <row r="29" spans="2:20" ht="16.899999999999999">
      <c r="B29" s="52">
        <v>43</v>
      </c>
      <c r="C29" s="53" t="s">
        <v>99</v>
      </c>
      <c r="D29" s="47" t="str">
        <f t="shared" si="0"/>
        <v>기본형-남자</v>
      </c>
      <c r="E29" s="48">
        <f t="shared" si="1"/>
        <v>22500</v>
      </c>
      <c r="F29" s="54">
        <v>5</v>
      </c>
      <c r="G29" s="54">
        <v>2</v>
      </c>
      <c r="H29" s="50" t="str" cm="1">
        <f t="array" ref="H29">fn가입상태(F29,G29)</f>
        <v>2개월 미납</v>
      </c>
    </row>
    <row r="30" spans="2:20" ht="16.899999999999999">
      <c r="B30" s="52">
        <v>53</v>
      </c>
      <c r="C30" s="53" t="s">
        <v>97</v>
      </c>
      <c r="D30" s="47" t="str">
        <f t="shared" si="0"/>
        <v>추가보장-남자</v>
      </c>
      <c r="E30" s="48">
        <f t="shared" si="1"/>
        <v>45000</v>
      </c>
      <c r="F30" s="54">
        <v>21</v>
      </c>
      <c r="G30" s="54">
        <v>2</v>
      </c>
      <c r="H30" s="50" t="str" cm="1">
        <f t="array" ref="H30">fn가입상태(F30,G30)</f>
        <v>2개월 미납</v>
      </c>
    </row>
    <row r="31" spans="2:20" ht="16.899999999999999">
      <c r="B31" s="52">
        <v>29</v>
      </c>
      <c r="C31" s="53" t="s">
        <v>96</v>
      </c>
      <c r="D31" s="47" t="str">
        <f t="shared" si="0"/>
        <v>추가보장-여자</v>
      </c>
      <c r="E31" s="48">
        <f t="shared" si="1"/>
        <v>14200</v>
      </c>
      <c r="F31" s="54">
        <v>18</v>
      </c>
      <c r="G31" s="54">
        <v>1</v>
      </c>
      <c r="H31" s="50" t="str" cm="1">
        <f t="array" ref="H31">fn가입상태(F31,G31)</f>
        <v>1개월 미납</v>
      </c>
    </row>
    <row r="32" spans="2:20" ht="16.899999999999999">
      <c r="B32" s="52">
        <v>18</v>
      </c>
      <c r="C32" s="53" t="s">
        <v>98</v>
      </c>
      <c r="D32" s="47" t="str">
        <f t="shared" si="0"/>
        <v>기본형-남자</v>
      </c>
      <c r="E32" s="48">
        <f t="shared" si="1"/>
        <v>12800</v>
      </c>
      <c r="F32" s="54">
        <v>9</v>
      </c>
      <c r="G32" s="54">
        <v>1</v>
      </c>
      <c r="H32" s="50" t="str" cm="1">
        <f t="array" ref="H32">fn가입상태(F32,G32)</f>
        <v>1개월 미납</v>
      </c>
    </row>
    <row r="33" spans="2:17" ht="16.899999999999999">
      <c r="B33" s="52">
        <v>41</v>
      </c>
      <c r="C33" s="53" t="s">
        <v>99</v>
      </c>
      <c r="D33" s="47" t="str">
        <f t="shared" si="0"/>
        <v>기본형-남자</v>
      </c>
      <c r="E33" s="48">
        <f t="shared" si="1"/>
        <v>22500</v>
      </c>
      <c r="F33" s="54">
        <v>7</v>
      </c>
      <c r="G33" s="54">
        <v>0</v>
      </c>
      <c r="H33" s="50" t="str" cm="1">
        <f t="array" ref="H33">fn가입상태(F33,G33)</f>
        <v>정상</v>
      </c>
    </row>
    <row r="34" spans="2:17" ht="16.899999999999999">
      <c r="B34" s="52">
        <v>8</v>
      </c>
      <c r="C34" s="53" t="s">
        <v>97</v>
      </c>
      <c r="D34" s="47" t="str">
        <f t="shared" si="0"/>
        <v>추가보장-남자</v>
      </c>
      <c r="E34" s="48">
        <f t="shared" si="1"/>
        <v>13100</v>
      </c>
      <c r="F34" s="54">
        <v>9</v>
      </c>
      <c r="G34" s="54">
        <v>2</v>
      </c>
      <c r="H34" s="50" t="str" cm="1">
        <f t="array" ref="H34">fn가입상태(F34,G34)</f>
        <v>2개월 미납</v>
      </c>
    </row>
    <row r="35" spans="2:17" ht="16.899999999999999">
      <c r="B35" s="52">
        <v>64</v>
      </c>
      <c r="C35" s="53" t="s">
        <v>96</v>
      </c>
      <c r="D35" s="47" t="str">
        <f t="shared" si="0"/>
        <v>추가보장-여자</v>
      </c>
      <c r="E35" s="48">
        <f t="shared" si="1"/>
        <v>43900</v>
      </c>
      <c r="F35" s="54">
        <v>20</v>
      </c>
      <c r="G35" s="54">
        <v>1</v>
      </c>
      <c r="H35" s="50" t="str" cm="1">
        <f t="array" ref="H35">fn가입상태(F35,G35)</f>
        <v>1개월 미납</v>
      </c>
    </row>
    <row r="36" spans="2:17" ht="16.899999999999999">
      <c r="B36" s="52">
        <v>21</v>
      </c>
      <c r="C36" s="53" t="s">
        <v>96</v>
      </c>
      <c r="D36" s="47" t="str">
        <f t="shared" si="0"/>
        <v>추가보장-여자</v>
      </c>
      <c r="E36" s="48">
        <f t="shared" si="1"/>
        <v>14200</v>
      </c>
      <c r="F36" s="54">
        <v>12</v>
      </c>
      <c r="G36" s="54">
        <v>2</v>
      </c>
      <c r="H36" s="50" t="str" cm="1">
        <f t="array" ref="H36">fn가입상태(F36,G36)</f>
        <v>2개월 미납</v>
      </c>
    </row>
    <row r="37" spans="2:17" ht="16.899999999999999">
      <c r="B37" s="52">
        <v>25</v>
      </c>
      <c r="C37" s="53" t="s">
        <v>96</v>
      </c>
      <c r="D37" s="47" t="str">
        <f t="shared" si="0"/>
        <v>추가보장-여자</v>
      </c>
      <c r="E37" s="48">
        <f t="shared" si="1"/>
        <v>14200</v>
      </c>
      <c r="F37" s="54">
        <v>21</v>
      </c>
      <c r="G37" s="54">
        <v>0</v>
      </c>
      <c r="H37" s="50" t="str" cm="1">
        <f t="array" ref="H37">fn가입상태(F37,G37)</f>
        <v>정상</v>
      </c>
    </row>
    <row r="38" spans="2:17" ht="16.899999999999999">
      <c r="B38" s="52">
        <v>53</v>
      </c>
      <c r="C38" s="53" t="s">
        <v>96</v>
      </c>
      <c r="D38" s="47" t="str">
        <f t="shared" si="0"/>
        <v>추가보장-여자</v>
      </c>
      <c r="E38" s="48">
        <f t="shared" si="1"/>
        <v>34900</v>
      </c>
      <c r="F38" s="54">
        <v>23</v>
      </c>
      <c r="G38" s="54">
        <v>0</v>
      </c>
      <c r="H38" s="50" t="str" cm="1">
        <f t="array" ref="H38">fn가입상태(F38,G38)</f>
        <v>정상</v>
      </c>
    </row>
    <row r="39" spans="2:17" ht="16.899999999999999">
      <c r="B39" s="52">
        <v>59</v>
      </c>
      <c r="C39" s="53" t="s">
        <v>96</v>
      </c>
      <c r="D39" s="47" t="str">
        <f t="shared" si="0"/>
        <v>추가보장-여자</v>
      </c>
      <c r="E39" s="48">
        <f t="shared" si="1"/>
        <v>34900</v>
      </c>
      <c r="F39" s="54">
        <v>9</v>
      </c>
      <c r="G39" s="54">
        <v>1</v>
      </c>
      <c r="H39" s="50" t="str" cm="1">
        <f t="array" ref="H39">fn가입상태(F39,G39)</f>
        <v>1개월 미납</v>
      </c>
      <c r="O39"/>
      <c r="P39"/>
      <c r="Q39"/>
    </row>
    <row r="40" spans="2:17" ht="16.899999999999999">
      <c r="O40"/>
      <c r="P40"/>
      <c r="Q40"/>
    </row>
    <row r="41" spans="2:17" ht="16.899999999999999">
      <c r="O41"/>
      <c r="P41"/>
      <c r="Q41"/>
    </row>
    <row r="42" spans="2:17" ht="16.899999999999999">
      <c r="O42"/>
      <c r="P42"/>
      <c r="Q42"/>
    </row>
    <row r="43" spans="2:17" ht="16.899999999999999">
      <c r="O43"/>
      <c r="P43"/>
      <c r="Q43"/>
    </row>
    <row r="44" spans="2:17" ht="16.899999999999999">
      <c r="O44"/>
      <c r="P44"/>
      <c r="Q44"/>
    </row>
    <row r="45" spans="2:17" ht="16.899999999999999">
      <c r="O45"/>
      <c r="P45"/>
      <c r="Q45"/>
    </row>
    <row r="46" spans="2:17" ht="16.899999999999999">
      <c r="O46"/>
      <c r="P46"/>
    </row>
    <row r="47" spans="2:17" ht="16.899999999999999">
      <c r="O47"/>
      <c r="P47"/>
    </row>
    <row r="48" spans="2:17" ht="16.899999999999999">
      <c r="O48"/>
      <c r="P48"/>
    </row>
    <row r="49" spans="15:16" ht="16.899999999999999">
      <c r="O49"/>
      <c r="P49"/>
    </row>
    <row r="50" spans="15:16" ht="16.899999999999999">
      <c r="O50"/>
      <c r="P50"/>
    </row>
    <row r="51" spans="15:16" ht="16.899999999999999">
      <c r="O51"/>
      <c r="P51"/>
    </row>
    <row r="52" spans="15:16" ht="16.899999999999999">
      <c r="O52"/>
      <c r="P52"/>
    </row>
    <row r="53" spans="15:16" ht="16.899999999999999">
      <c r="O53"/>
      <c r="P53"/>
    </row>
    <row r="54" spans="15:16" ht="16.899999999999999">
      <c r="O54"/>
      <c r="P54"/>
    </row>
    <row r="55" spans="15:16" ht="16.899999999999999">
      <c r="O55"/>
      <c r="P55"/>
    </row>
    <row r="56" spans="15:16" ht="16.899999999999999">
      <c r="O56"/>
    </row>
    <row r="57" spans="15:16" ht="16.899999999999999">
      <c r="O57"/>
    </row>
  </sheetData>
  <customSheetViews>
    <customSheetView guid="{4FA91318-F568-4C4C-93A1-CBAB7D8E6C44}">
      <selection activeCell="E5" sqref="E5"/>
      <pageMargins left="0.7" right="0.7" top="0.75" bottom="0.75" header="0.3" footer="0.3"/>
      <pageSetup paperSize="9" orientation="portrait" r:id="rId1"/>
    </customSheetView>
  </customSheetViews>
  <mergeCells count="2">
    <mergeCell ref="O20:O21"/>
    <mergeCell ref="K20:L20"/>
  </mergeCells>
  <phoneticPr fontId="2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H20"/>
  <sheetViews>
    <sheetView windowProtection="1" workbookViewId="0"/>
  </sheetViews>
  <sheetFormatPr defaultRowHeight="16.899999999999999"/>
  <cols>
    <col min="1" max="1" width="6.8125" bestFit="1" customWidth="1"/>
    <col min="2" max="2" width="10.0625" bestFit="1" customWidth="1"/>
    <col min="3" max="6" width="11.375" bestFit="1" customWidth="1"/>
    <col min="7" max="7" width="15.875" bestFit="1" customWidth="1"/>
    <col min="8" max="8" width="10.875" bestFit="1" customWidth="1"/>
  </cols>
  <sheetData>
    <row r="3" spans="1:8">
      <c r="A3" s="1"/>
      <c r="B3" s="1"/>
      <c r="C3" s="106" t="s">
        <v>141</v>
      </c>
      <c r="D3" s="106" t="s">
        <v>193</v>
      </c>
      <c r="E3" s="1"/>
      <c r="F3" s="1"/>
      <c r="G3" s="1"/>
      <c r="H3" s="1"/>
    </row>
    <row r="4" spans="1:8">
      <c r="A4" s="1"/>
      <c r="B4" s="1"/>
      <c r="C4" s="108" t="s">
        <v>149</v>
      </c>
      <c r="D4" s="107"/>
      <c r="E4" s="108" t="s">
        <v>146</v>
      </c>
      <c r="F4" s="107"/>
      <c r="G4" s="108" t="s">
        <v>204</v>
      </c>
      <c r="H4" s="108" t="s">
        <v>194</v>
      </c>
    </row>
    <row r="5" spans="1:8">
      <c r="A5" s="106" t="s">
        <v>14</v>
      </c>
      <c r="B5" s="106" t="s">
        <v>15</v>
      </c>
      <c r="C5" s="109" t="s">
        <v>205</v>
      </c>
      <c r="D5" s="109" t="s">
        <v>195</v>
      </c>
      <c r="E5" s="109" t="s">
        <v>205</v>
      </c>
      <c r="F5" s="109" t="s">
        <v>195</v>
      </c>
      <c r="G5" s="107"/>
      <c r="H5" s="107"/>
    </row>
    <row r="6" spans="1:8">
      <c r="A6" s="1">
        <v>1</v>
      </c>
      <c r="B6" s="1"/>
      <c r="C6" s="105"/>
      <c r="D6" s="104"/>
      <c r="E6" s="105"/>
      <c r="F6" s="104"/>
      <c r="G6" s="105"/>
      <c r="H6" s="104"/>
    </row>
    <row r="7" spans="1:8">
      <c r="A7" s="1"/>
      <c r="B7" s="1" t="s">
        <v>196</v>
      </c>
      <c r="C7" s="105">
        <v>8.3333333333333339</v>
      </c>
      <c r="D7" s="104">
        <v>3</v>
      </c>
      <c r="E7" s="105">
        <v>4.25</v>
      </c>
      <c r="F7" s="104">
        <v>4</v>
      </c>
      <c r="G7" s="105">
        <v>6</v>
      </c>
      <c r="H7" s="104">
        <v>7</v>
      </c>
    </row>
    <row r="8" spans="1:8">
      <c r="A8" s="1"/>
      <c r="B8" s="1" t="s">
        <v>197</v>
      </c>
      <c r="C8" s="105">
        <v>10.6</v>
      </c>
      <c r="D8" s="104">
        <v>5</v>
      </c>
      <c r="E8" s="105" t="s">
        <v>206</v>
      </c>
      <c r="F8" s="104" t="s">
        <v>206</v>
      </c>
      <c r="G8" s="105">
        <v>10.6</v>
      </c>
      <c r="H8" s="104">
        <v>5</v>
      </c>
    </row>
    <row r="9" spans="1:8">
      <c r="A9" s="1"/>
      <c r="B9" s="1" t="s">
        <v>198</v>
      </c>
      <c r="C9" s="105">
        <v>12.5</v>
      </c>
      <c r="D9" s="104">
        <v>2</v>
      </c>
      <c r="E9" s="105">
        <v>6.75</v>
      </c>
      <c r="F9" s="104">
        <v>4</v>
      </c>
      <c r="G9" s="105">
        <v>8.6666666666666661</v>
      </c>
      <c r="H9" s="104">
        <v>6</v>
      </c>
    </row>
    <row r="10" spans="1:8">
      <c r="A10" s="1">
        <v>2</v>
      </c>
      <c r="B10" s="1"/>
      <c r="C10" s="105"/>
      <c r="D10" s="104"/>
      <c r="E10" s="105"/>
      <c r="F10" s="104"/>
      <c r="G10" s="105"/>
      <c r="H10" s="104"/>
    </row>
    <row r="11" spans="1:8">
      <c r="A11" s="1"/>
      <c r="B11" s="1" t="s">
        <v>199</v>
      </c>
      <c r="C11" s="105">
        <v>7.25</v>
      </c>
      <c r="D11" s="104">
        <v>4</v>
      </c>
      <c r="E11" s="105">
        <v>1.3333333333333333</v>
      </c>
      <c r="F11" s="104">
        <v>3</v>
      </c>
      <c r="G11" s="105">
        <v>4.7142857142857144</v>
      </c>
      <c r="H11" s="104">
        <v>7</v>
      </c>
    </row>
    <row r="12" spans="1:8">
      <c r="A12" s="1"/>
      <c r="B12" s="1" t="s">
        <v>200</v>
      </c>
      <c r="C12" s="105">
        <v>7.25</v>
      </c>
      <c r="D12" s="104">
        <v>4</v>
      </c>
      <c r="E12" s="105">
        <v>9</v>
      </c>
      <c r="F12" s="104">
        <v>3</v>
      </c>
      <c r="G12" s="105">
        <v>8</v>
      </c>
      <c r="H12" s="104">
        <v>7</v>
      </c>
    </row>
    <row r="13" spans="1:8">
      <c r="A13" s="1"/>
      <c r="B13" s="1" t="s">
        <v>201</v>
      </c>
      <c r="C13" s="105">
        <v>13.333333333333334</v>
      </c>
      <c r="D13" s="104">
        <v>3</v>
      </c>
      <c r="E13" s="105">
        <v>6.25</v>
      </c>
      <c r="F13" s="104">
        <v>4</v>
      </c>
      <c r="G13" s="105">
        <v>9.2857142857142865</v>
      </c>
      <c r="H13" s="104">
        <v>7</v>
      </c>
    </row>
    <row r="14" spans="1:8">
      <c r="A14" s="1"/>
      <c r="B14" s="1" t="s">
        <v>202</v>
      </c>
      <c r="C14" s="105">
        <v>11.166666666666666</v>
      </c>
      <c r="D14" s="104">
        <v>6</v>
      </c>
      <c r="E14" s="105">
        <v>13</v>
      </c>
      <c r="F14" s="104">
        <v>2</v>
      </c>
      <c r="G14" s="105">
        <v>11.625</v>
      </c>
      <c r="H14" s="104">
        <v>8</v>
      </c>
    </row>
    <row r="15" spans="1:8">
      <c r="A15" s="1">
        <v>3</v>
      </c>
      <c r="B15" s="1"/>
      <c r="C15" s="105"/>
      <c r="D15" s="104"/>
      <c r="E15" s="105"/>
      <c r="F15" s="104"/>
      <c r="G15" s="105"/>
      <c r="H15" s="104"/>
    </row>
    <row r="16" spans="1:8">
      <c r="A16" s="1"/>
      <c r="B16" s="1" t="s">
        <v>144</v>
      </c>
      <c r="C16" s="105">
        <v>8</v>
      </c>
      <c r="D16" s="104">
        <v>5</v>
      </c>
      <c r="E16" s="105">
        <v>14</v>
      </c>
      <c r="F16" s="104">
        <v>2</v>
      </c>
      <c r="G16" s="105">
        <v>9.7142857142857135</v>
      </c>
      <c r="H16" s="104">
        <v>7</v>
      </c>
    </row>
    <row r="17" spans="1:8">
      <c r="A17" s="1"/>
      <c r="B17" s="1" t="s">
        <v>160</v>
      </c>
      <c r="C17" s="105">
        <v>10.25</v>
      </c>
      <c r="D17" s="104">
        <v>4</v>
      </c>
      <c r="E17" s="105">
        <v>9.5</v>
      </c>
      <c r="F17" s="104">
        <v>6</v>
      </c>
      <c r="G17" s="105">
        <v>9.8000000000000007</v>
      </c>
      <c r="H17" s="104">
        <v>10</v>
      </c>
    </row>
    <row r="18" spans="1:8">
      <c r="A18" s="1"/>
      <c r="B18" s="1" t="s">
        <v>178</v>
      </c>
      <c r="C18" s="105">
        <v>10.25</v>
      </c>
      <c r="D18" s="104">
        <v>4</v>
      </c>
      <c r="E18" s="105">
        <v>9</v>
      </c>
      <c r="F18" s="104">
        <v>4</v>
      </c>
      <c r="G18" s="105">
        <v>9.625</v>
      </c>
      <c r="H18" s="104">
        <v>8</v>
      </c>
    </row>
    <row r="19" spans="1:8">
      <c r="A19" s="1"/>
      <c r="B19" s="1" t="s">
        <v>203</v>
      </c>
      <c r="C19" s="105">
        <v>11</v>
      </c>
      <c r="D19" s="104">
        <v>5</v>
      </c>
      <c r="E19" s="105">
        <v>4.333333333333333</v>
      </c>
      <c r="F19" s="104">
        <v>3</v>
      </c>
      <c r="G19" s="105">
        <v>8.5</v>
      </c>
      <c r="H19" s="104">
        <v>8</v>
      </c>
    </row>
    <row r="20" spans="1:8">
      <c r="A20" s="1" t="s">
        <v>192</v>
      </c>
      <c r="B20" s="1"/>
      <c r="C20" s="105">
        <v>9.8888888888888893</v>
      </c>
      <c r="D20" s="104">
        <v>45</v>
      </c>
      <c r="E20" s="105">
        <v>7.4285714285714288</v>
      </c>
      <c r="F20" s="104">
        <v>35</v>
      </c>
      <c r="G20" s="105">
        <v>8.8125</v>
      </c>
      <c r="H20" s="104">
        <v>80</v>
      </c>
    </row>
  </sheetData>
  <customSheetViews>
    <customSheetView guid="{4FA91318-F568-4C4C-93A1-CBAB7D8E6C44}">
      <selection activeCell="J31" sqref="J31"/>
      <pageMargins left="0.7" right="0.7" top="0.75" bottom="0.75" header="0.3" footer="0.3"/>
    </customSheetView>
  </customSheetViews>
  <mergeCells count="4">
    <mergeCell ref="C4:D4"/>
    <mergeCell ref="E4:F4"/>
    <mergeCell ref="G4:G5"/>
    <mergeCell ref="H4:H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38"/>
  <sheetViews>
    <sheetView windowProtection="1" workbookViewId="0">
      <selection activeCell="H1" sqref="H1"/>
    </sheetView>
  </sheetViews>
  <sheetFormatPr defaultRowHeight="16.899999999999999" outlineLevelRow="4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  <col min="8" max="8" width="9" customWidth="1"/>
  </cols>
  <sheetData>
    <row r="1" spans="2:7">
      <c r="B1" t="s">
        <v>118</v>
      </c>
    </row>
    <row r="2" spans="2:7">
      <c r="B2" s="95" t="s">
        <v>15</v>
      </c>
      <c r="C2" s="95" t="s">
        <v>140</v>
      </c>
      <c r="D2" s="95" t="s">
        <v>141</v>
      </c>
      <c r="E2" s="95" t="s">
        <v>142</v>
      </c>
      <c r="F2" s="95" t="s">
        <v>143</v>
      </c>
      <c r="G2" s="95" t="s">
        <v>190</v>
      </c>
    </row>
    <row r="3" spans="2:7" outlineLevel="4">
      <c r="B3" s="95" t="s">
        <v>144</v>
      </c>
      <c r="C3" s="95" t="s">
        <v>148</v>
      </c>
      <c r="D3" s="95" t="s">
        <v>149</v>
      </c>
      <c r="E3" s="96">
        <v>39223</v>
      </c>
      <c r="F3" s="95" t="s">
        <v>150</v>
      </c>
      <c r="G3" s="95">
        <v>13</v>
      </c>
    </row>
    <row r="4" spans="2:7" outlineLevel="4">
      <c r="B4" s="95" t="s">
        <v>144</v>
      </c>
      <c r="C4" s="95" t="s">
        <v>148</v>
      </c>
      <c r="D4" s="95" t="s">
        <v>149</v>
      </c>
      <c r="E4" s="96">
        <v>39304</v>
      </c>
      <c r="F4" s="95" t="s">
        <v>150</v>
      </c>
      <c r="G4" s="95">
        <v>12</v>
      </c>
    </row>
    <row r="5" spans="2:7" outlineLevel="4">
      <c r="B5" s="95" t="s">
        <v>144</v>
      </c>
      <c r="C5" s="95" t="s">
        <v>151</v>
      </c>
      <c r="D5" s="95" t="s">
        <v>149</v>
      </c>
      <c r="E5" s="96">
        <v>39262</v>
      </c>
      <c r="F5" s="95" t="s">
        <v>152</v>
      </c>
      <c r="G5" s="95">
        <v>15</v>
      </c>
    </row>
    <row r="6" spans="2:7" outlineLevel="4">
      <c r="B6" s="95" t="s">
        <v>144</v>
      </c>
      <c r="C6" s="95" t="s">
        <v>153</v>
      </c>
      <c r="D6" s="95" t="s">
        <v>149</v>
      </c>
      <c r="E6" s="96">
        <v>39137</v>
      </c>
      <c r="F6" s="95" t="s">
        <v>154</v>
      </c>
      <c r="G6" s="95">
        <v>14</v>
      </c>
    </row>
    <row r="7" spans="2:7" outlineLevel="4">
      <c r="B7" s="95" t="s">
        <v>144</v>
      </c>
      <c r="C7" s="95" t="s">
        <v>155</v>
      </c>
      <c r="D7" s="95" t="s">
        <v>149</v>
      </c>
      <c r="E7" s="96">
        <v>39336</v>
      </c>
      <c r="F7" s="95" t="s">
        <v>156</v>
      </c>
      <c r="G7" s="95">
        <v>13</v>
      </c>
    </row>
    <row r="8" spans="2:7" outlineLevel="4">
      <c r="B8" s="95" t="s">
        <v>144</v>
      </c>
      <c r="C8" s="95" t="s">
        <v>158</v>
      </c>
      <c r="D8" s="95" t="s">
        <v>149</v>
      </c>
      <c r="E8" s="96">
        <v>39346</v>
      </c>
      <c r="F8" s="95" t="s">
        <v>159</v>
      </c>
      <c r="G8" s="95">
        <v>15</v>
      </c>
    </row>
    <row r="9" spans="2:7" outlineLevel="3">
      <c r="B9" s="95"/>
      <c r="C9" s="95">
        <f>SUBTOTAL(3,C3:C8)</f>
        <v>6</v>
      </c>
      <c r="D9" s="110" t="s">
        <v>211</v>
      </c>
      <c r="E9" s="96"/>
      <c r="F9" s="95"/>
      <c r="G9" s="95"/>
    </row>
    <row r="10" spans="2:7" outlineLevel="4">
      <c r="B10" s="95" t="s">
        <v>144</v>
      </c>
      <c r="C10" s="95" t="s">
        <v>145</v>
      </c>
      <c r="D10" s="95" t="s">
        <v>146</v>
      </c>
      <c r="E10" s="96">
        <v>39121</v>
      </c>
      <c r="F10" s="95" t="s">
        <v>147</v>
      </c>
      <c r="G10" s="95">
        <v>15</v>
      </c>
    </row>
    <row r="11" spans="2:7" outlineLevel="4">
      <c r="B11" s="95" t="s">
        <v>144</v>
      </c>
      <c r="C11" s="95" t="s">
        <v>157</v>
      </c>
      <c r="D11" s="95" t="s">
        <v>146</v>
      </c>
      <c r="E11" s="96">
        <v>39143</v>
      </c>
      <c r="F11" s="95"/>
      <c r="G11" s="95">
        <v>15</v>
      </c>
    </row>
    <row r="12" spans="2:7" outlineLevel="3">
      <c r="B12" s="95"/>
      <c r="C12" s="95">
        <f>SUBTOTAL(3,C10:C11)</f>
        <v>2</v>
      </c>
      <c r="D12" s="110" t="s">
        <v>212</v>
      </c>
      <c r="E12" s="96"/>
      <c r="F12" s="95"/>
      <c r="G12" s="95"/>
    </row>
    <row r="13" spans="2:7" outlineLevel="2">
      <c r="B13" s="110" t="s">
        <v>207</v>
      </c>
      <c r="C13" s="95"/>
      <c r="D13" s="95"/>
      <c r="E13" s="96"/>
      <c r="F13" s="95"/>
      <c r="G13" s="95">
        <f>SUBTOTAL(1,G3:G11)</f>
        <v>14</v>
      </c>
    </row>
    <row r="14" spans="2:7" outlineLevel="4">
      <c r="B14" s="95" t="s">
        <v>160</v>
      </c>
      <c r="C14" s="95" t="s">
        <v>161</v>
      </c>
      <c r="D14" s="95" t="s">
        <v>149</v>
      </c>
      <c r="E14" s="96">
        <v>39116</v>
      </c>
      <c r="F14" s="95" t="s">
        <v>162</v>
      </c>
      <c r="G14" s="95">
        <v>10</v>
      </c>
    </row>
    <row r="15" spans="2:7" outlineLevel="4">
      <c r="B15" s="95" t="s">
        <v>160</v>
      </c>
      <c r="C15" s="95" t="s">
        <v>172</v>
      </c>
      <c r="D15" s="95" t="s">
        <v>149</v>
      </c>
      <c r="E15" s="96">
        <v>39085</v>
      </c>
      <c r="F15" s="95" t="s">
        <v>173</v>
      </c>
      <c r="G15" s="95">
        <v>12</v>
      </c>
    </row>
    <row r="16" spans="2:7" outlineLevel="4">
      <c r="B16" s="95" t="s">
        <v>160</v>
      </c>
      <c r="C16" s="95" t="s">
        <v>174</v>
      </c>
      <c r="D16" s="95" t="s">
        <v>149</v>
      </c>
      <c r="E16" s="96">
        <v>39423</v>
      </c>
      <c r="F16" s="95" t="s">
        <v>175</v>
      </c>
      <c r="G16" s="95">
        <v>15</v>
      </c>
    </row>
    <row r="17" spans="2:7" outlineLevel="3">
      <c r="B17" s="95"/>
      <c r="C17" s="95">
        <f>SUBTOTAL(3,C14:C16)</f>
        <v>3</v>
      </c>
      <c r="D17" s="110" t="s">
        <v>211</v>
      </c>
      <c r="E17" s="96"/>
      <c r="F17" s="95"/>
      <c r="G17" s="95"/>
    </row>
    <row r="18" spans="2:7" outlineLevel="4">
      <c r="B18" s="95" t="s">
        <v>160</v>
      </c>
      <c r="C18" s="95" t="s">
        <v>163</v>
      </c>
      <c r="D18" s="95" t="s">
        <v>146</v>
      </c>
      <c r="E18" s="96">
        <v>39189</v>
      </c>
      <c r="F18" s="95" t="s">
        <v>164</v>
      </c>
      <c r="G18" s="95">
        <v>15</v>
      </c>
    </row>
    <row r="19" spans="2:7" outlineLevel="4">
      <c r="B19" s="95" t="s">
        <v>160</v>
      </c>
      <c r="C19" s="95" t="s">
        <v>165</v>
      </c>
      <c r="D19" s="95" t="s">
        <v>146</v>
      </c>
      <c r="E19" s="96">
        <v>39426</v>
      </c>
      <c r="F19" s="95" t="s">
        <v>166</v>
      </c>
      <c r="G19" s="95">
        <v>13</v>
      </c>
    </row>
    <row r="20" spans="2:7" outlineLevel="4">
      <c r="B20" s="95" t="s">
        <v>160</v>
      </c>
      <c r="C20" s="95" t="s">
        <v>167</v>
      </c>
      <c r="D20" s="95" t="s">
        <v>146</v>
      </c>
      <c r="E20" s="96">
        <v>39121</v>
      </c>
      <c r="F20" s="95"/>
      <c r="G20" s="95">
        <v>15</v>
      </c>
    </row>
    <row r="21" spans="2:7" outlineLevel="4">
      <c r="B21" s="95" t="s">
        <v>160</v>
      </c>
      <c r="C21" s="95" t="s">
        <v>168</v>
      </c>
      <c r="D21" s="95" t="s">
        <v>146</v>
      </c>
      <c r="E21" s="96">
        <v>39303</v>
      </c>
      <c r="F21" s="95" t="s">
        <v>169</v>
      </c>
      <c r="G21" s="95">
        <v>14</v>
      </c>
    </row>
    <row r="22" spans="2:7" outlineLevel="4">
      <c r="B22" s="95" t="s">
        <v>160</v>
      </c>
      <c r="C22" s="95" t="s">
        <v>170</v>
      </c>
      <c r="D22" s="95" t="s">
        <v>146</v>
      </c>
      <c r="E22" s="96">
        <v>39341</v>
      </c>
      <c r="F22" s="95" t="s">
        <v>171</v>
      </c>
      <c r="G22" s="95">
        <v>13</v>
      </c>
    </row>
    <row r="23" spans="2:7" outlineLevel="4">
      <c r="B23" s="95" t="s">
        <v>160</v>
      </c>
      <c r="C23" s="95" t="s">
        <v>176</v>
      </c>
      <c r="D23" s="95" t="s">
        <v>146</v>
      </c>
      <c r="E23" s="96">
        <v>39202</v>
      </c>
      <c r="F23" s="95" t="s">
        <v>177</v>
      </c>
      <c r="G23" s="95">
        <v>15</v>
      </c>
    </row>
    <row r="24" spans="2:7" outlineLevel="3">
      <c r="B24" s="95"/>
      <c r="C24" s="95">
        <f>SUBTOTAL(3,C18:C23)</f>
        <v>6</v>
      </c>
      <c r="D24" s="110" t="s">
        <v>212</v>
      </c>
      <c r="E24" s="96"/>
      <c r="F24" s="95"/>
      <c r="G24" s="95"/>
    </row>
    <row r="25" spans="2:7" outlineLevel="2">
      <c r="B25" s="110" t="s">
        <v>208</v>
      </c>
      <c r="C25" s="95"/>
      <c r="D25" s="95"/>
      <c r="E25" s="96"/>
      <c r="F25" s="95"/>
      <c r="G25" s="95">
        <f>SUBTOTAL(1,G14:G23)</f>
        <v>13.555555555555555</v>
      </c>
    </row>
    <row r="26" spans="2:7" outlineLevel="4">
      <c r="B26" s="95" t="s">
        <v>178</v>
      </c>
      <c r="C26" s="95" t="s">
        <v>183</v>
      </c>
      <c r="D26" s="95" t="s">
        <v>149</v>
      </c>
      <c r="E26" s="96">
        <v>39440</v>
      </c>
      <c r="F26" s="95" t="s">
        <v>184</v>
      </c>
      <c r="G26" s="95">
        <v>9</v>
      </c>
    </row>
    <row r="27" spans="2:7" outlineLevel="4">
      <c r="B27" s="95" t="s">
        <v>178</v>
      </c>
      <c r="C27" s="95" t="s">
        <v>185</v>
      </c>
      <c r="D27" s="95" t="s">
        <v>149</v>
      </c>
      <c r="E27" s="96">
        <v>39365</v>
      </c>
      <c r="F27" s="95" t="s">
        <v>162</v>
      </c>
      <c r="G27" s="95">
        <v>15</v>
      </c>
    </row>
    <row r="28" spans="2:7" outlineLevel="4">
      <c r="B28" s="95" t="s">
        <v>178</v>
      </c>
      <c r="C28" s="95" t="s">
        <v>188</v>
      </c>
      <c r="D28" s="95" t="s">
        <v>149</v>
      </c>
      <c r="E28" s="96">
        <v>39321</v>
      </c>
      <c r="F28" s="95" t="s">
        <v>189</v>
      </c>
      <c r="G28" s="95">
        <v>14</v>
      </c>
    </row>
    <row r="29" spans="2:7" outlineLevel="3">
      <c r="B29" s="95"/>
      <c r="C29" s="95">
        <f>SUBTOTAL(3,C26:C28)</f>
        <v>3</v>
      </c>
      <c r="D29" s="110" t="s">
        <v>211</v>
      </c>
      <c r="E29" s="96"/>
      <c r="F29" s="95"/>
      <c r="G29" s="95"/>
    </row>
    <row r="30" spans="2:7" outlineLevel="4">
      <c r="B30" s="95" t="s">
        <v>178</v>
      </c>
      <c r="C30" s="95" t="s">
        <v>179</v>
      </c>
      <c r="D30" s="95" t="s">
        <v>146</v>
      </c>
      <c r="E30" s="96">
        <v>39084</v>
      </c>
      <c r="F30" s="95" t="s">
        <v>180</v>
      </c>
      <c r="G30" s="95">
        <v>14</v>
      </c>
    </row>
    <row r="31" spans="2:7" outlineLevel="4">
      <c r="B31" s="95" t="s">
        <v>178</v>
      </c>
      <c r="C31" s="95" t="s">
        <v>181</v>
      </c>
      <c r="D31" s="95" t="s">
        <v>146</v>
      </c>
      <c r="E31" s="96">
        <v>39331</v>
      </c>
      <c r="F31" s="95" t="s">
        <v>182</v>
      </c>
      <c r="G31" s="95">
        <v>12</v>
      </c>
    </row>
    <row r="32" spans="2:7" outlineLevel="4">
      <c r="B32" s="95" t="s">
        <v>178</v>
      </c>
      <c r="C32" s="95" t="s">
        <v>186</v>
      </c>
      <c r="D32" s="95" t="s">
        <v>146</v>
      </c>
      <c r="E32" s="96">
        <v>39334</v>
      </c>
      <c r="F32" s="95" t="s">
        <v>154</v>
      </c>
      <c r="G32" s="95">
        <v>15</v>
      </c>
    </row>
    <row r="33" spans="2:7" outlineLevel="4">
      <c r="B33" s="95" t="s">
        <v>178</v>
      </c>
      <c r="C33" s="95" t="s">
        <v>187</v>
      </c>
      <c r="D33" s="95" t="s">
        <v>146</v>
      </c>
      <c r="E33" s="96">
        <v>39251</v>
      </c>
      <c r="F33" s="95"/>
      <c r="G33" s="95">
        <v>15</v>
      </c>
    </row>
    <row r="34" spans="2:7" outlineLevel="3">
      <c r="B34" s="111"/>
      <c r="C34" s="111">
        <f>SUBTOTAL(3,C30:C33)</f>
        <v>4</v>
      </c>
      <c r="D34" s="113" t="s">
        <v>212</v>
      </c>
      <c r="E34" s="112"/>
      <c r="F34" s="111"/>
      <c r="G34" s="111"/>
    </row>
    <row r="35" spans="2:7" outlineLevel="2">
      <c r="B35" s="113" t="s">
        <v>209</v>
      </c>
      <c r="C35" s="111"/>
      <c r="D35" s="111"/>
      <c r="E35" s="112"/>
      <c r="F35" s="111"/>
      <c r="G35" s="111">
        <f>SUBTOTAL(1,G26:G33)</f>
        <v>13.428571428571429</v>
      </c>
    </row>
    <row r="36" spans="2:7" outlineLevel="2"/>
    <row r="37" spans="2:7" outlineLevel="2">
      <c r="B37" s="114" t="s">
        <v>210</v>
      </c>
      <c r="G37">
        <f>SUBTOTAL(1,G3:G36)</f>
        <v>13.666666666666666</v>
      </c>
    </row>
    <row r="38" spans="2:7" outlineLevel="2">
      <c r="B38" s="114"/>
      <c r="C38">
        <f>SUBTOTAL(3,C3:C37)</f>
        <v>24</v>
      </c>
      <c r="D38" s="114" t="s">
        <v>213</v>
      </c>
    </row>
  </sheetData>
  <sortState xmlns:xlrd2="http://schemas.microsoft.com/office/spreadsheetml/2017/richdata2" ref="B3:G36">
    <sortCondition ref="B3:B36"/>
    <sortCondition ref="D3:D36"/>
  </sortState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2:I21"/>
  <sheetViews>
    <sheetView windowProtection="1" topLeftCell="G2" zoomScaleNormal="100" workbookViewId="0">
      <selection activeCell="J2" sqref="J2"/>
    </sheetView>
  </sheetViews>
  <sheetFormatPr defaultColWidth="9" defaultRowHeight="16.899999999999999"/>
  <cols>
    <col min="1" max="1" width="9" style="21"/>
    <col min="2" max="9" width="9" style="22"/>
    <col min="10" max="16384" width="9" style="21"/>
  </cols>
  <sheetData>
    <row r="2" spans="2:9" ht="27">
      <c r="B2" s="27" t="s">
        <v>112</v>
      </c>
      <c r="C2" s="27"/>
      <c r="D2" s="27"/>
      <c r="E2" s="27"/>
      <c r="F2" s="27"/>
      <c r="G2" s="27"/>
      <c r="H2" s="27"/>
      <c r="I2" s="27"/>
    </row>
    <row r="4" spans="2:9" ht="16.5" customHeight="1">
      <c r="B4" s="101" t="s">
        <v>0</v>
      </c>
      <c r="C4" s="57" t="s">
        <v>1</v>
      </c>
      <c r="D4" s="101" t="s">
        <v>3</v>
      </c>
      <c r="E4" s="101" t="s">
        <v>4</v>
      </c>
      <c r="F4" s="101" t="s">
        <v>5</v>
      </c>
      <c r="G4" s="101"/>
      <c r="H4" s="101" t="s">
        <v>6</v>
      </c>
      <c r="I4" s="101"/>
    </row>
    <row r="5" spans="2:9">
      <c r="B5" s="101"/>
      <c r="C5" s="57" t="s">
        <v>2</v>
      </c>
      <c r="D5" s="101"/>
      <c r="E5" s="101"/>
      <c r="F5" s="57" t="s">
        <v>7</v>
      </c>
      <c r="G5" s="57" t="s">
        <v>8</v>
      </c>
      <c r="H5" s="57" t="s">
        <v>9</v>
      </c>
      <c r="I5" s="57" t="s">
        <v>10</v>
      </c>
    </row>
    <row r="6" spans="2:9">
      <c r="B6" s="28">
        <v>43908</v>
      </c>
      <c r="C6" s="29">
        <v>1162.5</v>
      </c>
      <c r="D6" s="30" t="s">
        <v>58</v>
      </c>
      <c r="E6" s="31">
        <v>-6.4000000000000003E-3</v>
      </c>
      <c r="F6" s="32">
        <v>1182.8399999999999</v>
      </c>
      <c r="G6" s="32">
        <v>1142.1600000000001</v>
      </c>
      <c r="H6" s="32">
        <v>1173.8</v>
      </c>
      <c r="I6" s="32">
        <v>1151.2</v>
      </c>
    </row>
    <row r="7" spans="2:9">
      <c r="B7" s="28">
        <v>43907</v>
      </c>
      <c r="C7" s="29">
        <v>1170</v>
      </c>
      <c r="D7" s="30" t="s">
        <v>59</v>
      </c>
      <c r="E7" s="31">
        <v>-1.9599999999999999E-2</v>
      </c>
      <c r="F7" s="32">
        <v>1190.47</v>
      </c>
      <c r="G7" s="32">
        <v>1149.53</v>
      </c>
      <c r="H7" s="32">
        <v>1181.4000000000001</v>
      </c>
      <c r="I7" s="32">
        <v>1158.5999999999999</v>
      </c>
    </row>
    <row r="8" spans="2:9">
      <c r="B8" s="28">
        <v>43906</v>
      </c>
      <c r="C8" s="29">
        <v>1193.4000000000001</v>
      </c>
      <c r="D8" s="33" t="s">
        <v>60</v>
      </c>
      <c r="E8" s="34">
        <v>2.8999999999999998E-3</v>
      </c>
      <c r="F8" s="32">
        <v>1214.28</v>
      </c>
      <c r="G8" s="32">
        <v>1172.52</v>
      </c>
      <c r="H8" s="32">
        <v>1205</v>
      </c>
      <c r="I8" s="32">
        <v>1181.8</v>
      </c>
    </row>
    <row r="9" spans="2:9">
      <c r="B9" s="28">
        <v>43905</v>
      </c>
      <c r="C9" s="29">
        <v>1190</v>
      </c>
      <c r="D9" s="33" t="s">
        <v>61</v>
      </c>
      <c r="E9" s="34">
        <v>2.0999999999999999E-3</v>
      </c>
      <c r="F9" s="32">
        <v>1210.82</v>
      </c>
      <c r="G9" s="32">
        <v>1169.18</v>
      </c>
      <c r="H9" s="32">
        <v>1201.5999999999999</v>
      </c>
      <c r="I9" s="32">
        <v>1178.4000000000001</v>
      </c>
    </row>
    <row r="10" spans="2:9">
      <c r="B10" s="28">
        <v>43904</v>
      </c>
      <c r="C10" s="29">
        <v>1187.5</v>
      </c>
      <c r="D10" s="30" t="s">
        <v>62</v>
      </c>
      <c r="E10" s="31">
        <v>-5.4000000000000003E-3</v>
      </c>
      <c r="F10" s="32">
        <v>1208.28</v>
      </c>
      <c r="G10" s="32">
        <v>1166.72</v>
      </c>
      <c r="H10" s="32">
        <v>1199.0999999999999</v>
      </c>
      <c r="I10" s="32">
        <v>1175.9000000000001</v>
      </c>
    </row>
    <row r="13" spans="2:9" ht="27">
      <c r="B13" s="27" t="s">
        <v>113</v>
      </c>
      <c r="C13" s="27"/>
      <c r="D13" s="27"/>
      <c r="E13" s="27"/>
      <c r="F13" s="27"/>
      <c r="G13" s="27"/>
      <c r="H13" s="27"/>
      <c r="I13" s="27"/>
    </row>
    <row r="15" spans="2:9">
      <c r="B15" s="101" t="s">
        <v>0</v>
      </c>
      <c r="C15" s="57" t="s">
        <v>1</v>
      </c>
      <c r="D15" s="101" t="s">
        <v>3</v>
      </c>
      <c r="E15" s="101" t="s">
        <v>4</v>
      </c>
      <c r="F15" s="101" t="s">
        <v>5</v>
      </c>
      <c r="G15" s="101"/>
      <c r="H15" s="101" t="s">
        <v>6</v>
      </c>
      <c r="I15" s="101"/>
    </row>
    <row r="16" spans="2:9">
      <c r="B16" s="101"/>
      <c r="C16" s="57" t="s">
        <v>2</v>
      </c>
      <c r="D16" s="101"/>
      <c r="E16" s="101"/>
      <c r="F16" s="57" t="s">
        <v>7</v>
      </c>
      <c r="G16" s="57" t="s">
        <v>8</v>
      </c>
      <c r="H16" s="57" t="s">
        <v>9</v>
      </c>
      <c r="I16" s="57" t="s">
        <v>10</v>
      </c>
    </row>
    <row r="17" spans="2:9">
      <c r="B17" s="28">
        <v>43908</v>
      </c>
      <c r="C17" s="29">
        <v>179</v>
      </c>
      <c r="D17" s="30" t="s">
        <v>63</v>
      </c>
      <c r="E17" s="31">
        <v>8.0999999999999996E-3</v>
      </c>
      <c r="F17" s="32">
        <v>191.53</v>
      </c>
      <c r="G17" s="32">
        <v>170.05</v>
      </c>
      <c r="H17" s="32">
        <v>180.79</v>
      </c>
      <c r="I17" s="32">
        <v>177.21</v>
      </c>
    </row>
    <row r="18" spans="2:9">
      <c r="B18" s="28">
        <v>43907</v>
      </c>
      <c r="C18" s="29">
        <v>177.57</v>
      </c>
      <c r="D18" s="30" t="s">
        <v>64</v>
      </c>
      <c r="E18" s="31">
        <v>-2.3999999999999998E-3</v>
      </c>
      <c r="F18" s="32">
        <v>189.99</v>
      </c>
      <c r="G18" s="32">
        <v>168.7</v>
      </c>
      <c r="H18" s="32">
        <v>179.34</v>
      </c>
      <c r="I18" s="32">
        <v>175.8</v>
      </c>
    </row>
    <row r="19" spans="2:9">
      <c r="B19" s="28">
        <v>43906</v>
      </c>
      <c r="C19" s="29">
        <v>178</v>
      </c>
      <c r="D19" s="33" t="s">
        <v>65</v>
      </c>
      <c r="E19" s="34">
        <v>0.01</v>
      </c>
      <c r="F19" s="32">
        <v>190.46</v>
      </c>
      <c r="G19" s="32">
        <v>169.1</v>
      </c>
      <c r="H19" s="32">
        <v>179.78</v>
      </c>
      <c r="I19" s="32">
        <v>176.22</v>
      </c>
    </row>
    <row r="20" spans="2:9">
      <c r="B20" s="28">
        <v>43905</v>
      </c>
      <c r="C20" s="29">
        <v>176.24</v>
      </c>
      <c r="D20" s="33" t="s">
        <v>66</v>
      </c>
      <c r="E20" s="34">
        <v>-4.1999999999999997E-3</v>
      </c>
      <c r="F20" s="32">
        <v>188.57</v>
      </c>
      <c r="G20" s="32">
        <v>167.43</v>
      </c>
      <c r="H20" s="32">
        <v>178</v>
      </c>
      <c r="I20" s="32">
        <v>174.48</v>
      </c>
    </row>
    <row r="21" spans="2:9">
      <c r="B21" s="28">
        <v>43904</v>
      </c>
      <c r="C21" s="29">
        <v>176.99</v>
      </c>
      <c r="D21" s="30" t="s">
        <v>67</v>
      </c>
      <c r="E21" s="31">
        <v>-1.06E-2</v>
      </c>
      <c r="F21" s="32">
        <v>189.37</v>
      </c>
      <c r="G21" s="32">
        <v>168.15</v>
      </c>
      <c r="H21" s="32">
        <v>178.75</v>
      </c>
      <c r="I21" s="32">
        <v>175.23</v>
      </c>
    </row>
  </sheetData>
  <customSheetViews>
    <customSheetView guid="{4FA91318-F568-4C4C-93A1-CBAB7D8E6C44}" topLeftCell="A3">
      <selection activeCell="K23" sqref="K23"/>
      <pageMargins left="0.7" right="0.7" top="0.75" bottom="0.75" header="0.3" footer="0.3"/>
      <pageSetup paperSize="9" orientation="portrait" r:id="rId1"/>
    </customSheetView>
  </customSheetViews>
  <mergeCells count="10">
    <mergeCell ref="B15:B16"/>
    <mergeCell ref="D15:D16"/>
    <mergeCell ref="E15:E16"/>
    <mergeCell ref="F15:G15"/>
    <mergeCell ref="H15:I15"/>
    <mergeCell ref="B4:B5"/>
    <mergeCell ref="D4:D5"/>
    <mergeCell ref="E4:E5"/>
    <mergeCell ref="F4:G4"/>
    <mergeCell ref="H4:I4"/>
  </mergeCells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3:M33"/>
  <sheetViews>
    <sheetView windowProtection="1" workbookViewId="0"/>
  </sheetViews>
  <sheetFormatPr defaultColWidth="9" defaultRowHeight="18" customHeight="1"/>
  <cols>
    <col min="1" max="12" width="9" style="21"/>
    <col min="13" max="13" width="9.625" style="21" customWidth="1"/>
    <col min="14" max="16384" width="9" style="21"/>
  </cols>
  <sheetData>
    <row r="3" spans="2:13" ht="18" customHeight="1">
      <c r="B3" s="24"/>
      <c r="C3" s="24"/>
      <c r="D3" s="25"/>
      <c r="E3" s="25"/>
      <c r="F3" s="25"/>
      <c r="G3" s="25"/>
      <c r="H3" s="25"/>
      <c r="I3" s="25"/>
      <c r="J3" s="26"/>
      <c r="K3" s="26"/>
      <c r="L3" s="26"/>
      <c r="M3" s="26"/>
    </row>
    <row r="4" spans="2:13" ht="18" customHeight="1">
      <c r="B4" s="24"/>
      <c r="C4" s="24"/>
      <c r="D4" s="25"/>
      <c r="E4" s="25"/>
      <c r="F4" s="25"/>
      <c r="G4" s="25"/>
      <c r="H4" s="25"/>
      <c r="I4" s="25"/>
      <c r="J4" s="26"/>
      <c r="K4" s="26"/>
      <c r="L4" s="26"/>
      <c r="M4" s="26"/>
    </row>
    <row r="5" spans="2:13" ht="18" customHeight="1">
      <c r="B5" s="91" t="s">
        <v>14</v>
      </c>
      <c r="C5" s="92" t="s">
        <v>15</v>
      </c>
      <c r="D5" s="92" t="s">
        <v>16</v>
      </c>
      <c r="E5" s="93">
        <v>42432</v>
      </c>
      <c r="F5" s="93">
        <v>42439</v>
      </c>
      <c r="G5" s="93">
        <v>42446</v>
      </c>
      <c r="H5" s="93">
        <v>42453</v>
      </c>
      <c r="I5" s="93">
        <v>42460</v>
      </c>
      <c r="J5" s="93">
        <v>42467</v>
      </c>
      <c r="K5" s="93">
        <v>42474</v>
      </c>
      <c r="L5" s="93">
        <v>42481</v>
      </c>
      <c r="M5" s="93" t="s">
        <v>139</v>
      </c>
    </row>
    <row r="6" spans="2:13" ht="18" customHeight="1">
      <c r="B6" s="5">
        <v>1</v>
      </c>
      <c r="C6" s="6" t="s">
        <v>120</v>
      </c>
      <c r="D6" s="5" t="s">
        <v>121</v>
      </c>
      <c r="E6" s="115">
        <v>1</v>
      </c>
      <c r="F6" s="115">
        <v>1</v>
      </c>
      <c r="G6" s="115">
        <v>1</v>
      </c>
      <c r="H6" s="115">
        <v>1</v>
      </c>
      <c r="I6" s="115">
        <v>1</v>
      </c>
      <c r="J6" s="115">
        <v>1</v>
      </c>
      <c r="K6" s="115">
        <v>1</v>
      </c>
      <c r="L6" s="115">
        <v>1</v>
      </c>
      <c r="M6" s="94">
        <f>SUM(E6:L6)</f>
        <v>8</v>
      </c>
    </row>
    <row r="7" spans="2:13" ht="18" customHeight="1">
      <c r="B7" s="8">
        <v>1</v>
      </c>
      <c r="C7" s="9" t="s">
        <v>120</v>
      </c>
      <c r="D7" s="10" t="s">
        <v>122</v>
      </c>
      <c r="E7" s="115">
        <v>1</v>
      </c>
      <c r="F7" s="115">
        <v>1</v>
      </c>
      <c r="G7" s="115">
        <v>0</v>
      </c>
      <c r="H7" s="115">
        <v>1</v>
      </c>
      <c r="I7" s="115">
        <v>1</v>
      </c>
      <c r="J7" s="115">
        <v>1</v>
      </c>
      <c r="K7" s="115">
        <v>1</v>
      </c>
      <c r="L7" s="115">
        <v>1</v>
      </c>
      <c r="M7" s="94">
        <f t="shared" ref="M7:M33" si="0">SUM(E7:L7)</f>
        <v>7</v>
      </c>
    </row>
    <row r="8" spans="2:13" ht="18" customHeight="1">
      <c r="B8" s="5">
        <v>1</v>
      </c>
      <c r="C8" s="6" t="s">
        <v>120</v>
      </c>
      <c r="D8" s="5" t="s">
        <v>123</v>
      </c>
      <c r="E8" s="115">
        <v>0</v>
      </c>
      <c r="F8" s="115">
        <v>1</v>
      </c>
      <c r="G8" s="115">
        <v>1</v>
      </c>
      <c r="H8" s="115">
        <v>1</v>
      </c>
      <c r="I8" s="115">
        <v>1</v>
      </c>
      <c r="J8" s="115">
        <v>1</v>
      </c>
      <c r="K8" s="115">
        <v>1</v>
      </c>
      <c r="L8" s="115">
        <v>1</v>
      </c>
      <c r="M8" s="94">
        <f t="shared" si="0"/>
        <v>7</v>
      </c>
    </row>
    <row r="9" spans="2:13" ht="18" customHeight="1">
      <c r="B9" s="12">
        <v>1</v>
      </c>
      <c r="C9" s="11" t="s">
        <v>124</v>
      </c>
      <c r="D9" s="14" t="s">
        <v>125</v>
      </c>
      <c r="E9" s="115">
        <v>1</v>
      </c>
      <c r="F9" s="115">
        <v>1</v>
      </c>
      <c r="G9" s="115">
        <v>1</v>
      </c>
      <c r="H9" s="115">
        <v>1</v>
      </c>
      <c r="I9" s="115">
        <v>1</v>
      </c>
      <c r="J9" s="115">
        <v>1</v>
      </c>
      <c r="K9" s="115">
        <v>1</v>
      </c>
      <c r="L9" s="115">
        <v>1</v>
      </c>
      <c r="M9" s="94">
        <f t="shared" si="0"/>
        <v>8</v>
      </c>
    </row>
    <row r="10" spans="2:13" ht="18" customHeight="1">
      <c r="B10" s="12">
        <v>1</v>
      </c>
      <c r="C10" s="11" t="s">
        <v>124</v>
      </c>
      <c r="D10" s="12" t="s">
        <v>126</v>
      </c>
      <c r="E10" s="115">
        <v>0</v>
      </c>
      <c r="F10" s="115">
        <v>1</v>
      </c>
      <c r="G10" s="115">
        <v>1</v>
      </c>
      <c r="H10" s="115">
        <v>1</v>
      </c>
      <c r="I10" s="115">
        <v>1</v>
      </c>
      <c r="J10" s="115">
        <v>1</v>
      </c>
      <c r="K10" s="115">
        <v>1</v>
      </c>
      <c r="L10" s="115">
        <v>1</v>
      </c>
      <c r="M10" s="94">
        <f t="shared" si="0"/>
        <v>7</v>
      </c>
    </row>
    <row r="11" spans="2:13" ht="18" customHeight="1">
      <c r="B11" s="12">
        <v>1</v>
      </c>
      <c r="C11" s="11" t="s">
        <v>124</v>
      </c>
      <c r="D11" s="12" t="s">
        <v>127</v>
      </c>
      <c r="E11" s="115">
        <v>1</v>
      </c>
      <c r="F11" s="115">
        <v>1</v>
      </c>
      <c r="G11" s="115">
        <v>1</v>
      </c>
      <c r="H11" s="115">
        <v>1</v>
      </c>
      <c r="I11" s="115">
        <v>1</v>
      </c>
      <c r="J11" s="115">
        <v>1</v>
      </c>
      <c r="K11" s="115">
        <v>0</v>
      </c>
      <c r="L11" s="115">
        <v>0</v>
      </c>
      <c r="M11" s="94">
        <f t="shared" si="0"/>
        <v>6</v>
      </c>
    </row>
    <row r="12" spans="2:13" ht="18" customHeight="1">
      <c r="B12" s="11">
        <v>1</v>
      </c>
      <c r="C12" s="11" t="s">
        <v>124</v>
      </c>
      <c r="D12" s="12" t="s">
        <v>128</v>
      </c>
      <c r="E12" s="115">
        <v>0</v>
      </c>
      <c r="F12" s="115">
        <v>1</v>
      </c>
      <c r="G12" s="115">
        <v>1</v>
      </c>
      <c r="H12" s="115">
        <v>1</v>
      </c>
      <c r="I12" s="115">
        <v>0</v>
      </c>
      <c r="J12" s="115">
        <v>1</v>
      </c>
      <c r="K12" s="115">
        <v>1</v>
      </c>
      <c r="L12" s="115">
        <v>1</v>
      </c>
      <c r="M12" s="94">
        <f t="shared" si="0"/>
        <v>6</v>
      </c>
    </row>
    <row r="13" spans="2:13" ht="18" customHeight="1">
      <c r="B13" s="13">
        <v>1</v>
      </c>
      <c r="C13" s="13" t="s">
        <v>129</v>
      </c>
      <c r="D13" s="13" t="s">
        <v>130</v>
      </c>
      <c r="E13" s="115">
        <v>1</v>
      </c>
      <c r="F13" s="115">
        <v>1</v>
      </c>
      <c r="G13" s="115">
        <v>1</v>
      </c>
      <c r="H13" s="115">
        <v>1</v>
      </c>
      <c r="I13" s="115">
        <v>1</v>
      </c>
      <c r="J13" s="115">
        <v>1</v>
      </c>
      <c r="K13" s="115">
        <v>1</v>
      </c>
      <c r="L13" s="115">
        <v>1</v>
      </c>
      <c r="M13" s="94">
        <f t="shared" si="0"/>
        <v>8</v>
      </c>
    </row>
    <row r="14" spans="2:13" ht="18" customHeight="1">
      <c r="B14" s="13">
        <v>1</v>
      </c>
      <c r="C14" s="13" t="s">
        <v>129</v>
      </c>
      <c r="D14" s="13" t="s">
        <v>131</v>
      </c>
      <c r="E14" s="115">
        <v>1</v>
      </c>
      <c r="F14" s="115">
        <v>1</v>
      </c>
      <c r="G14" s="115">
        <v>1</v>
      </c>
      <c r="H14" s="115">
        <v>1</v>
      </c>
      <c r="I14" s="115">
        <v>1</v>
      </c>
      <c r="J14" s="115">
        <v>1</v>
      </c>
      <c r="K14" s="115">
        <v>1</v>
      </c>
      <c r="L14" s="115">
        <v>1</v>
      </c>
      <c r="M14" s="94">
        <f t="shared" si="0"/>
        <v>8</v>
      </c>
    </row>
    <row r="15" spans="2:13" ht="18" customHeight="1">
      <c r="B15" s="13">
        <v>1</v>
      </c>
      <c r="C15" s="13" t="s">
        <v>129</v>
      </c>
      <c r="D15" s="13" t="s">
        <v>132</v>
      </c>
      <c r="E15" s="115">
        <v>1</v>
      </c>
      <c r="F15" s="115">
        <v>1</v>
      </c>
      <c r="G15" s="115">
        <v>1</v>
      </c>
      <c r="H15" s="115">
        <v>0</v>
      </c>
      <c r="I15" s="115">
        <v>1</v>
      </c>
      <c r="J15" s="115">
        <v>0</v>
      </c>
      <c r="K15" s="115">
        <v>0</v>
      </c>
      <c r="L15" s="115">
        <v>0</v>
      </c>
      <c r="M15" s="94">
        <f t="shared" si="0"/>
        <v>4</v>
      </c>
    </row>
    <row r="16" spans="2:13" ht="18" customHeight="1">
      <c r="B16" s="11">
        <v>2</v>
      </c>
      <c r="C16" s="11" t="s">
        <v>133</v>
      </c>
      <c r="D16" s="12" t="s">
        <v>41</v>
      </c>
      <c r="E16" s="115">
        <v>1</v>
      </c>
      <c r="F16" s="115">
        <v>1</v>
      </c>
      <c r="G16" s="115">
        <v>1</v>
      </c>
      <c r="H16" s="115">
        <v>1</v>
      </c>
      <c r="I16" s="115">
        <v>1</v>
      </c>
      <c r="J16" s="115">
        <v>1</v>
      </c>
      <c r="K16" s="115">
        <v>1</v>
      </c>
      <c r="L16" s="115">
        <v>1</v>
      </c>
      <c r="M16" s="94">
        <f t="shared" si="0"/>
        <v>8</v>
      </c>
    </row>
    <row r="17" spans="2:13" ht="18" customHeight="1">
      <c r="B17" s="12">
        <v>2</v>
      </c>
      <c r="C17" s="11" t="s">
        <v>133</v>
      </c>
      <c r="D17" s="12" t="s">
        <v>28</v>
      </c>
      <c r="E17" s="115">
        <v>1</v>
      </c>
      <c r="F17" s="115">
        <v>1</v>
      </c>
      <c r="G17" s="115">
        <v>1</v>
      </c>
      <c r="H17" s="115">
        <v>1</v>
      </c>
      <c r="I17" s="115">
        <v>1</v>
      </c>
      <c r="J17" s="115"/>
      <c r="K17" s="115">
        <v>1</v>
      </c>
      <c r="L17" s="115">
        <v>1</v>
      </c>
      <c r="M17" s="94">
        <f t="shared" si="0"/>
        <v>7</v>
      </c>
    </row>
    <row r="18" spans="2:13" ht="18" customHeight="1">
      <c r="B18" s="19">
        <v>2</v>
      </c>
      <c r="C18" s="15" t="s">
        <v>134</v>
      </c>
      <c r="D18" s="5" t="s">
        <v>42</v>
      </c>
      <c r="E18" s="115">
        <v>1</v>
      </c>
      <c r="F18" s="115">
        <v>1</v>
      </c>
      <c r="G18" s="115">
        <v>1</v>
      </c>
      <c r="H18" s="115">
        <v>1</v>
      </c>
      <c r="I18" s="115">
        <v>1</v>
      </c>
      <c r="J18" s="115">
        <v>1</v>
      </c>
      <c r="K18" s="115">
        <v>1</v>
      </c>
      <c r="L18" s="115">
        <v>1</v>
      </c>
      <c r="M18" s="94">
        <f t="shared" si="0"/>
        <v>8</v>
      </c>
    </row>
    <row r="19" spans="2:13" ht="18" customHeight="1">
      <c r="B19" s="5">
        <v>2</v>
      </c>
      <c r="C19" s="15" t="s">
        <v>134</v>
      </c>
      <c r="D19" s="5" t="s">
        <v>43</v>
      </c>
      <c r="E19" s="115">
        <v>1</v>
      </c>
      <c r="F19" s="115">
        <v>1</v>
      </c>
      <c r="G19" s="115">
        <v>1</v>
      </c>
      <c r="H19" s="115">
        <v>1</v>
      </c>
      <c r="I19" s="115">
        <v>1</v>
      </c>
      <c r="J19" s="115">
        <v>1</v>
      </c>
      <c r="K19" s="115">
        <v>1</v>
      </c>
      <c r="L19" s="115">
        <v>1</v>
      </c>
      <c r="M19" s="94">
        <f t="shared" si="0"/>
        <v>8</v>
      </c>
    </row>
    <row r="20" spans="2:13" ht="18" customHeight="1">
      <c r="B20" s="5">
        <v>2</v>
      </c>
      <c r="C20" s="15" t="s">
        <v>134</v>
      </c>
      <c r="D20" s="5" t="s">
        <v>31</v>
      </c>
      <c r="E20" s="115">
        <v>1</v>
      </c>
      <c r="F20" s="115">
        <v>1</v>
      </c>
      <c r="G20" s="115">
        <v>1</v>
      </c>
      <c r="H20" s="115">
        <v>1</v>
      </c>
      <c r="I20" s="115">
        <v>1</v>
      </c>
      <c r="J20" s="115">
        <v>1</v>
      </c>
      <c r="K20" s="115">
        <v>1</v>
      </c>
      <c r="L20" s="115">
        <v>1</v>
      </c>
      <c r="M20" s="94">
        <f t="shared" si="0"/>
        <v>8</v>
      </c>
    </row>
    <row r="21" spans="2:13" ht="18" customHeight="1">
      <c r="B21" s="5">
        <v>2</v>
      </c>
      <c r="C21" s="15" t="s">
        <v>134</v>
      </c>
      <c r="D21" s="5" t="s">
        <v>33</v>
      </c>
      <c r="E21" s="115">
        <v>1</v>
      </c>
      <c r="F21" s="115">
        <v>1</v>
      </c>
      <c r="G21" s="115">
        <v>1</v>
      </c>
      <c r="H21" s="115">
        <v>1</v>
      </c>
      <c r="I21" s="115">
        <v>1</v>
      </c>
      <c r="J21" s="115"/>
      <c r="K21" s="115">
        <v>1</v>
      </c>
      <c r="L21" s="115">
        <v>1</v>
      </c>
      <c r="M21" s="94">
        <f t="shared" si="0"/>
        <v>7</v>
      </c>
    </row>
    <row r="22" spans="2:13" ht="18" customHeight="1">
      <c r="B22" s="16">
        <v>2</v>
      </c>
      <c r="C22" s="16" t="s">
        <v>135</v>
      </c>
      <c r="D22" s="13" t="s">
        <v>44</v>
      </c>
      <c r="E22" s="115">
        <v>1</v>
      </c>
      <c r="F22" s="115">
        <v>1</v>
      </c>
      <c r="G22" s="115">
        <v>1</v>
      </c>
      <c r="H22" s="115">
        <v>1</v>
      </c>
      <c r="I22" s="115">
        <v>1</v>
      </c>
      <c r="J22" s="115">
        <v>1</v>
      </c>
      <c r="K22" s="115">
        <v>1</v>
      </c>
      <c r="L22" s="115">
        <v>1</v>
      </c>
      <c r="M22" s="94">
        <f t="shared" si="0"/>
        <v>8</v>
      </c>
    </row>
    <row r="23" spans="2:13" ht="18" customHeight="1">
      <c r="B23" s="13">
        <v>2</v>
      </c>
      <c r="C23" s="16" t="s">
        <v>135</v>
      </c>
      <c r="D23" s="13" t="s">
        <v>45</v>
      </c>
      <c r="E23" s="115">
        <v>1</v>
      </c>
      <c r="F23" s="115">
        <v>1</v>
      </c>
      <c r="G23" s="115">
        <v>1</v>
      </c>
      <c r="H23" s="115">
        <v>1</v>
      </c>
      <c r="I23" s="115">
        <v>1</v>
      </c>
      <c r="J23" s="115">
        <v>1</v>
      </c>
      <c r="K23" s="115">
        <v>1</v>
      </c>
      <c r="L23" s="115">
        <v>1</v>
      </c>
      <c r="M23" s="94">
        <f t="shared" si="0"/>
        <v>8</v>
      </c>
    </row>
    <row r="24" spans="2:13" ht="18" customHeight="1">
      <c r="B24" s="12">
        <v>2</v>
      </c>
      <c r="C24" s="11" t="s">
        <v>135</v>
      </c>
      <c r="D24" s="12" t="s">
        <v>46</v>
      </c>
      <c r="E24" s="115">
        <v>1</v>
      </c>
      <c r="F24" s="115">
        <v>0</v>
      </c>
      <c r="G24" s="115">
        <v>1</v>
      </c>
      <c r="H24" s="115">
        <v>1</v>
      </c>
      <c r="I24" s="115">
        <v>1</v>
      </c>
      <c r="J24" s="115">
        <v>1</v>
      </c>
      <c r="K24" s="115">
        <v>1</v>
      </c>
      <c r="L24" s="115">
        <v>1</v>
      </c>
      <c r="M24" s="94">
        <f t="shared" si="0"/>
        <v>7</v>
      </c>
    </row>
    <row r="25" spans="2:13" ht="18" customHeight="1">
      <c r="B25" s="13">
        <v>2</v>
      </c>
      <c r="C25" s="16" t="s">
        <v>135</v>
      </c>
      <c r="D25" s="13" t="s">
        <v>35</v>
      </c>
      <c r="E25" s="115">
        <v>1</v>
      </c>
      <c r="F25" s="115">
        <v>1</v>
      </c>
      <c r="G25" s="115">
        <v>0</v>
      </c>
      <c r="H25" s="115">
        <v>1</v>
      </c>
      <c r="I25" s="115">
        <v>0</v>
      </c>
      <c r="J25" s="115">
        <v>0</v>
      </c>
      <c r="K25" s="115">
        <v>1</v>
      </c>
      <c r="L25" s="115">
        <v>1</v>
      </c>
      <c r="M25" s="94">
        <f t="shared" si="0"/>
        <v>5</v>
      </c>
    </row>
    <row r="26" spans="2:13" ht="18" customHeight="1">
      <c r="B26" s="13">
        <v>2</v>
      </c>
      <c r="C26" s="16" t="s">
        <v>135</v>
      </c>
      <c r="D26" s="13" t="s">
        <v>37</v>
      </c>
      <c r="E26" s="115">
        <v>0</v>
      </c>
      <c r="F26" s="115">
        <v>1</v>
      </c>
      <c r="G26" s="115">
        <v>1</v>
      </c>
      <c r="H26" s="115">
        <v>0</v>
      </c>
      <c r="I26" s="115">
        <v>1</v>
      </c>
      <c r="J26" s="115">
        <v>0</v>
      </c>
      <c r="K26" s="115">
        <v>1</v>
      </c>
      <c r="L26" s="115">
        <v>0</v>
      </c>
      <c r="M26" s="94">
        <f t="shared" si="0"/>
        <v>4</v>
      </c>
    </row>
    <row r="27" spans="2:13" ht="18" customHeight="1">
      <c r="B27" s="18">
        <v>2</v>
      </c>
      <c r="C27" s="18" t="s">
        <v>136</v>
      </c>
      <c r="D27" s="17" t="s">
        <v>47</v>
      </c>
      <c r="E27" s="115">
        <v>1</v>
      </c>
      <c r="F27" s="115">
        <v>1</v>
      </c>
      <c r="G27" s="115">
        <v>1</v>
      </c>
      <c r="H27" s="115">
        <v>1</v>
      </c>
      <c r="I27" s="115">
        <v>1</v>
      </c>
      <c r="J27" s="115">
        <v>1</v>
      </c>
      <c r="K27" s="115">
        <v>1</v>
      </c>
      <c r="L27" s="115">
        <v>1</v>
      </c>
      <c r="M27" s="94">
        <f t="shared" si="0"/>
        <v>8</v>
      </c>
    </row>
    <row r="28" spans="2:13" ht="18" customHeight="1">
      <c r="B28" s="17">
        <v>2</v>
      </c>
      <c r="C28" s="18" t="s">
        <v>136</v>
      </c>
      <c r="D28" s="17" t="s">
        <v>48</v>
      </c>
      <c r="E28" s="115">
        <v>1</v>
      </c>
      <c r="F28" s="115">
        <v>1</v>
      </c>
      <c r="G28" s="115">
        <v>1</v>
      </c>
      <c r="H28" s="115">
        <v>1</v>
      </c>
      <c r="I28" s="115">
        <v>1</v>
      </c>
      <c r="J28" s="115">
        <v>1</v>
      </c>
      <c r="K28" s="115">
        <v>1</v>
      </c>
      <c r="L28" s="115">
        <v>1</v>
      </c>
      <c r="M28" s="94">
        <f t="shared" si="0"/>
        <v>8</v>
      </c>
    </row>
    <row r="29" spans="2:13" ht="18" customHeight="1">
      <c r="B29" s="17">
        <v>2</v>
      </c>
      <c r="C29" s="18" t="s">
        <v>136</v>
      </c>
      <c r="D29" s="17" t="s">
        <v>137</v>
      </c>
      <c r="E29" s="115">
        <v>1</v>
      </c>
      <c r="F29" s="115">
        <v>1</v>
      </c>
      <c r="G29" s="115">
        <v>1</v>
      </c>
      <c r="H29" s="115">
        <v>1</v>
      </c>
      <c r="I29" s="115">
        <v>1</v>
      </c>
      <c r="J29" s="115">
        <v>1</v>
      </c>
      <c r="K29" s="115">
        <v>1</v>
      </c>
      <c r="L29" s="115">
        <v>1</v>
      </c>
      <c r="M29" s="94">
        <f t="shared" si="0"/>
        <v>8</v>
      </c>
    </row>
    <row r="30" spans="2:13" ht="18" customHeight="1">
      <c r="B30" s="17">
        <v>2</v>
      </c>
      <c r="C30" s="18" t="s">
        <v>136</v>
      </c>
      <c r="D30" s="17" t="s">
        <v>50</v>
      </c>
      <c r="E30" s="115">
        <v>1</v>
      </c>
      <c r="F30" s="115">
        <v>1</v>
      </c>
      <c r="G30" s="115">
        <v>1</v>
      </c>
      <c r="H30" s="115">
        <v>1</v>
      </c>
      <c r="I30" s="115">
        <v>1</v>
      </c>
      <c r="J30" s="115">
        <v>0</v>
      </c>
      <c r="K30" s="115">
        <v>1</v>
      </c>
      <c r="L30" s="115">
        <v>1</v>
      </c>
      <c r="M30" s="94">
        <f t="shared" si="0"/>
        <v>7</v>
      </c>
    </row>
    <row r="31" spans="2:13" ht="18" customHeight="1">
      <c r="B31" s="17">
        <v>2</v>
      </c>
      <c r="C31" s="18" t="s">
        <v>136</v>
      </c>
      <c r="D31" s="17" t="s">
        <v>51</v>
      </c>
      <c r="E31" s="115">
        <v>0</v>
      </c>
      <c r="F31" s="115">
        <v>1</v>
      </c>
      <c r="G31" s="115">
        <v>1</v>
      </c>
      <c r="H31" s="115">
        <v>1</v>
      </c>
      <c r="I31" s="115">
        <v>0</v>
      </c>
      <c r="J31" s="115">
        <v>1</v>
      </c>
      <c r="K31" s="115">
        <v>1</v>
      </c>
      <c r="L31" s="115">
        <v>1</v>
      </c>
      <c r="M31" s="94">
        <f t="shared" si="0"/>
        <v>6</v>
      </c>
    </row>
    <row r="32" spans="2:13" ht="18" customHeight="1">
      <c r="B32" s="4">
        <v>2</v>
      </c>
      <c r="C32" s="18" t="s">
        <v>119</v>
      </c>
      <c r="D32" s="69" t="s">
        <v>138</v>
      </c>
      <c r="E32" s="115">
        <v>0</v>
      </c>
      <c r="F32" s="115">
        <v>0</v>
      </c>
      <c r="G32" s="115">
        <v>1</v>
      </c>
      <c r="H32" s="115">
        <v>1</v>
      </c>
      <c r="I32" s="115">
        <v>1</v>
      </c>
      <c r="J32" s="115">
        <v>1</v>
      </c>
      <c r="K32" s="115">
        <v>1</v>
      </c>
      <c r="L32" s="115">
        <v>1</v>
      </c>
      <c r="M32" s="94">
        <f t="shared" si="0"/>
        <v>6</v>
      </c>
    </row>
    <row r="33" spans="2:13" ht="18" customHeight="1">
      <c r="B33" s="17">
        <v>2</v>
      </c>
      <c r="C33" s="18" t="s">
        <v>136</v>
      </c>
      <c r="D33" s="17" t="s">
        <v>40</v>
      </c>
      <c r="E33" s="115">
        <v>1</v>
      </c>
      <c r="F33" s="115">
        <v>1</v>
      </c>
      <c r="G33" s="115">
        <v>1</v>
      </c>
      <c r="H33" s="115">
        <v>1</v>
      </c>
      <c r="I33" s="115">
        <v>0</v>
      </c>
      <c r="J33" s="115">
        <v>1</v>
      </c>
      <c r="K33" s="115">
        <v>1</v>
      </c>
      <c r="L33" s="115">
        <v>1</v>
      </c>
      <c r="M33" s="94">
        <f t="shared" si="0"/>
        <v>7</v>
      </c>
    </row>
  </sheetData>
  <customSheetViews>
    <customSheetView guid="{4FA91318-F568-4C4C-93A1-CBAB7D8E6C44}">
      <selection activeCell="C10" sqref="C10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M6:M33">
    <cfRule type="dataBar" priority="3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{576BFCB1-8755-47B8-8886-7A9677CF6333}</x14:id>
        </ext>
      </extLst>
    </cfRule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{F4B27BA4-81ED-426A-8B09-834BC810EEB1}</x14:id>
        </ext>
      </extLst>
    </cfRule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{F84C8177-BFC0-44FB-BC09-686CFB4302F0}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6BFCB1-8755-47B8-8886-7A9677CF6333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F4B27BA4-81ED-426A-8B09-834BC810EEB1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F84C8177-BFC0-44FB-BC09-686CFB4302F0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4:P21"/>
  <sheetViews>
    <sheetView windowProtection="1" workbookViewId="0"/>
  </sheetViews>
  <sheetFormatPr defaultColWidth="9" defaultRowHeight="16.899999999999999"/>
  <cols>
    <col min="1" max="1" width="9" style="21"/>
    <col min="2" max="2" width="11.125" style="22" bestFit="1" customWidth="1"/>
    <col min="3" max="3" width="9" style="22"/>
    <col min="4" max="5" width="11" style="22" bestFit="1" customWidth="1"/>
    <col min="6" max="6" width="11" style="23" customWidth="1"/>
    <col min="7" max="11" width="9" style="21"/>
    <col min="12" max="12" width="9" style="23"/>
    <col min="13" max="15" width="9" style="21"/>
    <col min="16" max="16" width="9" style="22"/>
    <col min="17" max="16384" width="9" style="21"/>
  </cols>
  <sheetData>
    <row r="4" spans="2:16">
      <c r="B4" s="22" t="s">
        <v>57</v>
      </c>
      <c r="M4" s="22" t="s">
        <v>68</v>
      </c>
    </row>
    <row r="5" spans="2:16">
      <c r="B5" s="38" t="s">
        <v>72</v>
      </c>
      <c r="C5" s="38" t="s">
        <v>73</v>
      </c>
      <c r="D5" s="38" t="s">
        <v>74</v>
      </c>
      <c r="E5" s="39" t="s">
        <v>75</v>
      </c>
      <c r="F5" s="38" t="s">
        <v>76</v>
      </c>
      <c r="G5" s="38" t="s">
        <v>77</v>
      </c>
      <c r="H5" s="39" t="s">
        <v>78</v>
      </c>
      <c r="I5" s="2"/>
      <c r="J5" s="2"/>
      <c r="K5" s="2"/>
      <c r="L5" s="21"/>
      <c r="M5" s="38" t="s">
        <v>72</v>
      </c>
      <c r="N5" s="38" t="s">
        <v>75</v>
      </c>
      <c r="P5" s="21"/>
    </row>
    <row r="6" spans="2:16">
      <c r="B6" s="22" t="s">
        <v>11</v>
      </c>
      <c r="C6" s="22" t="s">
        <v>12</v>
      </c>
      <c r="D6" s="22" t="s">
        <v>13</v>
      </c>
      <c r="E6" s="23">
        <v>3000</v>
      </c>
      <c r="F6" s="35">
        <v>0.54166666666666663</v>
      </c>
      <c r="G6" s="35">
        <v>0.625</v>
      </c>
      <c r="H6" s="23">
        <v>6000</v>
      </c>
      <c r="I6" s="64"/>
      <c r="J6" s="23"/>
      <c r="K6" s="23"/>
      <c r="L6" s="21"/>
      <c r="M6" s="36" t="s">
        <v>69</v>
      </c>
      <c r="N6" s="37">
        <v>0</v>
      </c>
      <c r="P6" s="21"/>
    </row>
    <row r="7" spans="2:16">
      <c r="B7" s="22" t="s">
        <v>54</v>
      </c>
      <c r="C7" s="22" t="s">
        <v>55</v>
      </c>
      <c r="D7" s="22" t="s">
        <v>56</v>
      </c>
      <c r="E7" s="23">
        <v>4000</v>
      </c>
      <c r="F7" s="35">
        <v>0.65277777777777779</v>
      </c>
      <c r="G7" s="35">
        <v>0.72916666666666663</v>
      </c>
      <c r="H7" s="23">
        <v>8000</v>
      </c>
      <c r="I7" s="64"/>
      <c r="J7" s="23"/>
      <c r="K7" s="23"/>
      <c r="L7" s="21"/>
      <c r="M7" s="36" t="s">
        <v>70</v>
      </c>
      <c r="N7" s="37">
        <v>3000</v>
      </c>
      <c r="P7" s="21"/>
    </row>
    <row r="8" spans="2:16">
      <c r="B8" s="22" t="s">
        <v>11</v>
      </c>
      <c r="C8" s="22" t="s">
        <v>214</v>
      </c>
      <c r="D8" s="22" t="s">
        <v>13</v>
      </c>
      <c r="E8" s="23">
        <v>3000</v>
      </c>
      <c r="F8" s="35">
        <v>0.54166666666666663</v>
      </c>
      <c r="G8" s="35">
        <v>0.625</v>
      </c>
      <c r="H8" s="23">
        <v>6000</v>
      </c>
      <c r="I8" s="23"/>
      <c r="J8" s="23"/>
      <c r="K8" s="23"/>
      <c r="L8" s="21"/>
      <c r="M8" s="36" t="s">
        <v>71</v>
      </c>
      <c r="N8" s="37">
        <v>4000</v>
      </c>
      <c r="P8" s="21"/>
    </row>
    <row r="9" spans="2:16">
      <c r="E9" s="23"/>
      <c r="F9" s="35"/>
      <c r="G9" s="35"/>
      <c r="H9" s="23"/>
      <c r="I9" s="23"/>
      <c r="J9" s="23"/>
      <c r="K9" s="23"/>
      <c r="L9" s="21"/>
      <c r="M9" s="22"/>
      <c r="P9" s="21"/>
    </row>
    <row r="10" spans="2:16">
      <c r="E10" s="23"/>
      <c r="F10" s="35"/>
      <c r="G10" s="35"/>
      <c r="H10" s="23"/>
      <c r="I10" s="23"/>
      <c r="J10" s="23"/>
      <c r="K10" s="23"/>
      <c r="L10" s="21"/>
      <c r="M10" s="22"/>
      <c r="P10" s="21"/>
    </row>
    <row r="11" spans="2:16">
      <c r="E11" s="23"/>
      <c r="F11" s="35"/>
      <c r="G11" s="35"/>
      <c r="H11" s="23"/>
      <c r="I11" s="23"/>
      <c r="J11" s="23"/>
      <c r="K11" s="23"/>
      <c r="L11" s="21"/>
      <c r="M11" s="22"/>
      <c r="P11" s="21"/>
    </row>
    <row r="12" spans="2:16">
      <c r="E12" s="23"/>
      <c r="F12" s="35"/>
      <c r="G12" s="35"/>
      <c r="H12" s="23"/>
      <c r="I12" s="23"/>
      <c r="J12" s="23"/>
      <c r="K12" s="23"/>
      <c r="L12" s="21"/>
      <c r="M12" s="22"/>
      <c r="P12" s="21"/>
    </row>
    <row r="13" spans="2:16">
      <c r="E13" s="23"/>
      <c r="F13" s="35"/>
      <c r="G13" s="35"/>
      <c r="H13" s="23"/>
      <c r="I13" s="23"/>
      <c r="J13" s="23"/>
      <c r="K13" s="23"/>
      <c r="L13" s="21"/>
      <c r="M13" s="22"/>
      <c r="P13" s="21"/>
    </row>
    <row r="14" spans="2:16">
      <c r="E14" s="23"/>
      <c r="F14" s="35"/>
      <c r="G14" s="35"/>
      <c r="H14" s="23"/>
      <c r="I14" s="23"/>
      <c r="J14" s="23"/>
      <c r="K14" s="23"/>
      <c r="L14" s="21"/>
      <c r="M14" s="22"/>
      <c r="P14" s="21"/>
    </row>
    <row r="15" spans="2:16">
      <c r="E15" s="23"/>
      <c r="F15" s="35"/>
      <c r="G15" s="35"/>
      <c r="H15" s="23"/>
      <c r="I15" s="23"/>
      <c r="J15" s="23"/>
      <c r="K15" s="23"/>
      <c r="L15" s="21"/>
      <c r="M15" s="22"/>
      <c r="P15" s="21"/>
    </row>
    <row r="16" spans="2:16">
      <c r="E16" s="23"/>
      <c r="F16" s="35"/>
      <c r="G16" s="35"/>
      <c r="H16" s="23"/>
      <c r="I16" s="23"/>
      <c r="J16" s="23"/>
      <c r="K16" s="23"/>
      <c r="L16" s="21"/>
      <c r="M16" s="22"/>
      <c r="P16" s="21"/>
    </row>
    <row r="17" spans="5:16">
      <c r="E17" s="23"/>
      <c r="F17" s="35"/>
      <c r="G17" s="35"/>
      <c r="H17" s="23"/>
      <c r="I17" s="23"/>
      <c r="J17" s="23"/>
      <c r="K17" s="23"/>
      <c r="L17" s="21"/>
      <c r="M17" s="22"/>
      <c r="P17" s="21"/>
    </row>
    <row r="18" spans="5:16">
      <c r="E18" s="23"/>
      <c r="F18" s="35"/>
      <c r="G18" s="35"/>
      <c r="H18" s="23"/>
      <c r="I18" s="23"/>
      <c r="J18" s="23"/>
      <c r="K18" s="23"/>
      <c r="L18" s="21"/>
      <c r="M18" s="22"/>
      <c r="P18" s="21"/>
    </row>
    <row r="19" spans="5:16">
      <c r="E19" s="23"/>
      <c r="F19" s="21"/>
      <c r="H19" s="23"/>
      <c r="I19" s="23"/>
      <c r="J19" s="23"/>
      <c r="K19" s="23"/>
      <c r="L19" s="21"/>
      <c r="M19" s="22"/>
      <c r="P19" s="21"/>
    </row>
    <row r="20" spans="5:16">
      <c r="E20" s="23"/>
      <c r="F20" s="21"/>
      <c r="H20" s="23"/>
      <c r="I20" s="23"/>
      <c r="J20" s="23"/>
      <c r="K20" s="23"/>
      <c r="L20" s="21"/>
      <c r="M20" s="22"/>
      <c r="P20" s="21"/>
    </row>
    <row r="21" spans="5:16">
      <c r="I21" s="23"/>
      <c r="J21" s="23"/>
      <c r="K21" s="23"/>
      <c r="L21" s="21"/>
      <c r="M21" s="22"/>
      <c r="P21" s="21"/>
    </row>
  </sheetData>
  <customSheetViews>
    <customSheetView guid="{4FA91318-F568-4C4C-93A1-CBAB7D8E6C44}">
      <selection activeCell="C14" sqref="C14"/>
      <pageMargins left="0.7" right="0.7" top="0.75" bottom="0.75" header="0.3" footer="0.3"/>
    </customSheetView>
  </customSheetView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90488</xdr:rowOff>
              </to>
            </anchor>
          </controlPr>
        </control>
      </mc:Choice>
      <mc:Fallback>
        <control shapeId="1025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Jieun Park</cp:lastModifiedBy>
  <cp:lastPrinted>2020-07-12T17:42:53Z</cp:lastPrinted>
  <dcterms:created xsi:type="dcterms:W3CDTF">2016-04-05T10:10:25Z</dcterms:created>
  <dcterms:modified xsi:type="dcterms:W3CDTF">2023-10-05T11:32:40Z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a0965a9d-56c1-4e95-8017-ad958655786d</vt:lpwstr>
  </property>
</Properties>
</file>