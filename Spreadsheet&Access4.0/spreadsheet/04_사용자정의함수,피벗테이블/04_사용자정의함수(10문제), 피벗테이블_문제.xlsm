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4_사용자정의함수,피벗테이블\"/>
    </mc:Choice>
  </mc:AlternateContent>
  <xr:revisionPtr revIDLastSave="0" documentId="13_ncr:1_{03BAFBAF-6F65-4F31-B55F-66504B4238D0}" xr6:coauthVersionLast="47" xr6:coauthVersionMax="47" xr10:uidLastSave="{00000000-0000-0000-0000-000000000000}"/>
  <bookViews>
    <workbookView xWindow="-98" yWindow="-98" windowWidth="21795" windowHeight="12975" tabRatio="888" firstSheet="8" activeTab="16" xr2:uid="{00000000-000D-0000-FFFF-FFFF00000000}"/>
  </bookViews>
  <sheets>
    <sheet name="홈" sheetId="45" r:id="rId1"/>
    <sheet name="사용자정의함수1" sheetId="32" r:id="rId2"/>
    <sheet name="사용자정의함수2" sheetId="33" r:id="rId3"/>
    <sheet name="사용자정의함수3" sheetId="39" r:id="rId4"/>
    <sheet name="사용자정의함수4" sheetId="66" r:id="rId5"/>
    <sheet name="사용자정의함수5" sheetId="36" r:id="rId6"/>
    <sheet name="사용자정의함수6" sheetId="38" r:id="rId7"/>
    <sheet name="사용자정의함수7" sheetId="40" r:id="rId8"/>
    <sheet name="사용자정의함수8" sheetId="67" r:id="rId9"/>
    <sheet name="사용자정의함수9" sheetId="37" r:id="rId10"/>
    <sheet name="사용자정의함수10" sheetId="68" r:id="rId11"/>
    <sheet name="피벗테이블1" sheetId="81" r:id="rId12"/>
    <sheet name="피벗테이블2" sheetId="80" r:id="rId13"/>
    <sheet name="Sheet6" sheetId="87" r:id="rId14"/>
    <sheet name="피벗테이블3" sheetId="79" r:id="rId15"/>
    <sheet name="피벗테이블4" sheetId="78" r:id="rId16"/>
    <sheet name="피벗테이블5" sheetId="77" r:id="rId17"/>
    <sheet name="Sheet1" sheetId="82" r:id="rId18"/>
  </sheets>
  <functionGroups builtInGroupCount="19"/>
  <externalReferences>
    <externalReference r:id="rId19"/>
    <externalReference r:id="rId20"/>
    <externalReference r:id="rId21"/>
  </externalReferences>
  <definedNames>
    <definedName name="_xlnm._FilterDatabase" localSheetId="1" hidden="1">사용자정의함수1!#REF!</definedName>
    <definedName name="_xlnm._FilterDatabase" localSheetId="10" hidden="1">사용자정의함수10!$B$3:$J$25</definedName>
    <definedName name="_xlnm._FilterDatabase" localSheetId="2" hidden="1">사용자정의함수2!#REF!</definedName>
    <definedName name="_xlnm._FilterDatabase" localSheetId="3" hidden="1">사용자정의함수3!#REF!</definedName>
    <definedName name="_xlnm._FilterDatabase" localSheetId="4" hidden="1">사용자정의함수4!#REF!</definedName>
    <definedName name="_xlnm._FilterDatabase" localSheetId="5" hidden="1">사용자정의함수5!$B$2:$H$32</definedName>
    <definedName name="_xlnm._FilterDatabase" localSheetId="6" hidden="1">사용자정의함수6!$B$3:$I$40</definedName>
    <definedName name="_xlnm._FilterDatabase" localSheetId="7" hidden="1">사용자정의함수7!$B$3:$I$40</definedName>
    <definedName name="_xlnm._FilterDatabase" localSheetId="8" hidden="1">사용자정의함수8!$B$3:$I$40</definedName>
    <definedName name="_xlnm._FilterDatabase" localSheetId="9" hidden="1">사용자정의함수9!$B$3:$J$25</definedName>
    <definedName name="AAA" localSheetId="10">'[1]6.기타함수'!#REF!</definedName>
    <definedName name="AAA" localSheetId="4">'[1]6.기타함수'!#REF!</definedName>
    <definedName name="AAA" localSheetId="8">'[1]6.기타함수'!#REF!</definedName>
    <definedName name="AAA">'[1]6.기타함수'!#REF!</definedName>
    <definedName name="_xlnm.Criteria" localSheetId="1">사용자정의함수1!#REF!</definedName>
    <definedName name="_xlnm.Criteria" localSheetId="10">사용자정의함수10!#REF!</definedName>
    <definedName name="_xlnm.Criteria" localSheetId="2">사용자정의함수2!#REF!</definedName>
    <definedName name="_xlnm.Criteria" localSheetId="3">사용자정의함수3!#REF!</definedName>
    <definedName name="_xlnm.Criteria" localSheetId="4">사용자정의함수4!#REF!</definedName>
    <definedName name="_xlnm.Criteria" localSheetId="5">사용자정의함수5!#REF!</definedName>
    <definedName name="_xlnm.Criteria" localSheetId="6">사용자정의함수6!#REF!</definedName>
    <definedName name="_xlnm.Criteria" localSheetId="7">사용자정의함수7!#REF!</definedName>
    <definedName name="_xlnm.Criteria" localSheetId="8">사용자정의함수8!#REF!</definedName>
    <definedName name="_xlnm.Criteria" localSheetId="9">사용자정의함수9!#REF!</definedName>
    <definedName name="_xlnm.Extract" localSheetId="1">사용자정의함수1!#REF!</definedName>
    <definedName name="_xlnm.Extract" localSheetId="10">사용자정의함수10!#REF!</definedName>
    <definedName name="_xlnm.Extract" localSheetId="2">사용자정의함수2!#REF!</definedName>
    <definedName name="_xlnm.Extract" localSheetId="3">사용자정의함수3!#REF!</definedName>
    <definedName name="_xlnm.Extract" localSheetId="4">사용자정의함수4!#REF!</definedName>
    <definedName name="_xlnm.Extract" localSheetId="5">사용자정의함수5!#REF!</definedName>
    <definedName name="_xlnm.Extract" localSheetId="6">사용자정의함수6!#REF!</definedName>
    <definedName name="_xlnm.Extract" localSheetId="7">사용자정의함수7!#REF!</definedName>
    <definedName name="_xlnm.Extract" localSheetId="8">사용자정의함수8!#REF!</definedName>
    <definedName name="_xlnm.Extract" localSheetId="9">사용자정의함수9!#REF!</definedName>
    <definedName name="삼학년">'[2]3학년입력'!$E$1:$E$65536</definedName>
    <definedName name="생산량">'[1]시나리오1(예제)'!$B$3</definedName>
    <definedName name="이학년">'[2]2학년입력'!$E$1:$E$65536</definedName>
    <definedName name="일학년">'[2]1학년입력'!$E$1:$E$65536</definedName>
    <definedName name="재고단가">'[1]시나리오1(예제)'!$B$6</definedName>
    <definedName name="재고량">'[1]시나리오1(예제)'!$B$9</definedName>
    <definedName name="재고비용">'[1]시나리오1(예제)'!$B$10</definedName>
    <definedName name="제품명" localSheetId="1">'[1]6.기타함수'!#REF!</definedName>
    <definedName name="제품명" localSheetId="10">'[1]6.기타함수'!#REF!</definedName>
    <definedName name="제품명" localSheetId="2">'[1]6.기타함수'!#REF!</definedName>
    <definedName name="제품명" localSheetId="3">'[1]6.기타함수'!#REF!</definedName>
    <definedName name="제품명" localSheetId="4">'[1]6.기타함수'!#REF!</definedName>
    <definedName name="제품명" localSheetId="5">'[1]6.기타함수'!#REF!</definedName>
    <definedName name="제품명" localSheetId="6">'[1]6.기타함수'!#REF!</definedName>
    <definedName name="제품명" localSheetId="7">'[1]6.기타함수'!#REF!</definedName>
    <definedName name="제품명" localSheetId="8">'[1]6.기타함수'!#REF!</definedName>
    <definedName name="제품명" localSheetId="9">'[1]6.기타함수'!#REF!</definedName>
    <definedName name="제품명">'[1]6.기타함수'!#REF!</definedName>
    <definedName name="주문처" localSheetId="1">'[1]6.기타함수'!#REF!</definedName>
    <definedName name="주문처" localSheetId="10">'[1]6.기타함수'!#REF!</definedName>
    <definedName name="주문처" localSheetId="2">'[1]6.기타함수'!#REF!</definedName>
    <definedName name="주문처" localSheetId="3">'[1]6.기타함수'!#REF!</definedName>
    <definedName name="주문처" localSheetId="4">'[1]6.기타함수'!#REF!</definedName>
    <definedName name="주문처" localSheetId="5">'[1]6.기타함수'!#REF!</definedName>
    <definedName name="주문처" localSheetId="6">'[1]6.기타함수'!#REF!</definedName>
    <definedName name="주문처" localSheetId="7">'[1]6.기타함수'!#REF!</definedName>
    <definedName name="주문처" localSheetId="8">'[1]6.기타함수'!#REF!</definedName>
    <definedName name="주문처" localSheetId="9">'[1]6.기타함수'!#REF!</definedName>
    <definedName name="주문처">'[1]6.기타함수'!#REF!</definedName>
    <definedName name="판매가격" localSheetId="1">[1]문서1_기초!#REF!</definedName>
    <definedName name="판매가격" localSheetId="10">[1]문서1_기초!#REF!</definedName>
    <definedName name="판매가격" localSheetId="2">[1]문서1_기초!#REF!</definedName>
    <definedName name="판매가격" localSheetId="3">[1]문서1_기초!#REF!</definedName>
    <definedName name="판매가격" localSheetId="4">[1]문서1_기초!#REF!</definedName>
    <definedName name="판매가격" localSheetId="5">[1]문서1_기초!#REF!</definedName>
    <definedName name="판매가격" localSheetId="6">[1]문서1_기초!#REF!</definedName>
    <definedName name="판매가격" localSheetId="7">[1]문서1_기초!#REF!</definedName>
    <definedName name="판매가격" localSheetId="8">[1]문서1_기초!#REF!</definedName>
    <definedName name="판매가격" localSheetId="9">[1]문서1_기초!#REF!</definedName>
    <definedName name="판매가격">[1]문서1_기초!#REF!</definedName>
    <definedName name="판매단가">'[1]시나리오1(예제)'!$B$5</definedName>
    <definedName name="판매량">'[1]시나리오1(예제)'!$B$4</definedName>
    <definedName name="판매액">'[1]시나리오1(예제)'!$B$8</definedName>
    <definedName name="학생수">'[3]서식(결과)'!$G$5:$H$19</definedName>
  </definedNames>
  <calcPr calcId="191029"/>
  <pivotCaches>
    <pivotCache cacheId="98" r:id="rId22"/>
    <pivotCache cacheId="103" r:id="rId23"/>
    <pivotCache cacheId="168" r:id="rId24"/>
    <pivotCache cacheId="169" r:id="rId25"/>
    <pivotCache cacheId="178" r:id="rId2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  <x15:modelTable id="기풍전자판매현황" name="기풍전자판매현황" connection="기풍전자판매현황"/>
          <x15:modelTable id="소득공제" name="소득공제" connection="소득공제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68" l="1" a="1"/>
  <c r="K13" i="68" a="1"/>
  <c r="K21" i="68" a="1"/>
  <c r="K6" i="68" a="1"/>
  <c r="K14" i="68" a="1"/>
  <c r="K22" i="68" a="1"/>
  <c r="K7" i="68" a="1"/>
  <c r="K15" i="68" a="1"/>
  <c r="K23" i="68" a="1"/>
  <c r="K8" i="68" a="1"/>
  <c r="K16" i="68" a="1"/>
  <c r="K24" i="68" a="1"/>
  <c r="K9" i="68" a="1"/>
  <c r="K17" i="68" a="1"/>
  <c r="K25" i="68" a="1"/>
  <c r="K10" i="68" a="1"/>
  <c r="K18" i="68" a="1"/>
  <c r="K11" i="68" a="1"/>
  <c r="K19" i="68" a="1"/>
  <c r="K12" i="68" a="1"/>
  <c r="K20" i="68" a="1"/>
  <c r="K4" i="68" a="1"/>
  <c r="K5" i="37" a="1"/>
  <c r="K13" i="37" a="1"/>
  <c r="K21" i="37" a="1"/>
  <c r="K6" i="37" a="1"/>
  <c r="K14" i="37" a="1"/>
  <c r="K22" i="37" a="1"/>
  <c r="K7" i="37" a="1"/>
  <c r="K15" i="37" a="1"/>
  <c r="K23" i="37" a="1"/>
  <c r="K8" i="37" a="1"/>
  <c r="K16" i="37" a="1"/>
  <c r="K24" i="37" a="1"/>
  <c r="K9" i="37" a="1"/>
  <c r="K17" i="37" a="1"/>
  <c r="K25" i="37" a="1"/>
  <c r="K10" i="37" a="1"/>
  <c r="K18" i="37" a="1"/>
  <c r="K11" i="37" a="1"/>
  <c r="K19" i="37" a="1"/>
  <c r="K12" i="37" a="1"/>
  <c r="K20" i="37" a="1"/>
  <c r="K4" i="37" a="1"/>
  <c r="I5" i="67" a="1"/>
  <c r="I13" i="67" a="1"/>
  <c r="I21" i="67" a="1"/>
  <c r="I29" i="67" a="1"/>
  <c r="I37" i="67" a="1"/>
  <c r="I23" i="67" a="1"/>
  <c r="I39" i="67" a="1"/>
  <c r="I16" i="67" a="1"/>
  <c r="I32" i="67" a="1"/>
  <c r="I9" i="67" a="1"/>
  <c r="I33" i="67" a="1"/>
  <c r="I10" i="67" a="1"/>
  <c r="I26" i="67" a="1"/>
  <c r="I35" i="67" a="1"/>
  <c r="I28" i="67" a="1"/>
  <c r="I6" i="67" a="1"/>
  <c r="I14" i="67" a="1"/>
  <c r="I22" i="67" a="1"/>
  <c r="I30" i="67" a="1"/>
  <c r="I38" i="67" a="1"/>
  <c r="I7" i="67" a="1"/>
  <c r="I15" i="67" a="1"/>
  <c r="I31" i="67" a="1"/>
  <c r="I8" i="67" a="1"/>
  <c r="I24" i="67" a="1"/>
  <c r="I40" i="67" a="1"/>
  <c r="I17" i="67" a="1"/>
  <c r="I18" i="67" a="1"/>
  <c r="I34" i="67" a="1"/>
  <c r="I11" i="67" a="1"/>
  <c r="I27" i="67" a="1"/>
  <c r="I12" i="67" a="1"/>
  <c r="I36" i="67" a="1"/>
  <c r="I25" i="67" a="1"/>
  <c r="I19" i="67" a="1"/>
  <c r="I20" i="67" a="1"/>
  <c r="I4" i="67" a="1"/>
  <c r="I5" i="40" a="1"/>
  <c r="I13" i="40" a="1"/>
  <c r="I21" i="40" a="1"/>
  <c r="I29" i="40" a="1"/>
  <c r="I37" i="40" a="1"/>
  <c r="I6" i="40" a="1"/>
  <c r="I14" i="40" a="1"/>
  <c r="I22" i="40" a="1"/>
  <c r="I30" i="40" a="1"/>
  <c r="I38" i="40" a="1"/>
  <c r="I7" i="40" a="1"/>
  <c r="I15" i="40" a="1"/>
  <c r="I23" i="40" a="1"/>
  <c r="I31" i="40" a="1"/>
  <c r="I39" i="40" a="1"/>
  <c r="I8" i="40" a="1"/>
  <c r="I16" i="40" a="1"/>
  <c r="I24" i="40" a="1"/>
  <c r="I32" i="40" a="1"/>
  <c r="I40" i="40" a="1"/>
  <c r="I9" i="40" a="1"/>
  <c r="I17" i="40" a="1"/>
  <c r="I25" i="40" a="1"/>
  <c r="I33" i="40" a="1"/>
  <c r="I10" i="40" a="1"/>
  <c r="I18" i="40" a="1"/>
  <c r="I26" i="40" a="1"/>
  <c r="I34" i="40" a="1"/>
  <c r="I11" i="40" a="1"/>
  <c r="I19" i="40" a="1"/>
  <c r="I27" i="40" a="1"/>
  <c r="I35" i="40" a="1"/>
  <c r="I12" i="40" a="1"/>
  <c r="I20" i="40" a="1"/>
  <c r="I28" i="40" a="1"/>
  <c r="I36" i="40" a="1"/>
  <c r="I4" i="40" a="1"/>
  <c r="J5" i="38" a="1"/>
  <c r="J13" i="38" a="1"/>
  <c r="J21" i="38" a="1"/>
  <c r="J29" i="38" a="1"/>
  <c r="J37" i="38" a="1"/>
  <c r="J6" i="38" a="1"/>
  <c r="J14" i="38" a="1"/>
  <c r="J22" i="38" a="1"/>
  <c r="J30" i="38" a="1"/>
  <c r="J38" i="38" a="1"/>
  <c r="J7" i="38" a="1"/>
  <c r="J15" i="38" a="1"/>
  <c r="J23" i="38" a="1"/>
  <c r="J31" i="38" a="1"/>
  <c r="J39" i="38" a="1"/>
  <c r="J12" i="38" a="1"/>
  <c r="J36" i="38" a="1"/>
  <c r="J8" i="38" a="1"/>
  <c r="J16" i="38" a="1"/>
  <c r="J24" i="38" a="1"/>
  <c r="J32" i="38" a="1"/>
  <c r="J40" i="38" a="1"/>
  <c r="J9" i="38" a="1"/>
  <c r="J17" i="38" a="1"/>
  <c r="J25" i="38" a="1"/>
  <c r="J33" i="38" a="1"/>
  <c r="J10" i="38" a="1"/>
  <c r="J18" i="38" a="1"/>
  <c r="J26" i="38" a="1"/>
  <c r="J34" i="38" a="1"/>
  <c r="J11" i="38" a="1"/>
  <c r="J27" i="38" a="1"/>
  <c r="J35" i="38" a="1"/>
  <c r="J20" i="38" a="1"/>
  <c r="J28" i="38" a="1"/>
  <c r="J19" i="38" a="1"/>
  <c r="J4" i="38" a="1"/>
  <c r="I5" i="36" a="1"/>
  <c r="I13" i="36" a="1"/>
  <c r="I21" i="36" a="1"/>
  <c r="I29" i="36" a="1"/>
  <c r="I6" i="36" a="1"/>
  <c r="I14" i="36" a="1"/>
  <c r="I22" i="36" a="1"/>
  <c r="I30" i="36" a="1"/>
  <c r="I7" i="36" a="1"/>
  <c r="I15" i="36" a="1"/>
  <c r="I23" i="36" a="1"/>
  <c r="I31" i="36" a="1"/>
  <c r="I8" i="36" a="1"/>
  <c r="I16" i="36" a="1"/>
  <c r="I24" i="36" a="1"/>
  <c r="I32" i="36" a="1"/>
  <c r="I9" i="36" a="1"/>
  <c r="I17" i="36" a="1"/>
  <c r="I25" i="36" a="1"/>
  <c r="I33" i="36" a="1"/>
  <c r="I10" i="36" a="1"/>
  <c r="I18" i="36" a="1"/>
  <c r="I26" i="36" a="1"/>
  <c r="I11" i="36" a="1"/>
  <c r="I19" i="36" a="1"/>
  <c r="I27" i="36" a="1"/>
  <c r="I12" i="36" a="1"/>
  <c r="I20" i="36" a="1"/>
  <c r="I28" i="36" a="1"/>
  <c r="I4" i="36" a="1"/>
  <c r="K5" i="66" a="1"/>
  <c r="K13" i="66" a="1"/>
  <c r="K21" i="66" a="1"/>
  <c r="K29" i="66" a="1"/>
  <c r="K6" i="66" a="1"/>
  <c r="K14" i="66" a="1"/>
  <c r="K22" i="66" a="1"/>
  <c r="K30" i="66" a="1"/>
  <c r="K7" i="66" a="1"/>
  <c r="K15" i="66" a="1"/>
  <c r="K23" i="66" a="1"/>
  <c r="K31" i="66" a="1"/>
  <c r="K8" i="66" a="1"/>
  <c r="K16" i="66" a="1"/>
  <c r="K24" i="66" a="1"/>
  <c r="K32" i="66" a="1"/>
  <c r="K9" i="66" a="1"/>
  <c r="K17" i="66" a="1"/>
  <c r="K25" i="66" a="1"/>
  <c r="K33" i="66" a="1"/>
  <c r="K10" i="66" a="1"/>
  <c r="K18" i="66" a="1"/>
  <c r="K26" i="66" a="1"/>
  <c r="K11" i="66" a="1"/>
  <c r="K19" i="66" a="1"/>
  <c r="K12" i="66" a="1"/>
  <c r="K20" i="66" a="1"/>
  <c r="K28" i="66" a="1"/>
  <c r="K27" i="66" a="1"/>
  <c r="K4" i="66" a="1"/>
  <c r="K8" i="39" a="1"/>
  <c r="K16" i="39" a="1"/>
  <c r="K24" i="39" a="1"/>
  <c r="K32" i="39" a="1"/>
  <c r="K9" i="39" a="1"/>
  <c r="K17" i="39" a="1"/>
  <c r="K25" i="39" a="1"/>
  <c r="K33" i="39" a="1"/>
  <c r="K10" i="39" a="1"/>
  <c r="K18" i="39" a="1"/>
  <c r="K26" i="39" a="1"/>
  <c r="K11" i="39" a="1"/>
  <c r="K19" i="39" a="1"/>
  <c r="K27" i="39" a="1"/>
  <c r="K12" i="39" a="1"/>
  <c r="K20" i="39" a="1"/>
  <c r="K28" i="39" a="1"/>
  <c r="K5" i="39" a="1"/>
  <c r="K13" i="39" a="1"/>
  <c r="K21" i="39" a="1"/>
  <c r="K29" i="39" a="1"/>
  <c r="K6" i="39" a="1"/>
  <c r="K14" i="39" a="1"/>
  <c r="K22" i="39" a="1"/>
  <c r="K30" i="39" a="1"/>
  <c r="K7" i="39" a="1"/>
  <c r="K15" i="39" a="1"/>
  <c r="K23" i="39" a="1"/>
  <c r="K31" i="39" a="1"/>
  <c r="K4" i="39" a="1"/>
  <c r="J5" i="33" a="1"/>
  <c r="J13" i="33" a="1"/>
  <c r="J21" i="33" a="1"/>
  <c r="J29" i="33" a="1"/>
  <c r="J37" i="33" a="1"/>
  <c r="J6" i="33" a="1"/>
  <c r="J14" i="33" a="1"/>
  <c r="J22" i="33" a="1"/>
  <c r="J30" i="33" a="1"/>
  <c r="J38" i="33" a="1"/>
  <c r="J7" i="33" a="1"/>
  <c r="J15" i="33" a="1"/>
  <c r="J23" i="33" a="1"/>
  <c r="J31" i="33" a="1"/>
  <c r="J39" i="33" a="1"/>
  <c r="J8" i="33" a="1"/>
  <c r="J16" i="33" a="1"/>
  <c r="J24" i="33" a="1"/>
  <c r="J32" i="33" a="1"/>
  <c r="J40" i="33" a="1"/>
  <c r="J9" i="33" a="1"/>
  <c r="J17" i="33" a="1"/>
  <c r="J25" i="33" a="1"/>
  <c r="J33" i="33" a="1"/>
  <c r="J41" i="33" a="1"/>
  <c r="J10" i="33" a="1"/>
  <c r="J18" i="33" a="1"/>
  <c r="J26" i="33" a="1"/>
  <c r="J34" i="33" a="1"/>
  <c r="J42" i="33" a="1"/>
  <c r="J11" i="33" a="1"/>
  <c r="J19" i="33" a="1"/>
  <c r="J27" i="33" a="1"/>
  <c r="J35" i="33" a="1"/>
  <c r="J12" i="33" a="1"/>
  <c r="J20" i="33" a="1"/>
  <c r="J28" i="33" a="1"/>
  <c r="J36" i="33" a="1"/>
  <c r="J4" i="33" a="1"/>
  <c r="H5" i="32" a="1"/>
  <c r="H13" i="32" a="1"/>
  <c r="H21" i="32" a="1"/>
  <c r="H29" i="32" a="1"/>
  <c r="H37" i="32" a="1"/>
  <c r="H8" i="32" a="1"/>
  <c r="H32" i="32" a="1"/>
  <c r="H17" i="32" a="1"/>
  <c r="H33" i="32" a="1"/>
  <c r="H10" i="32" a="1"/>
  <c r="H34" i="32" a="1"/>
  <c r="H27" i="32" a="1"/>
  <c r="H12" i="32" a="1"/>
  <c r="H36" i="32" a="1"/>
  <c r="H6" i="32" a="1"/>
  <c r="H14" i="32" a="1"/>
  <c r="H22" i="32" a="1"/>
  <c r="H30" i="32" a="1"/>
  <c r="H38" i="32" a="1"/>
  <c r="H7" i="32" a="1"/>
  <c r="H15" i="32" a="1"/>
  <c r="H23" i="32" a="1"/>
  <c r="H31" i="32" a="1"/>
  <c r="H39" i="32" a="1"/>
  <c r="H16" i="32" a="1"/>
  <c r="H24" i="32" a="1"/>
  <c r="H9" i="32" a="1"/>
  <c r="H25" i="32" a="1"/>
  <c r="H18" i="32" a="1"/>
  <c r="H26" i="32" a="1"/>
  <c r="H19" i="32" a="1"/>
  <c r="H35" i="32" a="1"/>
  <c r="H20" i="32" a="1"/>
  <c r="H11" i="32" a="1"/>
  <c r="H28" i="32" a="1"/>
  <c r="H4" i="32" a="1"/>
  <c r="K20" i="68" l="1"/>
  <c r="K12" i="68"/>
  <c r="K19" i="68"/>
  <c r="K11" i="68"/>
  <c r="K18" i="68"/>
  <c r="K10" i="68"/>
  <c r="K25" i="68"/>
  <c r="K17" i="68"/>
  <c r="K9" i="68"/>
  <c r="K24" i="68"/>
  <c r="K16" i="68"/>
  <c r="K8" i="68"/>
  <c r="K23" i="68"/>
  <c r="K15" i="68"/>
  <c r="K7" i="68"/>
  <c r="K22" i="68"/>
  <c r="K14" i="68"/>
  <c r="K6" i="68"/>
  <c r="K21" i="68"/>
  <c r="K13" i="68"/>
  <c r="K5" i="68"/>
  <c r="K4" i="68"/>
  <c r="K20" i="37"/>
  <c r="K12" i="37"/>
  <c r="K19" i="37"/>
  <c r="K11" i="37"/>
  <c r="K18" i="37"/>
  <c r="K10" i="37"/>
  <c r="K25" i="37"/>
  <c r="K17" i="37"/>
  <c r="K9" i="37"/>
  <c r="K24" i="37"/>
  <c r="K16" i="37"/>
  <c r="K8" i="37"/>
  <c r="K23" i="37"/>
  <c r="K15" i="37"/>
  <c r="K7" i="37"/>
  <c r="K22" i="37"/>
  <c r="K14" i="37"/>
  <c r="K6" i="37"/>
  <c r="K21" i="37"/>
  <c r="K13" i="37"/>
  <c r="K5" i="37"/>
  <c r="K4" i="37"/>
  <c r="I20" i="67"/>
  <c r="I19" i="67"/>
  <c r="I25" i="67"/>
  <c r="I36" i="67"/>
  <c r="I12" i="67"/>
  <c r="I27" i="67"/>
  <c r="I11" i="67"/>
  <c r="I34" i="67"/>
  <c r="I18" i="67"/>
  <c r="I17" i="67"/>
  <c r="I40" i="67"/>
  <c r="I24" i="67"/>
  <c r="I8" i="67"/>
  <c r="I31" i="67"/>
  <c r="I15" i="67"/>
  <c r="I7" i="67"/>
  <c r="I38" i="67"/>
  <c r="I30" i="67"/>
  <c r="I22" i="67"/>
  <c r="I14" i="67"/>
  <c r="I6" i="67"/>
  <c r="I28" i="67"/>
  <c r="I35" i="67"/>
  <c r="I26" i="67"/>
  <c r="I10" i="67"/>
  <c r="I33" i="67"/>
  <c r="I9" i="67"/>
  <c r="I32" i="67"/>
  <c r="I16" i="67"/>
  <c r="I39" i="67"/>
  <c r="I23" i="67"/>
  <c r="I37" i="67"/>
  <c r="I29" i="67"/>
  <c r="I21" i="67"/>
  <c r="I13" i="67"/>
  <c r="I5" i="67"/>
  <c r="I4" i="67"/>
  <c r="I36" i="40"/>
  <c r="I28" i="40"/>
  <c r="I20" i="40"/>
  <c r="I12" i="40"/>
  <c r="I35" i="40"/>
  <c r="I27" i="40"/>
  <c r="I19" i="40"/>
  <c r="I11" i="40"/>
  <c r="I34" i="40"/>
  <c r="I26" i="40"/>
  <c r="I18" i="40"/>
  <c r="I10" i="40"/>
  <c r="I33" i="40"/>
  <c r="I25" i="40"/>
  <c r="I17" i="40"/>
  <c r="I9" i="40"/>
  <c r="I40" i="40"/>
  <c r="I32" i="40"/>
  <c r="I24" i="40"/>
  <c r="I16" i="40"/>
  <c r="I8" i="40"/>
  <c r="I39" i="40"/>
  <c r="I31" i="40"/>
  <c r="I23" i="40"/>
  <c r="I15" i="40"/>
  <c r="I7" i="40"/>
  <c r="I38" i="40"/>
  <c r="I30" i="40"/>
  <c r="I22" i="40"/>
  <c r="I14" i="40"/>
  <c r="I6" i="40"/>
  <c r="I37" i="40"/>
  <c r="I29" i="40"/>
  <c r="I21" i="40"/>
  <c r="I13" i="40"/>
  <c r="I5" i="40"/>
  <c r="I4" i="40"/>
  <c r="J19" i="38"/>
  <c r="J28" i="38"/>
  <c r="J20" i="38"/>
  <c r="J35" i="38"/>
  <c r="J27" i="38"/>
  <c r="J11" i="38"/>
  <c r="J34" i="38"/>
  <c r="J26" i="38"/>
  <c r="J18" i="38"/>
  <c r="J10" i="38"/>
  <c r="J33" i="38"/>
  <c r="J25" i="38"/>
  <c r="J17" i="38"/>
  <c r="J9" i="38"/>
  <c r="J40" i="38"/>
  <c r="J32" i="38"/>
  <c r="J24" i="38"/>
  <c r="J16" i="38"/>
  <c r="J8" i="38"/>
  <c r="J36" i="38"/>
  <c r="J12" i="38"/>
  <c r="J39" i="38"/>
  <c r="J31" i="38"/>
  <c r="J23" i="38"/>
  <c r="J15" i="38"/>
  <c r="J7" i="38"/>
  <c r="J38" i="38"/>
  <c r="J30" i="38"/>
  <c r="J22" i="38"/>
  <c r="J14" i="38"/>
  <c r="J6" i="38"/>
  <c r="J37" i="38"/>
  <c r="J29" i="38"/>
  <c r="J21" i="38"/>
  <c r="J13" i="38"/>
  <c r="J5" i="38"/>
  <c r="J4" i="38"/>
  <c r="I28" i="36"/>
  <c r="I20" i="36"/>
  <c r="I12" i="36"/>
  <c r="I27" i="36"/>
  <c r="I19" i="36"/>
  <c r="I11" i="36"/>
  <c r="I26" i="36"/>
  <c r="I18" i="36"/>
  <c r="I10" i="36"/>
  <c r="I33" i="36"/>
  <c r="I25" i="36"/>
  <c r="I17" i="36"/>
  <c r="I9" i="36"/>
  <c r="I32" i="36"/>
  <c r="I24" i="36"/>
  <c r="I16" i="36"/>
  <c r="I8" i="36"/>
  <c r="I31" i="36"/>
  <c r="I23" i="36"/>
  <c r="I15" i="36"/>
  <c r="I7" i="36"/>
  <c r="I30" i="36"/>
  <c r="I22" i="36"/>
  <c r="I14" i="36"/>
  <c r="I6" i="36"/>
  <c r="I29" i="36"/>
  <c r="I21" i="36"/>
  <c r="I13" i="36"/>
  <c r="I5" i="36"/>
  <c r="I4" i="36"/>
  <c r="K27" i="66"/>
  <c r="K28" i="66"/>
  <c r="K20" i="66"/>
  <c r="K12" i="66"/>
  <c r="K19" i="66"/>
  <c r="K11" i="66"/>
  <c r="K26" i="66"/>
  <c r="K18" i="66"/>
  <c r="K10" i="66"/>
  <c r="K33" i="66"/>
  <c r="K25" i="66"/>
  <c r="K17" i="66"/>
  <c r="K9" i="66"/>
  <c r="K32" i="66"/>
  <c r="K24" i="66"/>
  <c r="K16" i="66"/>
  <c r="K8" i="66"/>
  <c r="K31" i="66"/>
  <c r="K23" i="66"/>
  <c r="K15" i="66"/>
  <c r="K7" i="66"/>
  <c r="K30" i="66"/>
  <c r="K22" i="66"/>
  <c r="K14" i="66"/>
  <c r="K6" i="66"/>
  <c r="K29" i="66"/>
  <c r="K21" i="66"/>
  <c r="K13" i="66"/>
  <c r="K5" i="66"/>
  <c r="K4" i="66"/>
  <c r="K31" i="39"/>
  <c r="K23" i="39"/>
  <c r="K15" i="39"/>
  <c r="K7" i="39"/>
  <c r="K30" i="39"/>
  <c r="K22" i="39"/>
  <c r="K14" i="39"/>
  <c r="K6" i="39"/>
  <c r="K29" i="39"/>
  <c r="K21" i="39"/>
  <c r="K13" i="39"/>
  <c r="K5" i="39"/>
  <c r="K28" i="39"/>
  <c r="K20" i="39"/>
  <c r="K12" i="39"/>
  <c r="K27" i="39"/>
  <c r="K19" i="39"/>
  <c r="K11" i="39"/>
  <c r="K26" i="39"/>
  <c r="K18" i="39"/>
  <c r="K10" i="39"/>
  <c r="K33" i="39"/>
  <c r="K25" i="39"/>
  <c r="K17" i="39"/>
  <c r="K9" i="39"/>
  <c r="K32" i="39"/>
  <c r="K24" i="39"/>
  <c r="K16" i="39"/>
  <c r="K8" i="39"/>
  <c r="K4" i="39"/>
  <c r="J36" i="33"/>
  <c r="J28" i="33"/>
  <c r="J20" i="33"/>
  <c r="J12" i="33"/>
  <c r="J35" i="33"/>
  <c r="J27" i="33"/>
  <c r="J19" i="33"/>
  <c r="J11" i="33"/>
  <c r="J42" i="33"/>
  <c r="J34" i="33"/>
  <c r="J26" i="33"/>
  <c r="J18" i="33"/>
  <c r="J10" i="33"/>
  <c r="J41" i="33"/>
  <c r="J33" i="33"/>
  <c r="J25" i="33"/>
  <c r="J17" i="33"/>
  <c r="J9" i="33"/>
  <c r="J40" i="33"/>
  <c r="J32" i="33"/>
  <c r="J24" i="33"/>
  <c r="J16" i="33"/>
  <c r="J8" i="33"/>
  <c r="J39" i="33"/>
  <c r="J31" i="33"/>
  <c r="J23" i="33"/>
  <c r="J15" i="33"/>
  <c r="J7" i="33"/>
  <c r="J38" i="33"/>
  <c r="J30" i="33"/>
  <c r="J22" i="33"/>
  <c r="J14" i="33"/>
  <c r="J6" i="33"/>
  <c r="J37" i="33"/>
  <c r="J29" i="33"/>
  <c r="J21" i="33"/>
  <c r="J13" i="33"/>
  <c r="J5" i="33"/>
  <c r="J4" i="33"/>
  <c r="H28" i="32"/>
  <c r="H11" i="32"/>
  <c r="H20" i="32"/>
  <c r="H35" i="32"/>
  <c r="H19" i="32"/>
  <c r="H26" i="32"/>
  <c r="H18" i="32"/>
  <c r="H25" i="32"/>
  <c r="H9" i="32"/>
  <c r="H24" i="32"/>
  <c r="H16" i="32"/>
  <c r="H39" i="32"/>
  <c r="H31" i="32"/>
  <c r="H23" i="32"/>
  <c r="H15" i="32"/>
  <c r="H7" i="32"/>
  <c r="H38" i="32"/>
  <c r="H30" i="32"/>
  <c r="H22" i="32"/>
  <c r="H14" i="32"/>
  <c r="H6" i="32"/>
  <c r="H36" i="32"/>
  <c r="H12" i="32"/>
  <c r="H27" i="32"/>
  <c r="H34" i="32"/>
  <c r="H10" i="32"/>
  <c r="H33" i="32"/>
  <c r="H17" i="32"/>
  <c r="H32" i="32"/>
  <c r="H8" i="32"/>
  <c r="H37" i="32"/>
  <c r="H29" i="32"/>
  <c r="H21" i="32"/>
  <c r="H13" i="32"/>
  <c r="H5" i="32"/>
  <c r="H4" i="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75665D-EBBD-4F07-B930-52C6766AF944}" name="MS Access Database_Query" type="1" refreshedVersion="8" background="1">
    <dbPr connection="DSN=MS Access Database;DBQ=C:\Users\mondi\Desktop\A\Craftsman_Information_Processing\Spreadsheet&amp;Access4.0\spreadsheet\04_사용자정의함수,피벗테이블\외부데이터\생활기상정보.accdb;DefaultDir=C:\Users\mondi\Desktop\A\Craftsman_Information_Processing\Spreadsheet&amp;Access4.0\spreadsheet\04_사용자정의함수,피벗테이블\외부데이터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2" xr16:uid="{BA1DAA9B-53AB-44F4-9E1E-10BB22EE4F5E}" name="MS Access Database_Query1" type="1" refreshedVersion="8" background="1">
    <dbPr connection="DSN=MS Access Database;DBQ=C:\Users\mondi\Desktop\A\Craftsman_Information_Processing\Spreadsheet&amp;Access4.0\spreadsheet\04_사용자정의함수,피벗테이블\외부데이터\기풍대학오피스점수.accdb;DefaultDir=C:\Users\mondi\Desktop\A\Craftsman_Information_Processing\Spreadsheet&amp;Access4.0\spreadsheet\04_사용자정의함수,피벗테이블\외부데이터;DriverId=25;FIL=MS Access;MaxBufferSize=2048;PageTimeout=5;" command="SELECT 기풍대학오피스점수.학과, 기풍대학오피스점수.과목, 기풍대학오피스점수.접수일, 기풍대학오피스점수.시험날짜, 기풍대학오피스점수.점수_x000d__x000a_FROM 기풍대학오피스점수 기풍대학오피스점수"/>
  </connection>
  <connection id="3" xr16:uid="{FD076359-E077-476A-9C41-1261F507D45C}" keepAlive="1" name="ThisWorkbookDataModel" description="데이터 모델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9AAD29C8-1A48-4934-A62C-EA8BC3379C54}" name="기풍전자판매현황" type="103" refreshedVersion="8" minRefreshableVersion="5">
    <extLst>
      <ext xmlns:x15="http://schemas.microsoft.com/office/spreadsheetml/2010/11/main" uri="{DE250136-89BD-433C-8126-D09CA5730AF9}">
        <x15:connection id="기풍전자판매현황" autoDelete="1">
          <x15:textPr codePage="949" sourceFile="C:\Users\mondi\Desktop\A\Craftsman_Information_Processing\Spreadsheet&amp;Access4.0\spreadsheet\04_사용자정의함수,피벗테이블\외부데이터\기풍전자판매현황.csv" comma="1">
            <textFields count="5">
              <textField/>
              <textField type="skip"/>
              <textField/>
              <textField/>
              <textField/>
            </textFields>
          </x15:textPr>
          <x15:modelTextPr headers="1"/>
        </x15:connection>
      </ext>
    </extLst>
  </connection>
  <connection id="5" xr16:uid="{4C538DC7-703D-42DD-BED1-23F8ADC4012C}" name="소득공제" type="103" refreshedVersion="8" minRefreshableVersion="5">
    <extLst>
      <ext xmlns:x15="http://schemas.microsoft.com/office/spreadsheetml/2010/11/main" uri="{DE250136-89BD-433C-8126-D09CA5730AF9}">
        <x15:connection id="소득공제" autoDelete="1">
          <x15:textPr codePage="949" sourceFile="C:\Users\mondi\Desktop\A\Craftsman_Information_Processing\Spreadsheet&amp;Access4.0\spreadsheet\04_사용자정의함수,피벗테이블\외부데이터\소득공제.txt">
            <textFields count="6">
              <textField type="skip"/>
              <textField/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  <connection id="6" xr16:uid="{EFDD672C-23C0-4F4A-9397-4AAEC95DE4CF}" name="출석부관리" type="103" refreshedVersion="8" minRefreshableVersion="5">
    <extLst>
      <ext xmlns:x15="http://schemas.microsoft.com/office/spreadsheetml/2010/11/main" uri="{DE250136-89BD-433C-8126-D09CA5730AF9}">
        <x15:connection id="출석부관리" autoDelete="1">
          <x15:textPr codePage="949" sourceFile="C:\Users\mondi\Desktop\A\Craftsman_Information_Processing\Spreadsheet&amp;Access4.0\spreadsheet\04_사용자정의함수,피벗테이블\외부데이터\출석부관리.csv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<sst xmlns="http://schemas.openxmlformats.org/spreadsheetml/2006/main" count="1562" uniqueCount="373">
  <si>
    <t>김미영</t>
  </si>
  <si>
    <t>홍재근</t>
  </si>
  <si>
    <t>이름</t>
    <phoneticPr fontId="3" type="noConversion"/>
  </si>
  <si>
    <t>이름</t>
  </si>
  <si>
    <t>가입나이</t>
  </si>
  <si>
    <t>코드</t>
  </si>
  <si>
    <t>구분-성별</t>
  </si>
  <si>
    <t>가입금액</t>
  </si>
  <si>
    <t>가입기간</t>
  </si>
  <si>
    <t>미납기간</t>
  </si>
  <si>
    <t>가입상태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</si>
  <si>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</si>
  <si>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</si>
  <si>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</si>
  <si>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</si>
  <si>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</si>
  <si>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</si>
  <si>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</si>
  <si>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</si>
  <si>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관계</t>
  </si>
  <si>
    <t>부양공제</t>
  </si>
  <si>
    <t>김가인</t>
  </si>
  <si>
    <t>모</t>
  </si>
  <si>
    <t>일반의료비</t>
  </si>
  <si>
    <t>간소화자료</t>
  </si>
  <si>
    <t>신용카드</t>
  </si>
  <si>
    <t>대중교통</t>
  </si>
  <si>
    <t>상공카드</t>
  </si>
  <si>
    <t>현금영수증</t>
  </si>
  <si>
    <t>일반사용분</t>
  </si>
  <si>
    <t/>
  </si>
  <si>
    <t>전통시장</t>
  </si>
  <si>
    <t>중앙병원</t>
  </si>
  <si>
    <t>지정기부금</t>
  </si>
  <si>
    <t>법인</t>
  </si>
  <si>
    <t>주인철</t>
  </si>
  <si>
    <t>부</t>
  </si>
  <si>
    <t>주인해</t>
  </si>
  <si>
    <t>자</t>
  </si>
  <si>
    <t>직불카드</t>
  </si>
  <si>
    <t>알파고카드</t>
  </si>
  <si>
    <t>주호백</t>
  </si>
  <si>
    <t>본인</t>
  </si>
  <si>
    <t>미래카드</t>
  </si>
  <si>
    <t>사랑의원</t>
  </si>
  <si>
    <t>성명</t>
  </si>
  <si>
    <t>소득공제</t>
  </si>
  <si>
    <t>소득공제내용</t>
  </si>
  <si>
    <t>법인명</t>
  </si>
  <si>
    <t>사업자번호</t>
  </si>
  <si>
    <t>금액</t>
  </si>
  <si>
    <t>의료비보조</t>
  </si>
  <si>
    <t>예</t>
  </si>
  <si>
    <t>123-○●-6793</t>
  </si>
  <si>
    <t>123-○●-6791</t>
  </si>
  <si>
    <t>123-○●-6794</t>
  </si>
  <si>
    <t>임윤아</t>
  </si>
  <si>
    <t>처</t>
  </si>
  <si>
    <t>아니오</t>
  </si>
  <si>
    <t>사단법인</t>
  </si>
  <si>
    <t>123-○●-6792</t>
  </si>
  <si>
    <t>123-○●-6790</t>
  </si>
  <si>
    <t>학번</t>
  </si>
  <si>
    <t>봉사내용</t>
  </si>
  <si>
    <t>봉사날짜</t>
  </si>
  <si>
    <t>시수</t>
  </si>
  <si>
    <t>학과</t>
  </si>
  <si>
    <t>주소</t>
  </si>
  <si>
    <t>기관명</t>
  </si>
  <si>
    <t>어르신 말벗</t>
  </si>
  <si>
    <t>김미나</t>
  </si>
  <si>
    <t>금융정보과</t>
  </si>
  <si>
    <t>경기도 용인시 처인구</t>
  </si>
  <si>
    <t>하늘 요양원</t>
  </si>
  <si>
    <t>이소연</t>
  </si>
  <si>
    <t>관광경영과</t>
  </si>
  <si>
    <t>악기 연주</t>
  </si>
  <si>
    <t>강경민</t>
  </si>
  <si>
    <t>국제통상과</t>
  </si>
  <si>
    <t>민철호</t>
  </si>
  <si>
    <t>청소도우미</t>
  </si>
  <si>
    <t>임시우</t>
  </si>
  <si>
    <t>김민교</t>
  </si>
  <si>
    <t>회계학과</t>
  </si>
  <si>
    <t>신현섭</t>
  </si>
  <si>
    <t>급식도우미</t>
  </si>
  <si>
    <t>정민섭</t>
  </si>
  <si>
    <t>스마트폰 활용</t>
  </si>
  <si>
    <t>서울시 관악구 청룡동</t>
  </si>
  <si>
    <t>희망 복지관</t>
  </si>
  <si>
    <t>서울시 중랑구 신내동</t>
  </si>
  <si>
    <t>꿈나래 복지관</t>
  </si>
  <si>
    <t>목욕도우미</t>
  </si>
  <si>
    <t>빨래도우미</t>
  </si>
  <si>
    <t>이재후</t>
  </si>
  <si>
    <t>박정은</t>
  </si>
  <si>
    <t>영어 멘토</t>
  </si>
  <si>
    <t>서울시 노원구 하계동</t>
  </si>
  <si>
    <t>믿음 청소년관</t>
  </si>
  <si>
    <t>수학 멘토</t>
  </si>
  <si>
    <t>서울시 동대문구 이문동</t>
  </si>
  <si>
    <t>반석 복지관</t>
  </si>
  <si>
    <t>조은화</t>
  </si>
  <si>
    <t>씨앗코드</t>
  </si>
  <si>
    <t>씨앗명</t>
  </si>
  <si>
    <t>원산지</t>
  </si>
  <si>
    <t>성장주기</t>
  </si>
  <si>
    <t>높이</t>
  </si>
  <si>
    <t>용량</t>
  </si>
  <si>
    <t>파종시기</t>
  </si>
  <si>
    <t>개화시기</t>
  </si>
  <si>
    <t>판매가격</t>
  </si>
  <si>
    <t>A0077</t>
  </si>
  <si>
    <t>금계국</t>
  </si>
  <si>
    <t>중국</t>
  </si>
  <si>
    <t>일년생</t>
  </si>
  <si>
    <t>30~50cm</t>
  </si>
  <si>
    <t>3~5</t>
  </si>
  <si>
    <t>6~9</t>
  </si>
  <si>
    <t>A1002</t>
  </si>
  <si>
    <t>코스모스</t>
  </si>
  <si>
    <t>1~2m</t>
  </si>
  <si>
    <t>4~6</t>
  </si>
  <si>
    <t>7~10</t>
  </si>
  <si>
    <t>A1005</t>
  </si>
  <si>
    <t>이베리스</t>
  </si>
  <si>
    <t>미국</t>
  </si>
  <si>
    <t>20㎝</t>
  </si>
  <si>
    <t>7~9</t>
  </si>
  <si>
    <t>A1355</t>
  </si>
  <si>
    <t>메밀꽃</t>
  </si>
  <si>
    <t>한국</t>
  </si>
  <si>
    <t>40~70㎝</t>
  </si>
  <si>
    <t>4~5</t>
  </si>
  <si>
    <t>A2011</t>
  </si>
  <si>
    <t>봉선화</t>
  </si>
  <si>
    <t>50~80㎝</t>
  </si>
  <si>
    <t>A3200</t>
  </si>
  <si>
    <t>나팔꽃</t>
  </si>
  <si>
    <t>2~3m</t>
  </si>
  <si>
    <t>A3218</t>
  </si>
  <si>
    <t>기생초</t>
  </si>
  <si>
    <t>30~100cm</t>
  </si>
  <si>
    <t>A9022</t>
  </si>
  <si>
    <t>한련화</t>
  </si>
  <si>
    <t>50~60㎝</t>
  </si>
  <si>
    <t>6~10</t>
  </si>
  <si>
    <t>B0001</t>
  </si>
  <si>
    <t>물망초</t>
  </si>
  <si>
    <t>월년생</t>
  </si>
  <si>
    <t>20~50㎝</t>
  </si>
  <si>
    <t>9~10</t>
  </si>
  <si>
    <t>B0012</t>
  </si>
  <si>
    <t>양귀비</t>
  </si>
  <si>
    <t>30~80cm</t>
  </si>
  <si>
    <t>8~10</t>
  </si>
  <si>
    <t>B1355</t>
  </si>
  <si>
    <t>수레국화</t>
  </si>
  <si>
    <t>30~90cm</t>
  </si>
  <si>
    <t>5~6</t>
  </si>
  <si>
    <t>B2008</t>
  </si>
  <si>
    <t>자운영</t>
  </si>
  <si>
    <t>10~25cm</t>
  </si>
  <si>
    <t>8~9</t>
  </si>
  <si>
    <t>B3255</t>
  </si>
  <si>
    <t>유채꽃</t>
  </si>
  <si>
    <t>80~130cm</t>
  </si>
  <si>
    <t>3~4</t>
  </si>
  <si>
    <t>B3500</t>
  </si>
  <si>
    <t>달맞이꽃</t>
  </si>
  <si>
    <t>50~90㎝</t>
  </si>
  <si>
    <t>3~9</t>
  </si>
  <si>
    <t>B6211</t>
  </si>
  <si>
    <t>끈끈이대나물</t>
  </si>
  <si>
    <t>40~50cm</t>
  </si>
  <si>
    <t>6~8</t>
  </si>
  <si>
    <t>B7011</t>
  </si>
  <si>
    <t>안개꽃</t>
  </si>
  <si>
    <t>5~8</t>
  </si>
  <si>
    <t>B9003</t>
  </si>
  <si>
    <t>헤어리베치</t>
  </si>
  <si>
    <t>호주</t>
  </si>
  <si>
    <t>1.5~2m</t>
  </si>
  <si>
    <t>P0005</t>
  </si>
  <si>
    <t>치커리</t>
  </si>
  <si>
    <t>다년생</t>
  </si>
  <si>
    <t>50~150㎝</t>
  </si>
  <si>
    <t>P0011</t>
  </si>
  <si>
    <t>더덕</t>
  </si>
  <si>
    <t>2~5m</t>
  </si>
  <si>
    <t>P2500</t>
  </si>
  <si>
    <t>샤스타데이지</t>
  </si>
  <si>
    <t>60~90㎝</t>
  </si>
  <si>
    <t>5~7</t>
  </si>
  <si>
    <t>P3170</t>
  </si>
  <si>
    <t>쑥부쟁이</t>
  </si>
  <si>
    <t>35~50cm</t>
  </si>
  <si>
    <t>P6001</t>
  </si>
  <si>
    <t>벌노랑이</t>
  </si>
  <si>
    <t>20~30cm</t>
  </si>
  <si>
    <t>과정명</t>
  </si>
  <si>
    <t>가격</t>
  </si>
  <si>
    <t>교육장소</t>
  </si>
  <si>
    <t>교육시작일</t>
  </si>
  <si>
    <t>교육종료일</t>
  </si>
  <si>
    <t>접수인원</t>
  </si>
  <si>
    <t>모집정원</t>
  </si>
  <si>
    <t>신은희</t>
  </si>
  <si>
    <t>4차산업혁명과 미래</t>
  </si>
  <si>
    <t>서울</t>
  </si>
  <si>
    <t>부산</t>
  </si>
  <si>
    <t>광주</t>
  </si>
  <si>
    <t>대구</t>
  </si>
  <si>
    <t>우명관</t>
  </si>
  <si>
    <t>동영상 강의자료 제작</t>
  </si>
  <si>
    <t>곽경미</t>
  </si>
  <si>
    <t>엑셀을 활용한 사무자동화</t>
  </si>
  <si>
    <t>김선주</t>
  </si>
  <si>
    <t>한글을 활용한 사무행정</t>
  </si>
  <si>
    <t>박준홍</t>
  </si>
  <si>
    <t>PPT 강의자료 개발</t>
  </si>
  <si>
    <t>박갑열</t>
  </si>
  <si>
    <t>과목</t>
  </si>
  <si>
    <t>접수일</t>
  </si>
  <si>
    <t>시험날짜</t>
  </si>
  <si>
    <t>점수</t>
  </si>
  <si>
    <t>202084155</t>
  </si>
  <si>
    <t>강경순</t>
  </si>
  <si>
    <t>코딩설계공학과</t>
  </si>
  <si>
    <t>워드</t>
  </si>
  <si>
    <t>파워포인트</t>
  </si>
  <si>
    <t>엑셀</t>
  </si>
  <si>
    <t>액세스</t>
  </si>
  <si>
    <t>201984151</t>
  </si>
  <si>
    <t>강정화</t>
  </si>
  <si>
    <t>202084158</t>
  </si>
  <si>
    <t>공은주</t>
  </si>
  <si>
    <t>202116126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</si>
  <si>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</si>
  <si>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</si>
  <si>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</si>
  <si>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</si>
  <si>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</si>
  <si>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</si>
  <si>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</si>
  <si>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</si>
  <si>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</si>
  <si>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</si>
  <si>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</si>
  <si>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</si>
  <si>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</si>
  <si>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202007162</t>
  </si>
  <si>
    <t>김병래</t>
  </si>
  <si>
    <t>201984153</t>
  </si>
  <si>
    <t>김상덕</t>
  </si>
  <si>
    <t>201984431</t>
  </si>
  <si>
    <t>김숙자</t>
  </si>
  <si>
    <t>202197138</t>
  </si>
  <si>
    <t>김찬수</t>
  </si>
  <si>
    <t>202184436</t>
  </si>
  <si>
    <t>노선녀</t>
  </si>
  <si>
    <t>202019135</t>
  </si>
  <si>
    <t>201984133</t>
  </si>
  <si>
    <t>박강훈</t>
  </si>
  <si>
    <t>202105146</t>
  </si>
  <si>
    <t>박금옥</t>
  </si>
  <si>
    <t>유재천</t>
  </si>
  <si>
    <t>장성형</t>
  </si>
  <si>
    <t>조병철</t>
  </si>
  <si>
    <t>함영미</t>
  </si>
  <si>
    <t>번호</t>
    <phoneticPr fontId="3" type="noConversion"/>
  </si>
  <si>
    <t>학번</t>
    <phoneticPr fontId="3" type="noConversion"/>
  </si>
  <si>
    <t>접수일</t>
    <phoneticPr fontId="3" type="noConversion"/>
  </si>
  <si>
    <t>[표1]</t>
  </si>
  <si>
    <t>학과</t>
    <phoneticPr fontId="3" type="noConversion"/>
  </si>
  <si>
    <t>응시일</t>
    <phoneticPr fontId="3" type="noConversion"/>
  </si>
  <si>
    <t>엑셀</t>
    <phoneticPr fontId="3" type="noConversion"/>
  </si>
  <si>
    <t>액세스</t>
    <phoneticPr fontId="3" type="noConversion"/>
  </si>
  <si>
    <t>파워포인트</t>
    <phoneticPr fontId="3" type="noConversion"/>
  </si>
  <si>
    <t>김우영</t>
    <phoneticPr fontId="3" type="noConversion"/>
  </si>
  <si>
    <t>컴퓨터공학과</t>
    <phoneticPr fontId="3" type="noConversion"/>
  </si>
  <si>
    <t>곽봉규</t>
  </si>
  <si>
    <t>윤명애</t>
  </si>
  <si>
    <t>홍종관</t>
    <phoneticPr fontId="3" type="noConversion"/>
  </si>
  <si>
    <t>노동균</t>
  </si>
  <si>
    <t>이미희</t>
  </si>
  <si>
    <t>곽영애</t>
  </si>
  <si>
    <t>박미영</t>
  </si>
  <si>
    <t>박갑열</t>
    <phoneticPr fontId="3" type="noConversion"/>
  </si>
  <si>
    <t>조태영</t>
  </si>
  <si>
    <t>코딩설계학과</t>
    <phoneticPr fontId="3" type="noConversion"/>
  </si>
  <si>
    <t>심용섭</t>
    <phoneticPr fontId="3" type="noConversion"/>
  </si>
  <si>
    <t>이일선</t>
  </si>
  <si>
    <t>코딩설계학과</t>
    <phoneticPr fontId="3" type="noConversion"/>
  </si>
  <si>
    <t>한성권</t>
  </si>
  <si>
    <t>라순주</t>
  </si>
  <si>
    <t>전정미</t>
  </si>
  <si>
    <t>한순희</t>
    <phoneticPr fontId="3" type="noConversion"/>
  </si>
  <si>
    <t>드론콘텐츠과</t>
    <phoneticPr fontId="3" type="noConversion"/>
  </si>
  <si>
    <t>드론콘텐츠과</t>
    <phoneticPr fontId="3" type="noConversion"/>
  </si>
  <si>
    <t>곽선자</t>
  </si>
  <si>
    <t>영상미디어과</t>
    <phoneticPr fontId="3" type="noConversion"/>
  </si>
  <si>
    <t>결과</t>
    <phoneticPr fontId="3" type="noConversion"/>
  </si>
  <si>
    <t>[표1]</t>
    <phoneticPr fontId="3" type="noConversion"/>
  </si>
  <si>
    <t>판정</t>
    <phoneticPr fontId="3" type="noConversion"/>
  </si>
  <si>
    <t>평가</t>
    <phoneticPr fontId="3" type="noConversion"/>
  </si>
  <si>
    <t>비고</t>
    <phoneticPr fontId="3" type="noConversion"/>
  </si>
  <si>
    <t>j</t>
    <phoneticPr fontId="3" type="noConversion"/>
  </si>
  <si>
    <t>평가</t>
    <phoneticPr fontId="3" type="noConversion"/>
  </si>
  <si>
    <t>점수차트</t>
    <phoneticPr fontId="3" type="noConversion"/>
  </si>
  <si>
    <t>파종분기</t>
    <phoneticPr fontId="3" type="noConversion"/>
  </si>
  <si>
    <t>개화분기</t>
    <phoneticPr fontId="3" type="noConversion"/>
  </si>
  <si>
    <t>학년</t>
  </si>
  <si>
    <t>반</t>
  </si>
  <si>
    <t>성별</t>
  </si>
  <si>
    <t>사랑반</t>
  </si>
  <si>
    <t>여</t>
  </si>
  <si>
    <t>남</t>
  </si>
  <si>
    <t>희락반</t>
  </si>
  <si>
    <t>화평반</t>
  </si>
  <si>
    <t>오래참음반</t>
  </si>
  <si>
    <t>자비반</t>
  </si>
  <si>
    <t>양선반</t>
  </si>
  <si>
    <t>충성반</t>
  </si>
  <si>
    <t>온유반</t>
  </si>
  <si>
    <t>절제반</t>
  </si>
  <si>
    <t>믿음반</t>
  </si>
  <si>
    <t>소망반</t>
  </si>
  <si>
    <t>총합계</t>
  </si>
  <si>
    <t>값</t>
  </si>
  <si>
    <t>전체 학생수</t>
  </si>
  <si>
    <t>학생수</t>
  </si>
  <si>
    <t>전체 평균: 출석수</t>
  </si>
  <si>
    <t>평균: 출석수</t>
  </si>
  <si>
    <t>*</t>
  </si>
  <si>
    <t>강원</t>
  </si>
  <si>
    <t>경기</t>
  </si>
  <si>
    <t>경상</t>
  </si>
  <si>
    <t>전라</t>
  </si>
  <si>
    <t>제주</t>
  </si>
  <si>
    <t>충청</t>
  </si>
  <si>
    <t>강수량</t>
  </si>
  <si>
    <t>습도</t>
  </si>
  <si>
    <t>최고기온</t>
  </si>
  <si>
    <t>평균온도</t>
  </si>
  <si>
    <t>합계 : 겨울기상</t>
  </si>
  <si>
    <t>전체 합계 : 겨울기상</t>
  </si>
  <si>
    <t>전체 합계 : 봄기상</t>
  </si>
  <si>
    <t>합계 : 봄기상</t>
  </si>
  <si>
    <t>기상</t>
  </si>
  <si>
    <t>지역</t>
  </si>
  <si>
    <t>컴퓨터공학과</t>
  </si>
  <si>
    <t>전체 합계 : 포인트</t>
  </si>
  <si>
    <t>합계 : 포인트</t>
  </si>
  <si>
    <t>전체 평균 : 점수</t>
  </si>
  <si>
    <t>평균 : 점수</t>
  </si>
  <si>
    <t>★★★</t>
  </si>
  <si>
    <t>결제방법</t>
  </si>
  <si>
    <t>이체</t>
  </si>
  <si>
    <t>카드</t>
  </si>
  <si>
    <t>페이</t>
  </si>
  <si>
    <t>현금</t>
  </si>
  <si>
    <t>상품명</t>
  </si>
  <si>
    <t>TV</t>
  </si>
  <si>
    <t>냉장고</t>
  </si>
  <si>
    <t>노트북</t>
  </si>
  <si>
    <t>세탁기</t>
  </si>
  <si>
    <t>청소기</t>
  </si>
  <si>
    <t>합계: 금액</t>
  </si>
  <si>
    <t>합계: 판매대수</t>
  </si>
  <si>
    <t>평균: 금액</t>
  </si>
  <si>
    <t>전체 합계: 금액</t>
  </si>
  <si>
    <t>전체 평균: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</si>
</sst>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\ &quot;세&quot;"/>
    <numFmt numFmtId="177" formatCode="000"/>
    <numFmt numFmtId="178" formatCode="0_ "/>
  </numFmts>
  <fonts count="11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9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14" fontId="0" fillId="0" borderId="2" xfId="0" applyNumberFormat="1" applyBorder="1" applyAlignment="1">
      <alignment horizontal="center" vertical="center"/>
    </xf>
    <xf numFmtId="41" fontId="0" fillId="0" borderId="2" xfId="1" applyFont="1" applyBorder="1" applyAlignment="1"/>
    <xf numFmtId="0" fontId="0" fillId="0" borderId="2" xfId="0" applyBorder="1" applyAlignment="1">
      <alignment horizontal="right" vertical="center"/>
    </xf>
    <xf numFmtId="41" fontId="0" fillId="0" borderId="2" xfId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41" fontId="7" fillId="0" borderId="0" xfId="1" applyFont="1">
      <alignment vertical="center"/>
    </xf>
    <xf numFmtId="14" fontId="7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1" fontId="7" fillId="0" borderId="1" xfId="1" applyFont="1" applyBorder="1">
      <alignment vertical="center"/>
    </xf>
    <xf numFmtId="0" fontId="7" fillId="0" borderId="1" xfId="0" applyFont="1" applyBorder="1">
      <alignment vertical="center"/>
    </xf>
    <xf numFmtId="0" fontId="7" fillId="0" borderId="1" xfId="0" applyFont="1" applyBorder="1" applyAlignment="1">
      <alignment horizontal="center" vertical="center"/>
    </xf>
    <xf numFmtId="176" fontId="7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0" borderId="2" xfId="0" applyFont="1" applyBorder="1">
      <alignment vertical="center"/>
    </xf>
    <xf numFmtId="0" fontId="2" fillId="2" borderId="2" xfId="2" applyBorder="1" applyAlignment="1">
      <alignment horizontal="center" vertical="center"/>
    </xf>
    <xf numFmtId="41" fontId="2" fillId="2" borderId="2" xfId="2" applyNumberFormat="1" applyBorder="1" applyAlignment="1">
      <alignment horizontal="center" vertical="center"/>
    </xf>
    <xf numFmtId="41" fontId="2" fillId="3" borderId="2" xfId="5" applyNumberFormat="1" applyBorder="1" applyAlignment="1">
      <alignment horizontal="center" vertical="center"/>
    </xf>
    <xf numFmtId="177" fontId="0" fillId="0" borderId="7" xfId="0" applyNumberForma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 readingOrder="1"/>
    </xf>
    <xf numFmtId="14" fontId="0" fillId="0" borderId="7" xfId="0" applyNumberFormat="1" applyBorder="1" applyAlignment="1">
      <alignment horizontal="center" vertical="center" readingOrder="1"/>
    </xf>
    <xf numFmtId="0" fontId="8" fillId="5" borderId="7" xfId="0" applyFont="1" applyFill="1" applyBorder="1" applyAlignment="1">
      <alignment horizontal="center" vertical="center" wrapText="1" readingOrder="1"/>
    </xf>
    <xf numFmtId="0" fontId="0" fillId="0" borderId="7" xfId="0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 wrapText="1"/>
    </xf>
    <xf numFmtId="0" fontId="5" fillId="4" borderId="3" xfId="6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5" fillId="4" borderId="4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vertical="center" wrapText="1"/>
    </xf>
    <xf numFmtId="3" fontId="5" fillId="4" borderId="6" xfId="0" applyNumberFormat="1" applyFont="1" applyFill="1" applyBorder="1" applyAlignment="1">
      <alignment horizontal="right" vertical="center" wrapText="1"/>
    </xf>
    <xf numFmtId="0" fontId="5" fillId="4" borderId="3" xfId="6" applyFont="1" applyFill="1" applyBorder="1" applyAlignment="1">
      <alignment vertical="center" wrapText="1"/>
    </xf>
    <xf numFmtId="3" fontId="5" fillId="4" borderId="5" xfId="6" applyNumberFormat="1" applyFont="1" applyFill="1" applyBorder="1" applyAlignment="1">
      <alignment horizontal="right" vertical="center" wrapText="1"/>
    </xf>
    <xf numFmtId="0" fontId="5" fillId="4" borderId="3" xfId="0" applyFont="1" applyFill="1" applyBorder="1" applyAlignment="1">
      <alignment vertical="center" wrapText="1"/>
    </xf>
    <xf numFmtId="3" fontId="5" fillId="4" borderId="5" xfId="0" applyNumberFormat="1" applyFont="1" applyFill="1" applyBorder="1" applyAlignment="1">
      <alignment horizontal="right" vertical="center" wrapText="1"/>
    </xf>
    <xf numFmtId="3" fontId="6" fillId="0" borderId="1" xfId="9" applyNumberFormat="1" applyFont="1" applyBorder="1">
      <alignment vertical="center"/>
    </xf>
    <xf numFmtId="0" fontId="2" fillId="2" borderId="7" xfId="2" applyBorder="1" applyAlignment="1" applyProtection="1">
      <alignment horizontal="center" vertical="center" wrapText="1" readingOrder="1"/>
      <protection locked="0"/>
    </xf>
    <xf numFmtId="0" fontId="2" fillId="3" borderId="7" xfId="5" applyBorder="1" applyAlignment="1" applyProtection="1">
      <alignment horizontal="center" vertical="center" wrapText="1" readingOrder="1"/>
      <protection locked="0"/>
    </xf>
    <xf numFmtId="0" fontId="2" fillId="2" borderId="2" xfId="2" applyBorder="1" applyAlignment="1">
      <alignment horizontal="center"/>
    </xf>
    <xf numFmtId="0" fontId="2" fillId="3" borderId="7" xfId="5" applyBorder="1" applyAlignment="1">
      <alignment horizontal="center"/>
    </xf>
    <xf numFmtId="0" fontId="2" fillId="3" borderId="2" xfId="5" applyBorder="1" applyAlignment="1">
      <alignment horizontal="center" vertical="center"/>
    </xf>
    <xf numFmtId="0" fontId="2" fillId="3" borderId="7" xfId="5" applyBorder="1" applyAlignment="1">
      <alignment horizontal="center" vertical="center"/>
    </xf>
    <xf numFmtId="0" fontId="2" fillId="2" borderId="7" xfId="2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2" fontId="0" fillId="0" borderId="0" xfId="0" applyNumberFormat="1">
      <alignment vertical="center"/>
    </xf>
    <xf numFmtId="42" fontId="0" fillId="0" borderId="0" xfId="0" applyNumberFormat="1">
      <alignment vertical="center"/>
    </xf>
    <xf numFmtId="41" fontId="0" fillId="0" borderId="0" xfId="0" applyNumberFormat="1">
      <alignment vertical="center"/>
    </xf>
  </cellXfs>
  <cellStyles count="10">
    <cellStyle name="강조색1" xfId="2" builtinId="29"/>
    <cellStyle name="강조색2" xfId="5" builtinId="33"/>
    <cellStyle name="백분율 2" xfId="7" xr:uid="{00000000-0005-0000-0000-000002000000}"/>
    <cellStyle name="쉼표 [0]" xfId="1" builtinId="6"/>
    <cellStyle name="쉼표 [0] 2" xfId="4" xr:uid="{00000000-0005-0000-0000-000004000000}"/>
    <cellStyle name="쉼표 [0] 3" xfId="9" xr:uid="{00000000-0005-0000-0000-000005000000}"/>
    <cellStyle name="제목 5" xfId="8" xr:uid="{00000000-0005-0000-0000-000006000000}"/>
    <cellStyle name="표준" xfId="0" builtinId="0"/>
    <cellStyle name="표준 2" xfId="3" xr:uid="{00000000-0005-0000-0000-000008000000}"/>
    <cellStyle name="표준 2 2" xfId="6" xr:uid="{00000000-0005-0000-0000-000009000000}"/>
  </cellStyles>
  <dxfs count="2">
    <dxf>
      <numFmt numFmtId="27" formatCode="yyyy/mm/dd\ h:mm"/>
    </dxf>
    <dxf>
      <numFmt numFmtId="27" formatCode="yyyy/mm/dd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컴활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1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급실기 </a:t>
          </a:r>
          <a:r>
            <a:rPr lang="en-US" altLang="ko-KR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20</a:t>
          </a:r>
          <a:r>
            <a:rPr lang="ko-KR" altLang="en-US" sz="2400">
              <a:solidFill>
                <a:schemeClr val="tx1"/>
              </a:solidFill>
              <a:latin typeface="210 맨발의청춘 R" panose="02020603020101020101" pitchFamily="18" charset="-127"/>
              <a:ea typeface="210 맨발의청춘 R" panose="02020603020101020101" pitchFamily="18" charset="-127"/>
            </a:rPr>
            <a:t>일만에 끝내기</a:t>
          </a:r>
        </a:p>
      </xdr:txBody>
    </xdr:sp>
    <xdr:clientData/>
  </xdr:twoCellAnchor>
  <xdr:oneCellAnchor>
    <xdr:from>
      <xdr:col>7</xdr:col>
      <xdr:colOff>235743</xdr:colOff>
      <xdr:row>5</xdr:row>
      <xdr:rowOff>12479</xdr:rowOff>
    </xdr:from>
    <xdr:ext cx="12358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36343" y="1084042"/>
          <a:ext cx="12358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4</a:t>
          </a:r>
          <a:r>
            <a:rPr lang="ko-KR" altLang="en-US" sz="1400" b="1"/>
            <a:t>일차 </a:t>
          </a:r>
          <a:endParaRPr lang="en-US" altLang="ko-KR" sz="1400" b="1"/>
        </a:p>
        <a:p>
          <a:r>
            <a:rPr lang="ko-KR" altLang="en-US" sz="1100" b="1"/>
            <a:t>사용자 정의 함수</a:t>
          </a:r>
          <a:endParaRPr lang="en-US" altLang="ko-KR" sz="1100" b="1"/>
        </a:p>
        <a:p>
          <a:r>
            <a:rPr lang="ko-KR" altLang="en-US" sz="1100" b="1"/>
            <a:t>피벗 테이블</a:t>
          </a:r>
        </a:p>
      </xdr:txBody>
    </xdr:sp>
    <xdr:clientData/>
  </xdr:oneCellAnchor>
  <xdr:twoCellAnchor>
    <xdr:from>
      <xdr:col>7</xdr:col>
      <xdr:colOff>38108</xdr:colOff>
      <xdr:row>7</xdr:row>
      <xdr:rowOff>9521</xdr:rowOff>
    </xdr:from>
    <xdr:to>
      <xdr:col>7</xdr:col>
      <xdr:colOff>133358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38708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38108</xdr:colOff>
      <xdr:row>8</xdr:row>
      <xdr:rowOff>33334</xdr:rowOff>
    </xdr:from>
    <xdr:to>
      <xdr:col>7</xdr:col>
      <xdr:colOff>133358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38708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OneDrive/&#48148;&#53461;%20&#54868;&#47732;/&#48148;&#53461;&#54868;&#47732;/&#51088;&#47308;&#49892;/Excel_Basic/&#50641;&#49472;%20&#44592;&#52488;_0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6,000&#50896;&#49884;&#47532;&#51592;(&#50689;&#51652;)/&#49440;&#49373;&#45784;/Part2/CA%20&#48512;&#49436;%20&#51312;&#51649;_&#50756;&#49457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50980;&#51221;/&#49436;&#50872;&#44368;&#50977;&#50672;&#49688;&#50896;/&#49772;&#50868;&#50641;&#49472;/&#50641;&#49472;&#51088;&#47308;/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홈"/>
      <sheetName val="중요함수모음"/>
      <sheetName val="1.기본함수"/>
      <sheetName val="1.기본함수-정답"/>
      <sheetName val="2.논리함수"/>
      <sheetName val="2.논리함수-정답"/>
      <sheetName val="3. 참조함수"/>
      <sheetName val="3. 참조함수-정답"/>
      <sheetName val="4.날짜와 시간함수"/>
      <sheetName val="4.날짜와 시간함수-정답"/>
      <sheetName val="5.데이터베이스함수"/>
      <sheetName val="5.데이터베이스함수-정답"/>
      <sheetName val="6.기타함수"/>
      <sheetName val="문서1_기초"/>
      <sheetName val="문서1_기초 (정답파일)"/>
      <sheetName val="문서1-견적서"/>
      <sheetName val="문서1-연습"/>
      <sheetName val="문서2-강의이력서"/>
      <sheetName val="문서2-연습"/>
      <sheetName val="문서3-세금계산서"/>
      <sheetName val="문서3-연습"/>
      <sheetName val="자동필터_1"/>
      <sheetName val="자동필터_1-정답"/>
      <sheetName val="자동필터(예제)"/>
      <sheetName val="자동필터(결과)"/>
      <sheetName val="고급필터"/>
      <sheetName val="고급필터(결과)"/>
      <sheetName val="조건부서식1(예제)"/>
      <sheetName val="조건부서식1(결과)"/>
      <sheetName val="조건부서식2(예제)"/>
      <sheetName val="조건부서식2(결과)"/>
      <sheetName val="조건부서식3(예제)"/>
      <sheetName val="조건부서식3(결과)"/>
      <sheetName val="계산(예제)"/>
      <sheetName val="계산(결과)"/>
      <sheetName val="날짜(예제)"/>
      <sheetName val="날짜(결과)"/>
      <sheetName val="논리(예제)"/>
      <sheetName val="논리(결과)"/>
      <sheetName val="데이터베이스1(예제)"/>
      <sheetName val="데이터베이스1(결과)"/>
      <sheetName val="데이터베이스2(예제)"/>
      <sheetName val="데이터베이스2(결과)"/>
      <sheetName val="데이터베이스3(예제)"/>
      <sheetName val="데이터베이스3(결과)"/>
      <sheetName val="문자열1(예제)"/>
      <sheetName val="문자열1(결과)"/>
      <sheetName val="문자열2(예제)"/>
      <sheetName val="문자열2(결과)"/>
      <sheetName val="수학1(예제)"/>
      <sheetName val="수학1(결과)"/>
      <sheetName val="수학2(예제)"/>
      <sheetName val="수학2(결과)"/>
      <sheetName val="재무(예제)"/>
      <sheetName val="재무(결과)"/>
      <sheetName val="통계1(예제)"/>
      <sheetName val="통계1(결과)"/>
      <sheetName val="통계2(예제)"/>
      <sheetName val="통계2(결과)"/>
      <sheetName val="찾기1(예제)"/>
      <sheetName val="찾기1(결과)"/>
      <sheetName val="찾기2(예제)"/>
      <sheetName val="찾기2(결과)"/>
      <sheetName val="찾기3(예제)"/>
      <sheetName val="찾기3(결과)"/>
      <sheetName val="정보(예제)"/>
      <sheetName val="정보(결과)"/>
      <sheetName val="실습1(예제)"/>
      <sheetName val="실습1(결과)"/>
      <sheetName val="배열수식(예제)"/>
      <sheetName val="배열수식(결과)"/>
      <sheetName val="배열1(예제)"/>
      <sheetName val="배열1(결과)"/>
      <sheetName val="배열2(예제)"/>
      <sheetName val="배열2(결과)"/>
      <sheetName val="배열3(예제)"/>
      <sheetName val="배열3(결과)"/>
      <sheetName val="사용자정의(예제)"/>
      <sheetName val="사용자정의(결과)"/>
      <sheetName val="피벗테이블-1"/>
      <sheetName val="피벗테이블-1(정답)"/>
      <sheetName val="피벗테이블-2"/>
      <sheetName val="통합1(예제)"/>
      <sheetName val="통합1(예제) (결과)"/>
      <sheetName val="통합2(예제)"/>
      <sheetName val="통합3(예제)"/>
      <sheetName val="통합2(결과)"/>
      <sheetName val="정렬1(예제) "/>
      <sheetName val="정렬1(결과)"/>
      <sheetName val="정렬2(예제)"/>
      <sheetName val="정렬2(결과)"/>
      <sheetName val="부분합1(예제)"/>
      <sheetName val="부분합1(결과)"/>
      <sheetName val="부분합2(예제)"/>
      <sheetName val="부분합2(결과)"/>
      <sheetName val="데이터표1(예제)"/>
      <sheetName val="데이터표1(예제)_결과"/>
      <sheetName val="데이터표2(예제)"/>
      <sheetName val="데이터표2(결과)"/>
      <sheetName val="목표값1(예제)"/>
      <sheetName val="목표값1(결과)"/>
      <sheetName val="목표값2(예제) "/>
      <sheetName val="목표값2(결과)"/>
      <sheetName val="시나리오1(예제)"/>
      <sheetName val="시나리오1(결과)"/>
      <sheetName val="시나리오2(예제)"/>
      <sheetName val="시나리오2(결과)"/>
      <sheetName val="분석작업_시나리오"/>
      <sheetName val="매크로1(예제)"/>
      <sheetName val="매크로1(결과)"/>
      <sheetName val="매크로2(예제)"/>
      <sheetName val="매크로2(결과)"/>
      <sheetName val="차트1(예제)"/>
      <sheetName val="차트1(결과)"/>
      <sheetName val="차트2(예제)"/>
      <sheetName val="차트2(결과)"/>
      <sheetName val="차트3(예제)"/>
      <sheetName val="차트3(결과)"/>
      <sheetName val="차트"/>
      <sheetName val="사원현황(예제)"/>
      <sheetName val="수강등록(예제)"/>
      <sheetName val="조회(예제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3">
          <cell r="B3">
            <v>3000</v>
          </cell>
        </row>
        <row r="4">
          <cell r="B4">
            <v>2000</v>
          </cell>
        </row>
        <row r="5">
          <cell r="B5">
            <v>3000</v>
          </cell>
        </row>
        <row r="6">
          <cell r="B6">
            <v>300</v>
          </cell>
        </row>
        <row r="8">
          <cell r="B8">
            <v>9000000</v>
          </cell>
        </row>
        <row r="9">
          <cell r="B9">
            <v>1000</v>
          </cell>
        </row>
        <row r="10">
          <cell r="B10">
            <v>300000</v>
          </cell>
        </row>
      </sheetData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98.997338541667" backgroundQuery="1" createdVersion="8" refreshedVersion="8" minRefreshableVersion="3" recordCount="88" xr:uid="{A97C4F96-1F69-46A7-9406-D001C2CA56EE}">
  <cacheSource type="external" connectionId="1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 +'1월' +'2월'" databaseField="0"/>
    <cacheField name="봄기상" numFmtId="0" formula="'3월' +'4월' 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99.001125694442" backgroundQuery="1" createdVersion="8" refreshedVersion="8" minRefreshableVersion="3" recordCount="87" xr:uid="{160759FC-53B0-4874-9402-6A1923421AA5}">
  <cacheSource type="external" connectionId="2"/>
  <cacheFields count="6">
    <cacheField name="학과" numFmtId="0" sqlType="-9">
      <sharedItems count="4">
        <s v="코딩설계공학과"/>
        <s v="전자공학과"/>
        <s v="드론콘텐츠과"/>
        <s v="컴퓨터공학과"/>
      </sharedItems>
    </cacheField>
    <cacheField name="과목" numFmtId="0" sqlType="-9">
      <sharedItems count="4">
        <s v="워드"/>
        <s v="파워포인트"/>
        <s v="엑셀"/>
        <s v="액세스"/>
      </sharedItems>
    </cacheField>
    <cacheField name="접수일" numFmtId="0" sqlType="11">
      <sharedItems containsSemiMixedTypes="0" containsNonDate="0" containsDate="1" containsString="0" minDate="2021-07-09T00:00:00" maxDate="2021-07-18T00:00:00"/>
    </cacheField>
    <cacheField name="시험날짜" numFmtId="0" sqlType="11">
      <sharedItems containsSemiMixedTypes="0" containsNonDate="0" containsDate="1" containsString="0" minDate="2021-07-20T15:53:00" maxDate="2021-08-01T00:00:00" count="41">
        <d v="2021-07-31T00:00:00"/>
        <d v="2021-07-30T00:00:00"/>
        <d v="2021-07-20T15:53:00"/>
        <d v="2021-07-27T16:58:00"/>
        <d v="2021-07-29T16:02:00"/>
        <d v="2021-07-22T15:28:00"/>
        <d v="2021-07-29T16:47:00"/>
        <d v="2021-07-27T17:11:00"/>
        <d v="2021-07-22T16:08:00"/>
        <d v="2021-07-20T15:55:00"/>
        <d v="2021-07-27T17:09:00"/>
        <d v="2021-07-29T16:45:00"/>
        <d v="2021-07-27T18:29:00"/>
        <d v="2021-07-20T16:27:00"/>
        <d v="2021-07-29T16:01:00"/>
        <d v="2021-07-27T18:04:00"/>
        <d v="2021-07-20T16:36:00"/>
        <d v="2021-07-22T15:53:00"/>
        <d v="2021-07-27T16:55:00"/>
        <d v="2021-07-22T15:59:00"/>
        <d v="2021-07-22T16:04:00"/>
        <d v="2021-07-29T16:03:00"/>
        <d v="2021-07-27T17:59:00"/>
        <d v="2021-07-20T16:18:00"/>
        <d v="2021-07-29T16:57:00"/>
        <d v="2021-07-29T17:49:00"/>
        <d v="2021-07-20T15:58:00"/>
        <d v="2021-07-27T17:35:00"/>
        <d v="2021-07-29T16:36:00"/>
        <d v="2021-07-27T18:17:00"/>
        <d v="2021-07-29T16:52:00"/>
        <d v="2021-07-22T15:50:00"/>
        <d v="2021-07-22T16:11:00"/>
        <d v="2021-07-20T16:19:00"/>
        <d v="2021-07-22T16:09:00"/>
        <d v="2021-07-27T17:32:00"/>
        <d v="2021-07-27T17:33:00"/>
        <d v="2021-07-27T16:56:00"/>
        <d v="2021-07-27T18:15:00"/>
        <d v="2021-07-22T16:06:00"/>
        <d v="2021-07-27T17:49:00"/>
      </sharedItems>
    </cacheField>
    <cacheField name="점수" numFmtId="0" sqlType="4">
      <sharedItems containsSemiMixedTypes="0" containsString="0" containsNumber="1" containsInteger="1" minValue="345" maxValue="1000"/>
    </cacheField>
    <cacheField name="포인트" numFmtId="0" formula="점수 /1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98.995694212965" backgroundQuery="1" createdVersion="8" refreshedVersion="8" minRefreshableVersion="3" recordCount="0" supportSubquery="1" supportAdvancedDrill="1" xr:uid="{24FE5137-2EA9-4BC9-A9B7-B77F965E26D2}">
  <cacheSource type="external" connectionId="3"/>
  <cacheFields count="5">
    <cacheField name="[출석부관리].[학년].[학년]" caption="학년" numFmtId="0" hierarchy="8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성별].[성별]" caption="성별" numFmtId="0" hierarchy="11" level="1">
      <sharedItems count="2">
        <s v="남"/>
        <s v="여"/>
      </sharedItems>
    </cacheField>
    <cacheField name="[출석부관리].[반].[반]" caption="반" numFmtId="0" hierarchy="9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Measures].[개수: 이름]" caption="개수: 이름" numFmtId="0" hierarchy="18" level="32767"/>
    <cacheField name="[Measures].[평균: 출석수]" caption="평균: 출석수" numFmtId="0" hierarchy="19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0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1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99.019393634262" backgroundQuery="1" createdVersion="8" refreshedVersion="8" minRefreshableVersion="3" recordCount="0" supportSubquery="1" supportAdvancedDrill="1" xr:uid="{090CE3CB-1070-4E92-999E-06581F09E182}">
  <cacheSource type="external" connectionId="3"/>
  <cacheFields count="4">
    <cacheField name="[기풍전자판매현황].[결제방법].[결제방법]" caption="결제방법" numFmtId="0" hierarchy="3" level="1">
      <sharedItems count="4">
        <s v="이체"/>
        <s v="카드"/>
        <s v="페이"/>
        <s v="현금"/>
      </sharedItems>
    </cacheField>
    <cacheField name="[기풍전자판매현황].[상품명].[상품명]" caption="상품명" numFmtId="0" level="1">
      <sharedItems count="5">
        <s v="TV"/>
        <s v="냉장고"/>
        <s v="노트북"/>
        <s v="세탁기"/>
        <s v="청소기"/>
      </sharedItems>
    </cacheField>
    <cacheField name="[Measures].[합계: 금액]" caption="합계: 금액" numFmtId="0" hierarchy="20" level="32767"/>
    <cacheField name="[Measures].[합계: 판매대수]" caption="합계: 판매대수" numFmtId="0" hierarchy="21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2" memberValueDatatype="130" unbalanced="0">
      <fieldsUsage count="2">
        <fieldUsage x="-1"/>
        <fieldUsage x="1"/>
      </fieldsUsage>
    </cacheHierarchy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2" memberValueDatatype="130" unbalanced="0">
      <fieldsUsage count="2">
        <fieldUsage x="-1"/>
        <fieldUsage x="0"/>
      </fieldsUsage>
    </cacheHierarchy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0" memberValueDatatype="130" unbalanced="0"/>
    <cacheHierarchy uniqueName="[소득공제].[법인명]" caption="법인명" attribute="1" defaultMemberUniqueName="[소득공제].[법인명].[All]" allUniqueName="[소득공제].[법인명].[All]" dimensionUniqueName="[소득공제]" displayFolder="" count="0" memberValueDatatype="130" unbalanced="0"/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합계: 금액]" caption="합계: 금액" measure="1" displayFolder="" measureGroup="기풍전자판매현황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ieun Park" refreshedDate="45199.022184374997" backgroundQuery="1" createdVersion="8" refreshedVersion="8" minRefreshableVersion="3" recordCount="0" supportSubquery="1" supportAdvancedDrill="1" xr:uid="{3F7D6365-D447-4C1C-85F2-5F5BAA661AD9}">
  <cacheSource type="external" connectionId="3"/>
  <cacheFields count="4">
    <cacheField name="[소득공제].[법인명].[법인명]" caption="법인명" numFmtId="0" hierarchy="6" level="1">
      <sharedItems count="3">
        <s v="미래카드"/>
        <s v="사단법인"/>
        <s v="상공카드"/>
      </sharedItems>
    </cacheField>
    <cacheField name="[소득공제].[소득공제].[소득공제]" caption="소득공제" numFmtId="0" hierarchy="5" level="1">
      <sharedItems count="2">
        <s v="신용카드"/>
        <s v="지정기부금"/>
      </sharedItems>
    </cacheField>
    <cacheField name="[Measures].[합계: 금액 2]" caption="합계: 금액 2" numFmtId="0" hierarchy="22" level="32767"/>
    <cacheField name="[Measures].[평균: 금액]" caption="평균: 금액" numFmtId="0" hierarchy="23" level="32767"/>
  </cacheFields>
  <cacheHierarchies count="24">
    <cacheHierarchy uniqueName="[기풍전자판매현황].[상품명]" caption="상품명" attribute="1" defaultMemberUniqueName="[기풍전자판매현황].[상품명].[All]" allUniqueName="[기풍전자판매현황].[상품명].[All]" dimensionUniqueName="[기풍전자판매현황]" displayFolder="" count="0" memberValueDatatype="130" unbalanced="0"/>
    <cacheHierarchy uniqueName="[기풍전자판매현황].[금액]" caption="금액" attribute="1" defaultMemberUniqueName="[기풍전자판매현황].[금액].[All]" allUniqueName="[기풍전자판매현황].[금액].[All]" dimensionUniqueName="[기풍전자판매현황]" displayFolder="" count="0" memberValueDatatype="20" unbalanced="0"/>
    <cacheHierarchy uniqueName="[기풍전자판매현황].[판매대수]" caption="판매대수" attribute="1" defaultMemberUniqueName="[기풍전자판매현황].[판매대수].[All]" allUniqueName="[기풍전자판매현황].[판매대수].[All]" dimensionUniqueName="[기풍전자판매현황]" displayFolder="" count="0" memberValueDatatype="20" unbalanced="0"/>
    <cacheHierarchy uniqueName="[기풍전자판매현황].[결제방법]" caption="결제방법" attribute="1" defaultMemberUniqueName="[기풍전자판매현황].[결제방법].[All]" allUniqueName="[기풍전자판매현황].[결제방법].[All]" dimensionUniqueName="[기풍전자판매현황]" displayFolder="" count="0" memberValueDatatype="130" unbalanced="0"/>
    <cacheHierarchy uniqueName="[소득공제].[부양공제]" caption="부양공제" attribute="1" defaultMemberUniqueName="[소득공제].[부양공제].[All]" allUniqueName="[소득공제].[부양공제].[All]" dimensionUniqueName="[소득공제]" displayFolder="" count="0" memberValueDatatype="130" unbalanced="0"/>
    <cacheHierarchy uniqueName="[소득공제].[소득공제]" caption="소득공제" attribute="1" defaultMemberUniqueName="[소득공제].[소득공제].[All]" allUniqueName="[소득공제].[소득공제].[All]" dimensionUniqueName="[소득공제]" displayFolder="" count="2" memberValueDatatype="130" unbalanced="0">
      <fieldsUsage count="2">
        <fieldUsage x="-1"/>
        <fieldUsage x="1"/>
      </fieldsUsage>
    </cacheHierarchy>
    <cacheHierarchy uniqueName="[소득공제].[법인명]" caption="법인명" attribute="1" defaultMemberUniqueName="[소득공제].[법인명].[All]" allUniqueName="[소득공제].[법인명].[All]" dimensionUniqueName="[소득공제]" displayFolder="" count="2" memberValueDatatype="130" unbalanced="0">
      <fieldsUsage count="2">
        <fieldUsage x="-1"/>
        <fieldUsage x="0"/>
      </fieldsUsage>
    </cacheHierarchy>
    <cacheHierarchy uniqueName="[소득공제].[금액]" caption="금액" attribute="1" defaultMemberUniqueName="[소득공제].[금액].[All]" allUniqueName="[소득공제].[금액].[All]" dimensionUniqueName="[소득공제]" displayFolder="" count="0" memberValueDatatype="20" unbalanced="0"/>
    <cacheHierarchy uniqueName="[출석부관리].[학년]" caption="학년" attribute="1" defaultMemberUniqueName="[출석부관리].[학년].[All]" allUniqueName="[출석부관리].[학년].[All]" dimensionUniqueName="[출석부관리]" displayFolder="" count="0" memberValueDatatype="20" unbalanced="0"/>
    <cacheHierarchy uniqueName="[출석부관리].[반]" caption="반" attribute="1" defaultMemberUniqueName="[출석부관리].[반].[All]" allUniqueName="[출석부관리].[반].[All]" dimensionUniqueName="[출석부관리]" displayFolder="" count="0" memberValueDatatype="130" unbalanced="0"/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0" memberValueDatatype="130" unbalanced="0"/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XL_Count 기풍전자판매현황]" caption="__XL_Count 기풍전자판매현황" measure="1" displayFolder="" measureGroup="기풍전자판매현황" count="0" hidden="1"/>
    <cacheHierarchy uniqueName="[Measures].[__XL_Count 소득공제]" caption="__XL_Count 소득공제" measure="1" displayFolder="" measureGroup="소득공제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개수: 이름]" caption="개수: 이름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평균: 출석수]" caption="평균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합계: 금액]" caption="합계: 금액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합계: 판매대수]" caption="합계: 판매대수" measure="1" displayFolder="" measureGroup="기풍전자판매현황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합계: 금액 2]" caption="합계: 금액 2" measure="1" displayFolder="" measureGroup="소득공제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평균: 금액]" caption="평균: 금액" measure="1" displayFolder="" measureGroup="소득공제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4">
    <dimension measure="1" name="Measures" uniqueName="[Measures]" caption="Measures"/>
    <dimension name="기풍전자판매현황" uniqueName="[기풍전자판매현황]" caption="기풍전자판매현황"/>
    <dimension name="소득공제" uniqueName="[소득공제]" caption="소득공제"/>
    <dimension name="출석부관리" uniqueName="[출석부관리]" caption="출석부관리"/>
  </dimensions>
  <measureGroups count="3">
    <measureGroup name="기풍전자판매현황" caption="기풍전자판매현황"/>
    <measureGroup name="소득공제" caption="소득공제"/>
    <measureGroup name="출석부관리" caption="출석부관리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x v="0"/>
    <d v="2021-07-13T00:00:00"/>
    <x v="0"/>
    <n v="936"/>
  </r>
  <r>
    <x v="0"/>
    <x v="1"/>
    <d v="2021-07-12T00:00:00"/>
    <x v="1"/>
    <n v="838"/>
  </r>
  <r>
    <x v="0"/>
    <x v="2"/>
    <d v="2021-07-12T13:06:25"/>
    <x v="2"/>
    <n v="975"/>
  </r>
  <r>
    <x v="0"/>
    <x v="3"/>
    <d v="2021-07-13T13:42:54"/>
    <x v="3"/>
    <n v="379"/>
  </r>
  <r>
    <x v="0"/>
    <x v="0"/>
    <d v="2021-07-15T00:00:00"/>
    <x v="0"/>
    <n v="893"/>
  </r>
  <r>
    <x v="0"/>
    <x v="3"/>
    <d v="2021-07-15T18:30:49"/>
    <x v="4"/>
    <n v="800"/>
  </r>
  <r>
    <x v="0"/>
    <x v="2"/>
    <d v="2021-07-16T09:22:46"/>
    <x v="5"/>
    <n v="975"/>
  </r>
  <r>
    <x v="0"/>
    <x v="3"/>
    <d v="2021-07-16T11:38:14"/>
    <x v="4"/>
    <n v="350"/>
  </r>
  <r>
    <x v="1"/>
    <x v="2"/>
    <d v="2021-07-12T13:34:45"/>
    <x v="5"/>
    <n v="979"/>
  </r>
  <r>
    <x v="1"/>
    <x v="3"/>
    <d v="2021-07-16T09:25:22"/>
    <x v="6"/>
    <n v="862"/>
  </r>
  <r>
    <x v="2"/>
    <x v="2"/>
    <d v="2021-07-12T13:29:56"/>
    <x v="5"/>
    <n v="893"/>
  </r>
  <r>
    <x v="2"/>
    <x v="3"/>
    <d v="2021-07-09T15:59:37"/>
    <x v="7"/>
    <n v="908"/>
  </r>
  <r>
    <x v="2"/>
    <x v="2"/>
    <d v="2021-07-12T13:29:50"/>
    <x v="8"/>
    <n v="675"/>
  </r>
  <r>
    <x v="1"/>
    <x v="0"/>
    <d v="2021-07-09T00:00:00"/>
    <x v="0"/>
    <n v="925"/>
  </r>
  <r>
    <x v="0"/>
    <x v="0"/>
    <d v="2021-07-13T00:00:00"/>
    <x v="0"/>
    <n v="567"/>
  </r>
  <r>
    <x v="0"/>
    <x v="2"/>
    <d v="2021-07-12T13:13:49"/>
    <x v="9"/>
    <n v="975"/>
  </r>
  <r>
    <x v="0"/>
    <x v="3"/>
    <d v="2021-07-13T14:15:34"/>
    <x v="10"/>
    <n v="540"/>
  </r>
  <r>
    <x v="1"/>
    <x v="2"/>
    <d v="2021-07-13T09:54:40"/>
    <x v="5"/>
    <n v="567"/>
  </r>
  <r>
    <x v="1"/>
    <x v="3"/>
    <d v="2021-07-13T13:24:04"/>
    <x v="11"/>
    <n v="769"/>
  </r>
  <r>
    <x v="1"/>
    <x v="0"/>
    <d v="2021-07-13T00:00:00"/>
    <x v="0"/>
    <n v="936"/>
  </r>
  <r>
    <x v="2"/>
    <x v="3"/>
    <d v="2021-07-13T13:24:20"/>
    <x v="12"/>
    <n v="838"/>
  </r>
  <r>
    <x v="2"/>
    <x v="2"/>
    <d v="2021-07-12T13:13:13"/>
    <x v="13"/>
    <n v="957"/>
  </r>
  <r>
    <x v="2"/>
    <x v="0"/>
    <d v="2021-07-13T00:00:00"/>
    <x v="0"/>
    <n v="936"/>
  </r>
  <r>
    <x v="0"/>
    <x v="0"/>
    <d v="2021-07-09T00:00:00"/>
    <x v="0"/>
    <n v="975"/>
  </r>
  <r>
    <x v="0"/>
    <x v="3"/>
    <d v="2021-07-09T19:34:40"/>
    <x v="14"/>
    <n v="800"/>
  </r>
  <r>
    <x v="0"/>
    <x v="2"/>
    <d v="2021-07-13T15:32:57"/>
    <x v="5"/>
    <n v="1000"/>
  </r>
  <r>
    <x v="1"/>
    <x v="1"/>
    <d v="2021-07-14T00:00:00"/>
    <x v="1"/>
    <n v="838"/>
  </r>
  <r>
    <x v="1"/>
    <x v="3"/>
    <d v="2021-07-09T15:57:54"/>
    <x v="15"/>
    <n v="767"/>
  </r>
  <r>
    <x v="1"/>
    <x v="0"/>
    <d v="2021-07-09T00:00:00"/>
    <x v="0"/>
    <n v="893"/>
  </r>
  <r>
    <x v="1"/>
    <x v="2"/>
    <d v="2021-07-14T16:38:30"/>
    <x v="16"/>
    <n v="850"/>
  </r>
  <r>
    <x v="2"/>
    <x v="3"/>
    <d v="2021-07-15T20:07:42"/>
    <x v="4"/>
    <n v="642"/>
  </r>
  <r>
    <x v="2"/>
    <x v="2"/>
    <d v="2021-07-12T13:42:39"/>
    <x v="5"/>
    <n v="950"/>
  </r>
  <r>
    <x v="1"/>
    <x v="0"/>
    <d v="2021-07-12T00:00:00"/>
    <x v="0"/>
    <n v="345"/>
  </r>
  <r>
    <x v="0"/>
    <x v="2"/>
    <d v="2021-07-13T13:14:58"/>
    <x v="5"/>
    <n v="871"/>
  </r>
  <r>
    <x v="0"/>
    <x v="2"/>
    <d v="2021-07-09T19:27:11"/>
    <x v="17"/>
    <n v="914"/>
  </r>
  <r>
    <x v="0"/>
    <x v="3"/>
    <d v="2021-07-09T17:17:48"/>
    <x v="18"/>
    <n v="642"/>
  </r>
  <r>
    <x v="1"/>
    <x v="2"/>
    <d v="2021-07-13T14:15:34"/>
    <x v="19"/>
    <n v="975"/>
  </r>
  <r>
    <x v="1"/>
    <x v="0"/>
    <d v="2021-07-13T00:00:00"/>
    <x v="0"/>
    <n v="1000"/>
  </r>
  <r>
    <x v="1"/>
    <x v="3"/>
    <d v="2021-07-13T12:48:17"/>
    <x v="6"/>
    <n v="733"/>
  </r>
  <r>
    <x v="3"/>
    <x v="2"/>
    <d v="2021-07-12T09:31:08"/>
    <x v="5"/>
    <n v="975"/>
  </r>
  <r>
    <x v="0"/>
    <x v="2"/>
    <d v="2021-07-17T00:00:00"/>
    <x v="5"/>
    <n v="975"/>
  </r>
  <r>
    <x v="3"/>
    <x v="2"/>
    <d v="2021-07-15T20:07:42"/>
    <x v="20"/>
    <n v="957"/>
  </r>
  <r>
    <x v="3"/>
    <x v="3"/>
    <d v="2021-07-12T13:33:55"/>
    <x v="21"/>
    <n v="815"/>
  </r>
  <r>
    <x v="3"/>
    <x v="0"/>
    <d v="2021-07-13T00:00:00"/>
    <x v="0"/>
    <n v="893"/>
  </r>
  <r>
    <x v="3"/>
    <x v="3"/>
    <d v="2021-07-09T16:01:01"/>
    <x v="22"/>
    <n v="650"/>
  </r>
  <r>
    <x v="3"/>
    <x v="1"/>
    <d v="2021-07-09T00:00:00"/>
    <x v="1"/>
    <n v="733"/>
  </r>
  <r>
    <x v="3"/>
    <x v="2"/>
    <d v="2021-07-09T15:59:30"/>
    <x v="23"/>
    <n v="914"/>
  </r>
  <r>
    <x v="3"/>
    <x v="3"/>
    <d v="2021-07-12T13:05:14"/>
    <x v="24"/>
    <n v="723"/>
  </r>
  <r>
    <x v="3"/>
    <x v="2"/>
    <d v="2021-07-09T16:08:30"/>
    <x v="5"/>
    <n v="829"/>
  </r>
  <r>
    <x v="1"/>
    <x v="3"/>
    <d v="2021-07-12T13:33:25"/>
    <x v="25"/>
    <n v="770"/>
  </r>
  <r>
    <x v="1"/>
    <x v="2"/>
    <d v="2021-07-09T16:01:01"/>
    <x v="26"/>
    <n v="914"/>
  </r>
  <r>
    <x v="1"/>
    <x v="0"/>
    <d v="2021-07-09T00:00:00"/>
    <x v="0"/>
    <n v="925"/>
  </r>
  <r>
    <x v="1"/>
    <x v="3"/>
    <d v="2021-07-09T16:02:24"/>
    <x v="27"/>
    <n v="833"/>
  </r>
  <r>
    <x v="1"/>
    <x v="1"/>
    <d v="2021-07-09T00:00:00"/>
    <x v="1"/>
    <n v="723"/>
  </r>
  <r>
    <x v="2"/>
    <x v="2"/>
    <d v="2021-07-12T13:30:32"/>
    <x v="5"/>
    <n v="914"/>
  </r>
  <r>
    <x v="2"/>
    <x v="3"/>
    <d v="2021-07-12T13:06:34"/>
    <x v="28"/>
    <n v="838"/>
  </r>
  <r>
    <x v="0"/>
    <x v="3"/>
    <d v="2021-07-09T16:28:04"/>
    <x v="29"/>
    <n v="815"/>
  </r>
  <r>
    <x v="0"/>
    <x v="0"/>
    <d v="2021-07-09T00:00:00"/>
    <x v="0"/>
    <n v="880"/>
  </r>
  <r>
    <x v="0"/>
    <x v="2"/>
    <d v="2021-07-12T09:31:08"/>
    <x v="5"/>
    <n v="893"/>
  </r>
  <r>
    <x v="0"/>
    <x v="0"/>
    <d v="2021-07-13T00:00:00"/>
    <x v="0"/>
    <n v="936"/>
  </r>
  <r>
    <x v="1"/>
    <x v="2"/>
    <d v="2021-07-12T15:48:12"/>
    <x v="5"/>
    <n v="893"/>
  </r>
  <r>
    <x v="1"/>
    <x v="3"/>
    <d v="2021-07-12T13:06:25"/>
    <x v="14"/>
    <n v="838"/>
  </r>
  <r>
    <x v="2"/>
    <x v="0"/>
    <d v="2021-07-09T00:00:00"/>
    <x v="0"/>
    <n v="857"/>
  </r>
  <r>
    <x v="2"/>
    <x v="2"/>
    <d v="2021-07-09T16:16:40"/>
    <x v="5"/>
    <n v="533"/>
  </r>
  <r>
    <x v="2"/>
    <x v="3"/>
    <d v="2021-07-12T13:30:32"/>
    <x v="30"/>
    <n v="800"/>
  </r>
  <r>
    <x v="2"/>
    <x v="2"/>
    <d v="2021-07-09T15:56:31"/>
    <x v="31"/>
    <n v="950"/>
  </r>
  <r>
    <x v="1"/>
    <x v="2"/>
    <d v="2021-07-16T09:24:42"/>
    <x v="32"/>
    <n v="825"/>
  </r>
  <r>
    <x v="1"/>
    <x v="0"/>
    <d v="2021-07-09T00:00:00"/>
    <x v="0"/>
    <n v="914"/>
  </r>
  <r>
    <x v="1"/>
    <x v="1"/>
    <d v="2021-07-09T00:00:00"/>
    <x v="1"/>
    <n v="815"/>
  </r>
  <r>
    <x v="1"/>
    <x v="2"/>
    <d v="2021-07-09T15:59:37"/>
    <x v="33"/>
    <n v="975"/>
  </r>
  <r>
    <x v="0"/>
    <x v="2"/>
    <d v="2021-07-13T14:44:50"/>
    <x v="34"/>
    <n v="936"/>
  </r>
  <r>
    <x v="0"/>
    <x v="3"/>
    <d v="2021-07-12T13:34:45"/>
    <x v="35"/>
    <n v="885"/>
  </r>
  <r>
    <x v="0"/>
    <x v="3"/>
    <d v="2021-07-16T11:37:27"/>
    <x v="36"/>
    <n v="990"/>
  </r>
  <r>
    <x v="0"/>
    <x v="0"/>
    <d v="2021-07-16T00:00:00"/>
    <x v="0"/>
    <n v="533"/>
  </r>
  <r>
    <x v="1"/>
    <x v="0"/>
    <d v="2021-07-09T00:00:00"/>
    <x v="0"/>
    <n v="823"/>
  </r>
  <r>
    <x v="1"/>
    <x v="2"/>
    <d v="2021-07-12T13:05:10"/>
    <x v="5"/>
    <n v="700"/>
  </r>
  <r>
    <x v="3"/>
    <x v="2"/>
    <d v="2021-07-12T13:05:22"/>
    <x v="2"/>
    <n v="936"/>
  </r>
  <r>
    <x v="3"/>
    <x v="1"/>
    <d v="2021-07-12T00:00:00"/>
    <x v="1"/>
    <n v="642"/>
  </r>
  <r>
    <x v="3"/>
    <x v="3"/>
    <d v="2021-07-12T13:28:22"/>
    <x v="37"/>
    <n v="900"/>
  </r>
  <r>
    <x v="2"/>
    <x v="3"/>
    <d v="2021-07-09T15:56:31"/>
    <x v="38"/>
    <n v="733"/>
  </r>
  <r>
    <x v="2"/>
    <x v="2"/>
    <d v="2021-07-15T18:30:49"/>
    <x v="5"/>
    <n v="893"/>
  </r>
  <r>
    <x v="2"/>
    <x v="2"/>
    <d v="2021-07-09T16:28:04"/>
    <x v="39"/>
    <n v="914"/>
  </r>
  <r>
    <x v="3"/>
    <x v="3"/>
    <d v="2021-07-13T15:34:21"/>
    <x v="40"/>
    <n v="800"/>
  </r>
  <r>
    <x v="3"/>
    <x v="2"/>
    <d v="2021-07-09T17:22:48"/>
    <x v="5"/>
    <n v="925"/>
  </r>
  <r>
    <x v="0"/>
    <x v="2"/>
    <d v="2021-07-13T17:49:07"/>
    <x v="5"/>
    <n v="936"/>
  </r>
  <r>
    <x v="0"/>
    <x v="3"/>
    <d v="2021-07-13T13:14:58"/>
    <x v="4"/>
    <n v="862"/>
  </r>
  <r>
    <x v="0"/>
    <x v="0"/>
    <d v="2021-07-13T00:00:00"/>
    <x v="0"/>
    <n v="5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BB16B-A263-4536-A9D5-5C79B45DF662}" name="피벗 테이블1" cacheId="168" applyNumberFormats="0" applyBorderFormats="0" applyFontFormats="0" applyPatternFormats="0" applyAlignmentFormats="0" applyWidthHeightFormats="1" dataCaption="값" missingCaption="*" updatedVersion="8" minRefreshableVersion="3" useAutoFormatting="1" itemPrintTitles="1" mergeItem="1" createdVersion="8" indent="0" compact="0" outline="1" outlineData="1" compactData="0" multipleFieldFilters="0">
  <location ref="A3:H20" firstHeaderRow="1" firstDataRow="3" firstDataCol="2"/>
  <pivotFields count="5">
    <pivotField axis="axisRow" compact="0" allDrilled="1" showAll="0" dataSourceSort="1" defaultAttributeDrillState="1">
      <items count="4">
        <item x="0"/>
        <item x="1"/>
        <item x="2"/>
        <item t="default"/>
      </items>
    </pivotField>
    <pivotField axis="axisCol" compact="0" allDrilled="1" showAll="0" dataSourceSort="1" defaultSubtotal="0" defaultAttributeDrillState="1">
      <items count="2">
        <item x="0"/>
        <item x="1"/>
      </items>
    </pivotField>
    <pivotField axis="axisRow" compact="0" allDrilled="1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showAll="0" defaultSubtotal="0"/>
    <pivotField dataField="1" compact="0" showAll="0" defaultSubtotal="0"/>
  </pivotFields>
  <rowFields count="2">
    <field x="0"/>
    <field x="2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4" subtotal="average" baseField="0" baseItem="0" numFmtId="178"/>
    <dataField name="학생수" fld="3" subtotal="count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학생수"/>
    <pivotHierarchy dragToData="1" caption="평균: 출석수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8"/>
    <rowHierarchyUsage hierarchyUsage="9"/>
  </rowHierarchiesUsage>
  <colHierarchiesUsage count="2">
    <colHierarchyUsage hierarchyUsage="1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A64DA5-0DDB-4208-AE88-0A4FBAAE71A4}" name="피벗 테이블2" cacheId="98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4"/>
        <item x="0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A3C8DE-A78A-45B1-850D-BCC936B4D6D7}" name="피벗 테이블3" cacheId="103" dataOnRows="1" applyNumberFormats="0" applyBorderFormats="0" applyFontFormats="0" applyPatternFormats="0" applyAlignmentFormats="0" applyWidthHeightFormats="1" dataCaption="값" missingCaption="★★★" updatedVersion="8" minRefreshableVersion="3" useAutoFormatting="1" colGrandTotals="0" itemPrintTitles="1" mergeItem="1" createdVersion="8" indent="0" compact="0" outline="1" outlineData="1" compactData="0" multipleFieldFilters="0" fieldListSortAscending="1">
  <location ref="B3:G18" firstHeaderRow="1" firstDataRow="2" firstDataCol="2"/>
  <pivotFields count="6">
    <pivotField axis="axisCol" compact="0" showAll="0">
      <items count="5">
        <item x="2"/>
        <item x="1"/>
        <item x="3"/>
        <item x="0"/>
        <item t="default"/>
      </items>
    </pivotField>
    <pivotField axis="axisRow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>
      <items count="42">
        <item x="2"/>
        <item x="9"/>
        <item x="26"/>
        <item x="23"/>
        <item x="33"/>
        <item x="13"/>
        <item x="16"/>
        <item x="5"/>
        <item x="31"/>
        <item x="17"/>
        <item x="19"/>
        <item x="20"/>
        <item x="39"/>
        <item x="8"/>
        <item x="34"/>
        <item x="32"/>
        <item x="18"/>
        <item x="37"/>
        <item x="3"/>
        <item x="10"/>
        <item x="7"/>
        <item x="35"/>
        <item x="36"/>
        <item x="27"/>
        <item x="40"/>
        <item x="22"/>
        <item x="15"/>
        <item x="38"/>
        <item x="29"/>
        <item x="12"/>
        <item x="14"/>
        <item x="4"/>
        <item x="21"/>
        <item x="28"/>
        <item x="11"/>
        <item x="6"/>
        <item x="30"/>
        <item x="24"/>
        <item x="25"/>
        <item x="1"/>
        <item x="0"/>
        <item t="default"/>
      </items>
    </pivotField>
    <pivotField dataField="1" compact="0" showAll="0"/>
    <pivotField dataField="1" compact="0" dragToRow="0" dragToCol="0" dragToPage="0" showAll="0" defaultSubtota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평균 : 점수" fld="4" subtotal="average" baseField="1" baseItem="0" numFmtId="178"/>
    <dataField name="합계 : 포인트" fld="5" baseField="1" baseItem="0" numFmtId="178"/>
  </dataFields>
  <pivotTableStyleInfo name="PivotStyleMedium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ABFF4-950F-4305-AB25-7A4B4EA3CE1C}" name="피벗 테이블5" cacheId="169" applyNumberFormats="0" applyBorderFormats="0" applyFontFormats="0" applyPatternFormats="0" applyAlignmentFormats="0" applyWidthHeightFormats="1" dataCaption="값" missingCaption="*" updatedVersion="8" minRefreshableVersion="3" useAutoFormatting="1" colGrandTotals="0" itemPrintTitles="1" mergeItem="1" createdVersion="8" indent="0" compact="0" compactData="0" multipleFieldFilters="0">
  <location ref="B4:J12" firstHeaderRow="1" firstDataRow="3" firstDataCol="1"/>
  <pivotFields count="4">
    <pivotField axis="axisCol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0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dataFields count="2">
    <dataField name="합계: 금액" fld="2" baseField="1" baseItem="0" numFmtId="41"/>
    <dataField name="합계: 판매대수" fld="3" baseField="0" baseItem="0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7" showRowHeaders="1" showColHeaders="1" showRowStripes="0" showColStripes="0" showLastColumn="1"/>
  <rowHierarchiesUsage count="1">
    <rowHierarchyUsage hierarchyUsage="0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기풍전자판매현황">
        <x15:activeTabTopLevelEntity name="[기풍전자판매현황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270AE1-F662-49E6-A3D2-6CD66B389DA6}" name="피벗 테이블6" cacheId="178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outline="1" outlineData="1" compactData="0" multipleFieldFilters="0">
  <location ref="B4:E16" firstHeaderRow="1" firstDataRow="2" firstDataCol="2"/>
  <pivotFields count="4">
    <pivotField axis="axisRow" compact="0"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Col" compact="0" allDrilled="1" subtotalTop="0" showAll="0" dataSourceSort="1" defaultSubtotal="0" defaultAttributeDrillState="1">
      <items count="2">
        <item x="0"/>
        <item x="1"/>
      </items>
    </pivotField>
    <pivotField dataField="1" compact="0" subtotalTop="0" showAll="0" defaultSubtotal="0"/>
    <pivotField dataField="1" compact="0" subtotalTop="0" showAll="0" defaultSubtotal="0"/>
  </pivotFields>
  <rowFields count="2">
    <field x="0"/>
    <field x="-2"/>
  </rowFields>
  <rowItems count="11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 t="grand">
      <x/>
    </i>
    <i t="grand" i="1">
      <x/>
    </i>
  </rowItems>
  <colFields count="1">
    <field x="1"/>
  </colFields>
  <colItems count="2">
    <i>
      <x/>
    </i>
    <i>
      <x v="1"/>
    </i>
  </colItems>
  <dataFields count="2">
    <dataField name="합계: 금액" fld="2" baseField="0" baseItem="0" numFmtId="42"/>
    <dataField name="평균: 금액" fld="3" subtotal="average" baseField="0" baseItem="0" numFmtId="42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평균: 금액"/>
  </pivotHierarchies>
  <pivotTableStyleInfo name="PivotStyleMedium13" showRowHeaders="1" showColHeaders="1" showRowStripes="0" showColStripes="1" showLastColumn="1"/>
  <rowHierarchiesUsage count="2">
    <rowHierarchyUsage hierarchyUsage="6"/>
    <rowHierarchyUsage hierarchyUsage="-2"/>
  </rowHierarchiesUsage>
  <colHierarchiesUsage count="1">
    <colHierarchyUsage hierarchyUsage="5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소득공제">
        <x15:activeTabTopLevelEntity name="[소득공제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33E1EC-EECB-49E7-BE53-FB6156B557FD}" name="표5" displayName="표5" ref="A1:E7" totalsRowShown="0">
  <autoFilter ref="A1:E7" xr:uid="{2433E1EC-EECB-49E7-BE53-FB6156B557FD}"/>
  <tableColumns count="5">
    <tableColumn id="1" xr3:uid="{6DFD0AC0-9DBB-49EA-8520-E9774F59957B}" name="학과"/>
    <tableColumn id="2" xr3:uid="{5270CBC6-DB1A-4DBD-8A60-7B46471F86AE}" name="과목"/>
    <tableColumn id="3" xr3:uid="{CE052608-86AA-461D-8037-2A745EB775FD}" name="접수일" dataDxfId="1"/>
    <tableColumn id="4" xr3:uid="{F3FDFA02-2266-4604-9B5C-CE7F7138A157}" name="시험날짜" dataDxfId="0"/>
    <tableColumn id="5" xr3:uid="{01B300BD-05EA-4248-A165-2CC66F0BABA9}" name="점수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B26" sqref="B26"/>
    </sheetView>
  </sheetViews>
  <sheetFormatPr defaultRowHeight="16.899999999999999" x14ac:dyDescent="0.6"/>
  <sheetData/>
  <sheetProtection algorithmName="SHA-512" hashValue="at6LhIPaFSgpDzikQlEHlNY4dZiSYyZ0ZY0aYJjniAJVTeaslCpeW4DvLznmMvguvzC9B5e0KDGAOJkUCVjM2g==" saltValue="cDi77NIWCHVte3XYxYrVMQ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39"/>
  <sheetViews>
    <sheetView zoomScale="115" zoomScaleNormal="115" workbookViewId="0">
      <selection activeCell="I2" sqref="I2"/>
    </sheetView>
  </sheetViews>
  <sheetFormatPr defaultRowHeight="16.899999999999999" x14ac:dyDescent="0.6"/>
  <cols>
    <col min="1" max="1" width="2.5625" customWidth="1"/>
    <col min="4" max="4" width="15.1875" customWidth="1"/>
    <col min="8" max="8" width="16.5" customWidth="1"/>
  </cols>
  <sheetData>
    <row r="2" spans="2:8" x14ac:dyDescent="0.6">
      <c r="B2" s="7" t="s">
        <v>273</v>
      </c>
      <c r="C2" s="8"/>
      <c r="D2" s="8"/>
      <c r="E2" s="9"/>
      <c r="F2" s="10"/>
      <c r="G2" s="10"/>
      <c r="H2" s="10"/>
    </row>
    <row r="3" spans="2:8" x14ac:dyDescent="0.6">
      <c r="B3" s="19" t="s">
        <v>4</v>
      </c>
      <c r="C3" s="19" t="s">
        <v>5</v>
      </c>
      <c r="D3" s="19" t="s">
        <v>6</v>
      </c>
      <c r="E3" s="20" t="s">
        <v>7</v>
      </c>
      <c r="F3" s="20" t="s">
        <v>8</v>
      </c>
      <c r="G3" s="20" t="s">
        <v>9</v>
      </c>
      <c r="H3" s="21" t="s">
        <v>10</v>
      </c>
    </row>
    <row r="4" spans="2:8" ht="18" customHeight="1" x14ac:dyDescent="0.6">
      <c r="B4" s="11">
        <v>24</v>
      </c>
      <c r="C4" s="12" t="s">
        <v>11</v>
      </c>
      <c r="D4" s="12" t="s">
        <v>12</v>
      </c>
      <c r="E4" s="13">
        <v>13200</v>
      </c>
      <c r="F4" s="14">
        <v>5</v>
      </c>
      <c r="G4" s="14">
        <v>3</v>
      </c>
      <c r="H4" s="15" t="str" cm="1">
        <f t="array" ref="H4">fn가입상태(F4,G4)</f>
        <v>휴면보험</v>
      </c>
    </row>
    <row r="5" spans="2:8" ht="18" customHeight="1" x14ac:dyDescent="0.6">
      <c r="B5" s="16">
        <v>41</v>
      </c>
      <c r="C5" s="17" t="s">
        <v>13</v>
      </c>
      <c r="D5" s="12" t="s">
        <v>14</v>
      </c>
      <c r="E5" s="13">
        <v>22500</v>
      </c>
      <c r="F5" s="18">
        <v>3</v>
      </c>
      <c r="G5" s="18">
        <v>0</v>
      </c>
      <c r="H5" s="15" t="str" cm="1">
        <f t="array" ref="H5">fn가입상태(F5,G5)</f>
        <v>정상</v>
      </c>
    </row>
    <row r="6" spans="2:8" ht="18" customHeight="1" x14ac:dyDescent="0.6">
      <c r="B6" s="16">
        <v>50</v>
      </c>
      <c r="C6" s="17" t="s">
        <v>15</v>
      </c>
      <c r="D6" s="12" t="s">
        <v>16</v>
      </c>
      <c r="E6" s="13">
        <v>45000</v>
      </c>
      <c r="F6" s="18">
        <v>15</v>
      </c>
      <c r="G6" s="18">
        <v>0</v>
      </c>
      <c r="H6" s="15" t="str" cm="1">
        <f t="array" ref="H6">fn가입상태(F6,G6)</f>
        <v>정상</v>
      </c>
    </row>
    <row r="7" spans="2:8" ht="18" customHeight="1" x14ac:dyDescent="0.6">
      <c r="B7" s="16">
        <v>29</v>
      </c>
      <c r="C7" s="17" t="s">
        <v>17</v>
      </c>
      <c r="D7" s="12" t="s">
        <v>18</v>
      </c>
      <c r="E7" s="13">
        <v>14200</v>
      </c>
      <c r="F7" s="18">
        <v>15</v>
      </c>
      <c r="G7" s="18">
        <v>0</v>
      </c>
      <c r="H7" s="15" t="str" cm="1">
        <f t="array" ref="H7">fn가입상태(F7,G7)</f>
        <v>정상</v>
      </c>
    </row>
    <row r="8" spans="2:8" ht="18" customHeight="1" x14ac:dyDescent="0.6">
      <c r="B8" s="16">
        <v>42</v>
      </c>
      <c r="C8" s="17" t="s">
        <v>17</v>
      </c>
      <c r="D8" s="12" t="s">
        <v>18</v>
      </c>
      <c r="E8" s="13">
        <v>28400</v>
      </c>
      <c r="F8" s="18">
        <v>5</v>
      </c>
      <c r="G8" s="18">
        <v>1</v>
      </c>
      <c r="H8" s="15" t="str" cm="1">
        <f t="array" ref="H8">fn가입상태(F8,G8)</f>
        <v>1개월 미납</v>
      </c>
    </row>
    <row r="9" spans="2:8" ht="18" customHeight="1" x14ac:dyDescent="0.6">
      <c r="B9" s="16">
        <v>7</v>
      </c>
      <c r="C9" s="17" t="s">
        <v>17</v>
      </c>
      <c r="D9" s="12" t="s">
        <v>18</v>
      </c>
      <c r="E9" s="13">
        <v>13000</v>
      </c>
      <c r="F9" s="18">
        <v>10</v>
      </c>
      <c r="G9" s="18">
        <v>0</v>
      </c>
      <c r="H9" s="15" t="str" cm="1">
        <f t="array" ref="H9">fn가입상태(F9,G9)</f>
        <v>정상</v>
      </c>
    </row>
    <row r="10" spans="2:8" ht="18" customHeight="1" x14ac:dyDescent="0.6">
      <c r="B10" s="16">
        <v>45</v>
      </c>
      <c r="C10" s="17" t="s">
        <v>15</v>
      </c>
      <c r="D10" s="12" t="s">
        <v>16</v>
      </c>
      <c r="E10" s="13">
        <v>24000</v>
      </c>
      <c r="F10" s="18">
        <v>14</v>
      </c>
      <c r="G10" s="18">
        <v>1</v>
      </c>
      <c r="H10" s="15" t="str" cm="1">
        <f t="array" ref="H10">fn가입상태(F10,G10)</f>
        <v>1개월 미납</v>
      </c>
    </row>
    <row r="11" spans="2:8" ht="18" customHeight="1" x14ac:dyDescent="0.6">
      <c r="B11" s="16">
        <v>16</v>
      </c>
      <c r="C11" s="17" t="s">
        <v>17</v>
      </c>
      <c r="D11" s="12" t="s">
        <v>18</v>
      </c>
      <c r="E11" s="13">
        <v>12900</v>
      </c>
      <c r="F11" s="18">
        <v>5</v>
      </c>
      <c r="G11" s="18">
        <v>1</v>
      </c>
      <c r="H11" s="15" t="str" cm="1">
        <f t="array" ref="H11">fn가입상태(F11,G11)</f>
        <v>1개월 미납</v>
      </c>
    </row>
    <row r="12" spans="2:8" ht="18" customHeight="1" x14ac:dyDescent="0.6">
      <c r="B12" s="16">
        <v>16</v>
      </c>
      <c r="C12" s="17" t="s">
        <v>11</v>
      </c>
      <c r="D12" s="12" t="s">
        <v>12</v>
      </c>
      <c r="E12" s="13">
        <v>12800</v>
      </c>
      <c r="F12" s="18">
        <v>6</v>
      </c>
      <c r="G12" s="18">
        <v>1</v>
      </c>
      <c r="H12" s="15" t="str" cm="1">
        <f t="array" ref="H12">fn가입상태(F12,G12)</f>
        <v>1개월 미납</v>
      </c>
    </row>
    <row r="13" spans="2:8" ht="18" customHeight="1" x14ac:dyDescent="0.6">
      <c r="B13" s="16">
        <v>51</v>
      </c>
      <c r="C13" s="17" t="s">
        <v>11</v>
      </c>
      <c r="D13" s="12" t="s">
        <v>12</v>
      </c>
      <c r="E13" s="13">
        <v>33000</v>
      </c>
      <c r="F13" s="18">
        <v>8</v>
      </c>
      <c r="G13" s="18">
        <v>0</v>
      </c>
      <c r="H13" s="15" t="str" cm="1">
        <f t="array" ref="H13">fn가입상태(F13,G13)</f>
        <v>정상</v>
      </c>
    </row>
    <row r="14" spans="2:8" ht="18" customHeight="1" x14ac:dyDescent="0.6">
      <c r="B14" s="16">
        <v>46</v>
      </c>
      <c r="C14" s="17" t="s">
        <v>11</v>
      </c>
      <c r="D14" s="12" t="s">
        <v>12</v>
      </c>
      <c r="E14" s="13">
        <v>19800</v>
      </c>
      <c r="F14" s="18">
        <v>8</v>
      </c>
      <c r="G14" s="18">
        <v>2</v>
      </c>
      <c r="H14" s="15" t="str" cm="1">
        <f t="array" ref="H14">fn가입상태(F14,G14)</f>
        <v>2개월 미납</v>
      </c>
    </row>
    <row r="15" spans="2:8" ht="18" customHeight="1" x14ac:dyDescent="0.6">
      <c r="B15" s="16">
        <v>22</v>
      </c>
      <c r="C15" s="17" t="s">
        <v>11</v>
      </c>
      <c r="D15" s="12" t="s">
        <v>12</v>
      </c>
      <c r="E15" s="13">
        <v>13200</v>
      </c>
      <c r="F15" s="18">
        <v>21</v>
      </c>
      <c r="G15" s="18">
        <v>0</v>
      </c>
      <c r="H15" s="15" t="str" cm="1">
        <f t="array" ref="H15">fn가입상태(F15,G15)</f>
        <v>정상</v>
      </c>
    </row>
    <row r="16" spans="2:8" ht="18" customHeight="1" x14ac:dyDescent="0.6">
      <c r="B16" s="16">
        <v>6</v>
      </c>
      <c r="C16" s="17" t="s">
        <v>11</v>
      </c>
      <c r="D16" s="12" t="s">
        <v>12</v>
      </c>
      <c r="E16" s="13">
        <v>12800</v>
      </c>
      <c r="F16" s="18">
        <v>7</v>
      </c>
      <c r="G16" s="18">
        <v>0</v>
      </c>
      <c r="H16" s="15" t="str" cm="1">
        <f t="array" ref="H16">fn가입상태(F16,G16)</f>
        <v>정상</v>
      </c>
    </row>
    <row r="17" spans="2:8" ht="18" customHeight="1" x14ac:dyDescent="0.6">
      <c r="B17" s="16">
        <v>22</v>
      </c>
      <c r="C17" s="17" t="s">
        <v>13</v>
      </c>
      <c r="D17" s="12" t="s">
        <v>14</v>
      </c>
      <c r="E17" s="13">
        <v>13500</v>
      </c>
      <c r="F17" s="18">
        <v>21</v>
      </c>
      <c r="G17" s="18">
        <v>2</v>
      </c>
      <c r="H17" s="15" t="str" cm="1">
        <f t="array" ref="H17">fn가입상태(F17,G17)</f>
        <v>2개월 미납</v>
      </c>
    </row>
    <row r="18" spans="2:8" ht="18" customHeight="1" x14ac:dyDescent="0.6">
      <c r="B18" s="16">
        <v>21</v>
      </c>
      <c r="C18" s="17" t="s">
        <v>15</v>
      </c>
      <c r="D18" s="12" t="s">
        <v>16</v>
      </c>
      <c r="E18" s="13">
        <v>13700</v>
      </c>
      <c r="F18" s="18">
        <v>20</v>
      </c>
      <c r="G18" s="18">
        <v>0</v>
      </c>
      <c r="H18" s="15" t="str" cm="1">
        <f t="array" ref="H18">fn가입상태(F18,G18)</f>
        <v>정상</v>
      </c>
    </row>
    <row r="19" spans="2:8" ht="18" customHeight="1" x14ac:dyDescent="0.6">
      <c r="B19" s="16">
        <v>13</v>
      </c>
      <c r="C19" s="17" t="s">
        <v>17</v>
      </c>
      <c r="D19" s="12" t="s">
        <v>18</v>
      </c>
      <c r="E19" s="13">
        <v>12900</v>
      </c>
      <c r="F19" s="18">
        <v>8</v>
      </c>
      <c r="G19" s="18">
        <v>0</v>
      </c>
      <c r="H19" s="15" t="str" cm="1">
        <f t="array" ref="H19">fn가입상태(F19,G19)</f>
        <v>정상</v>
      </c>
    </row>
    <row r="20" spans="2:8" ht="18" customHeight="1" x14ac:dyDescent="0.6">
      <c r="B20" s="16">
        <v>29</v>
      </c>
      <c r="C20" s="17" t="s">
        <v>11</v>
      </c>
      <c r="D20" s="12" t="s">
        <v>12</v>
      </c>
      <c r="E20" s="13">
        <v>13200</v>
      </c>
      <c r="F20" s="18">
        <v>24</v>
      </c>
      <c r="G20" s="18">
        <v>0</v>
      </c>
      <c r="H20" s="15" t="str" cm="1">
        <f t="array" ref="H20">fn가입상태(F20,G20)</f>
        <v>정상</v>
      </c>
    </row>
    <row r="21" spans="2:8" ht="18" customHeight="1" x14ac:dyDescent="0.6">
      <c r="B21" s="16">
        <v>61</v>
      </c>
      <c r="C21" s="17" t="s">
        <v>13</v>
      </c>
      <c r="D21" s="12" t="s">
        <v>14</v>
      </c>
      <c r="E21" s="13">
        <v>32200</v>
      </c>
      <c r="F21" s="18">
        <v>23</v>
      </c>
      <c r="G21" s="18">
        <v>1</v>
      </c>
      <c r="H21" s="15" t="str" cm="1">
        <f t="array" ref="H21">fn가입상태(F21,G21)</f>
        <v>1개월 미납</v>
      </c>
    </row>
    <row r="22" spans="2:8" ht="18" customHeight="1" x14ac:dyDescent="0.6">
      <c r="B22" s="16">
        <v>12</v>
      </c>
      <c r="C22" s="17" t="s">
        <v>13</v>
      </c>
      <c r="D22" s="12" t="s">
        <v>14</v>
      </c>
      <c r="E22" s="13">
        <v>12600</v>
      </c>
      <c r="F22" s="18">
        <v>20</v>
      </c>
      <c r="G22" s="18">
        <v>2</v>
      </c>
      <c r="H22" s="15" t="str" cm="1">
        <f t="array" ref="H22">fn가입상태(F22,G22)</f>
        <v>2개월 미납</v>
      </c>
    </row>
    <row r="23" spans="2:8" ht="18" customHeight="1" x14ac:dyDescent="0.6">
      <c r="B23" s="16">
        <v>64</v>
      </c>
      <c r="C23" s="17" t="s">
        <v>17</v>
      </c>
      <c r="D23" s="12" t="s">
        <v>18</v>
      </c>
      <c r="E23" s="13">
        <v>43900</v>
      </c>
      <c r="F23" s="18">
        <v>7</v>
      </c>
      <c r="G23" s="18">
        <v>0</v>
      </c>
      <c r="H23" s="15" t="str" cm="1">
        <f t="array" ref="H23">fn가입상태(F23,G23)</f>
        <v>정상</v>
      </c>
    </row>
    <row r="24" spans="2:8" ht="18" customHeight="1" x14ac:dyDescent="0.6">
      <c r="B24" s="16">
        <v>29</v>
      </c>
      <c r="C24" s="17" t="s">
        <v>11</v>
      </c>
      <c r="D24" s="12" t="s">
        <v>12</v>
      </c>
      <c r="E24" s="13">
        <v>13200</v>
      </c>
      <c r="F24" s="18">
        <v>17</v>
      </c>
      <c r="G24" s="18">
        <v>2</v>
      </c>
      <c r="H24" s="15" t="str" cm="1">
        <f t="array" ref="H24">fn가입상태(F24,G24)</f>
        <v>2개월 미납</v>
      </c>
    </row>
    <row r="25" spans="2:8" ht="18" customHeight="1" x14ac:dyDescent="0.6">
      <c r="B25" s="16">
        <v>17</v>
      </c>
      <c r="C25" s="17" t="s">
        <v>13</v>
      </c>
      <c r="D25" s="12" t="s">
        <v>14</v>
      </c>
      <c r="E25" s="13">
        <v>12600</v>
      </c>
      <c r="F25" s="18">
        <v>21</v>
      </c>
      <c r="G25" s="18">
        <v>2</v>
      </c>
      <c r="H25" s="15" t="str" cm="1">
        <f t="array" ref="H25">fn가입상태(F25,G25)</f>
        <v>2개월 미납</v>
      </c>
    </row>
    <row r="26" spans="2:8" ht="18" customHeight="1" x14ac:dyDescent="0.6">
      <c r="B26" s="16">
        <v>29</v>
      </c>
      <c r="C26" s="17" t="s">
        <v>15</v>
      </c>
      <c r="D26" s="12" t="s">
        <v>16</v>
      </c>
      <c r="E26" s="13">
        <v>13700</v>
      </c>
      <c r="F26" s="18">
        <v>2</v>
      </c>
      <c r="G26" s="18">
        <v>2</v>
      </c>
      <c r="H26" s="15" t="str" cm="1">
        <f t="array" ref="H26">fn가입상태(F26,G26)</f>
        <v>해지예상</v>
      </c>
    </row>
    <row r="27" spans="2:8" ht="18" customHeight="1" x14ac:dyDescent="0.6">
      <c r="B27" s="16">
        <v>26</v>
      </c>
      <c r="C27" s="17" t="s">
        <v>15</v>
      </c>
      <c r="D27" s="12" t="s">
        <v>16</v>
      </c>
      <c r="E27" s="13">
        <v>13700</v>
      </c>
      <c r="F27" s="18">
        <v>4</v>
      </c>
      <c r="G27" s="18">
        <v>1</v>
      </c>
      <c r="H27" s="15" t="str" cm="1">
        <f t="array" ref="H27">fn가입상태(F27,G27)</f>
        <v>1개월 미납</v>
      </c>
    </row>
    <row r="28" spans="2:8" ht="18" customHeight="1" x14ac:dyDescent="0.6">
      <c r="B28" s="16">
        <v>59</v>
      </c>
      <c r="C28" s="17" t="s">
        <v>15</v>
      </c>
      <c r="D28" s="12" t="s">
        <v>16</v>
      </c>
      <c r="E28" s="13">
        <v>45000</v>
      </c>
      <c r="F28" s="18">
        <v>2</v>
      </c>
      <c r="G28" s="18">
        <v>1</v>
      </c>
      <c r="H28" s="15" t="str" cm="1">
        <f t="array" ref="H28">fn가입상태(F28,G28)</f>
        <v>1개월 미납</v>
      </c>
    </row>
    <row r="29" spans="2:8" ht="18" customHeight="1" x14ac:dyDescent="0.6">
      <c r="B29" s="16">
        <v>43</v>
      </c>
      <c r="C29" s="17" t="s">
        <v>13</v>
      </c>
      <c r="D29" s="12" t="s">
        <v>14</v>
      </c>
      <c r="E29" s="13">
        <v>22500</v>
      </c>
      <c r="F29" s="18">
        <v>5</v>
      </c>
      <c r="G29" s="18">
        <v>2</v>
      </c>
      <c r="H29" s="15" t="str" cm="1">
        <f t="array" ref="H29">fn가입상태(F29,G29)</f>
        <v>2개월 미납</v>
      </c>
    </row>
    <row r="30" spans="2:8" ht="18" customHeight="1" x14ac:dyDescent="0.6">
      <c r="B30" s="16">
        <v>53</v>
      </c>
      <c r="C30" s="17" t="s">
        <v>15</v>
      </c>
      <c r="D30" s="12" t="s">
        <v>16</v>
      </c>
      <c r="E30" s="13">
        <v>45000</v>
      </c>
      <c r="F30" s="18">
        <v>21</v>
      </c>
      <c r="G30" s="18">
        <v>2</v>
      </c>
      <c r="H30" s="15" t="str" cm="1">
        <f t="array" ref="H30">fn가입상태(F30,G30)</f>
        <v>2개월 미납</v>
      </c>
    </row>
    <row r="31" spans="2:8" ht="18" customHeight="1" x14ac:dyDescent="0.6">
      <c r="B31" s="16">
        <v>29</v>
      </c>
      <c r="C31" s="17" t="s">
        <v>17</v>
      </c>
      <c r="D31" s="12" t="s">
        <v>18</v>
      </c>
      <c r="E31" s="13">
        <v>14200</v>
      </c>
      <c r="F31" s="18">
        <v>18</v>
      </c>
      <c r="G31" s="18">
        <v>1</v>
      </c>
      <c r="H31" s="15" t="str" cm="1">
        <f t="array" ref="H31">fn가입상태(F31,G31)</f>
        <v>1개월 미납</v>
      </c>
    </row>
    <row r="32" spans="2:8" ht="18" customHeight="1" x14ac:dyDescent="0.6">
      <c r="B32" s="16">
        <v>18</v>
      </c>
      <c r="C32" s="17" t="s">
        <v>11</v>
      </c>
      <c r="D32" s="12" t="s">
        <v>12</v>
      </c>
      <c r="E32" s="13">
        <v>12800</v>
      </c>
      <c r="F32" s="18">
        <v>9</v>
      </c>
      <c r="G32" s="18">
        <v>1</v>
      </c>
      <c r="H32" s="15" t="str" cm="1">
        <f t="array" ref="H32">fn가입상태(F32,G32)</f>
        <v>1개월 미납</v>
      </c>
    </row>
    <row r="33" spans="2:8" ht="18" customHeight="1" x14ac:dyDescent="0.6">
      <c r="B33" s="16">
        <v>41</v>
      </c>
      <c r="C33" s="17" t="s">
        <v>13</v>
      </c>
      <c r="D33" s="12" t="s">
        <v>14</v>
      </c>
      <c r="E33" s="13">
        <v>22500</v>
      </c>
      <c r="F33" s="18">
        <v>7</v>
      </c>
      <c r="G33" s="18">
        <v>0</v>
      </c>
      <c r="H33" s="15" t="str" cm="1">
        <f t="array" ref="H33">fn가입상태(F33,G33)</f>
        <v>정상</v>
      </c>
    </row>
    <row r="34" spans="2:8" ht="18" customHeight="1" x14ac:dyDescent="0.6">
      <c r="B34" s="16">
        <v>8</v>
      </c>
      <c r="C34" s="17" t="s">
        <v>15</v>
      </c>
      <c r="D34" s="12" t="s">
        <v>16</v>
      </c>
      <c r="E34" s="13">
        <v>13100</v>
      </c>
      <c r="F34" s="18">
        <v>9</v>
      </c>
      <c r="G34" s="18">
        <v>2</v>
      </c>
      <c r="H34" s="15" t="str" cm="1">
        <f t="array" ref="H34">fn가입상태(F34,G34)</f>
        <v>2개월 미납</v>
      </c>
    </row>
    <row r="35" spans="2:8" ht="18" customHeight="1" x14ac:dyDescent="0.6">
      <c r="B35" s="16">
        <v>64</v>
      </c>
      <c r="C35" s="17" t="s">
        <v>17</v>
      </c>
      <c r="D35" s="12" t="s">
        <v>18</v>
      </c>
      <c r="E35" s="13">
        <v>43900</v>
      </c>
      <c r="F35" s="18">
        <v>20</v>
      </c>
      <c r="G35" s="18">
        <v>1</v>
      </c>
      <c r="H35" s="15" t="str" cm="1">
        <f t="array" ref="H35">fn가입상태(F35,G35)</f>
        <v>1개월 미납</v>
      </c>
    </row>
    <row r="36" spans="2:8" ht="18" customHeight="1" x14ac:dyDescent="0.6">
      <c r="B36" s="16">
        <v>21</v>
      </c>
      <c r="C36" s="17" t="s">
        <v>17</v>
      </c>
      <c r="D36" s="12" t="s">
        <v>18</v>
      </c>
      <c r="E36" s="13">
        <v>14200</v>
      </c>
      <c r="F36" s="18">
        <v>12</v>
      </c>
      <c r="G36" s="18">
        <v>2</v>
      </c>
      <c r="H36" s="15" t="str" cm="1">
        <f t="array" ref="H36">fn가입상태(F36,G36)</f>
        <v>2개월 미납</v>
      </c>
    </row>
    <row r="37" spans="2:8" ht="18" customHeight="1" x14ac:dyDescent="0.6">
      <c r="B37" s="16">
        <v>25</v>
      </c>
      <c r="C37" s="17" t="s">
        <v>17</v>
      </c>
      <c r="D37" s="12" t="s">
        <v>18</v>
      </c>
      <c r="E37" s="13">
        <v>14200</v>
      </c>
      <c r="F37" s="18">
        <v>21</v>
      </c>
      <c r="G37" s="18">
        <v>0</v>
      </c>
      <c r="H37" s="15" t="str" cm="1">
        <f t="array" ref="H37">fn가입상태(F37,G37)</f>
        <v>정상</v>
      </c>
    </row>
    <row r="38" spans="2:8" ht="18" customHeight="1" x14ac:dyDescent="0.6">
      <c r="B38" s="16">
        <v>53</v>
      </c>
      <c r="C38" s="17" t="s">
        <v>17</v>
      </c>
      <c r="D38" s="12" t="s">
        <v>18</v>
      </c>
      <c r="E38" s="13">
        <v>34900</v>
      </c>
      <c r="F38" s="18">
        <v>23</v>
      </c>
      <c r="G38" s="18">
        <v>0</v>
      </c>
      <c r="H38" s="15" t="str" cm="1">
        <f t="array" ref="H38">fn가입상태(F38,G38)</f>
        <v>정상</v>
      </c>
    </row>
    <row r="39" spans="2:8" ht="18" customHeight="1" x14ac:dyDescent="0.6">
      <c r="B39" s="16">
        <v>59</v>
      </c>
      <c r="C39" s="17" t="s">
        <v>17</v>
      </c>
      <c r="D39" s="12" t="s">
        <v>18</v>
      </c>
      <c r="E39" s="13">
        <v>34900</v>
      </c>
      <c r="F39" s="18">
        <v>9</v>
      </c>
      <c r="G39" s="18">
        <v>1</v>
      </c>
      <c r="H39" s="15" t="str" cm="1">
        <f t="array" ref="H39">fn가입상태(F39,G39)</f>
        <v>1개월 미납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J42"/>
  <sheetViews>
    <sheetView workbookViewId="0">
      <selection activeCell="K2" sqref="K2"/>
    </sheetView>
  </sheetViews>
  <sheetFormatPr defaultRowHeight="16.899999999999999" x14ac:dyDescent="0.6"/>
  <cols>
    <col min="1" max="1" width="2.5625" customWidth="1"/>
    <col min="4" max="4" width="10.875" bestFit="1" customWidth="1"/>
    <col min="5" max="5" width="9.4375" bestFit="1" customWidth="1"/>
    <col min="6" max="6" width="9.875" bestFit="1" customWidth="1"/>
    <col min="8" max="8" width="12.4375" bestFit="1" customWidth="1"/>
    <col min="9" max="9" width="10" customWidth="1"/>
    <col min="10" max="10" width="10.0625" bestFit="1" customWidth="1"/>
  </cols>
  <sheetData>
    <row r="2" spans="2:10" x14ac:dyDescent="0.6">
      <c r="B2" s="29" t="s">
        <v>273</v>
      </c>
    </row>
    <row r="3" spans="2:10" x14ac:dyDescent="0.6">
      <c r="B3" s="44" t="s">
        <v>45</v>
      </c>
      <c r="C3" s="44" t="s">
        <v>19</v>
      </c>
      <c r="D3" s="44" t="s">
        <v>20</v>
      </c>
      <c r="E3" s="44" t="s">
        <v>46</v>
      </c>
      <c r="F3" s="44" t="s">
        <v>47</v>
      </c>
      <c r="G3" s="44" t="s">
        <v>48</v>
      </c>
      <c r="H3" s="44" t="s">
        <v>49</v>
      </c>
      <c r="I3" s="44" t="s">
        <v>50</v>
      </c>
      <c r="J3" s="43" t="s">
        <v>51</v>
      </c>
    </row>
    <row r="4" spans="2:10" ht="19.25" customHeight="1" x14ac:dyDescent="0.6">
      <c r="B4" s="30" t="s">
        <v>21</v>
      </c>
      <c r="C4" s="30" t="s">
        <v>22</v>
      </c>
      <c r="D4" s="30" t="s">
        <v>52</v>
      </c>
      <c r="E4" s="31" t="s">
        <v>23</v>
      </c>
      <c r="F4" s="31" t="s">
        <v>24</v>
      </c>
      <c r="G4" s="31" t="s">
        <v>44</v>
      </c>
      <c r="H4" s="30" t="s">
        <v>53</v>
      </c>
      <c r="I4" s="32">
        <v>612700</v>
      </c>
      <c r="J4" s="37" cm="1">
        <f t="array" ref="J4">fn의료비보조(C4,E4,I4)</f>
        <v>306350</v>
      </c>
    </row>
    <row r="5" spans="2:10" ht="19.25" customHeight="1" x14ac:dyDescent="0.6">
      <c r="B5" s="28" t="s">
        <v>21</v>
      </c>
      <c r="C5" s="28" t="s">
        <v>22</v>
      </c>
      <c r="D5" s="30" t="s">
        <v>52</v>
      </c>
      <c r="E5" s="33" t="s">
        <v>25</v>
      </c>
      <c r="F5" s="33" t="s">
        <v>26</v>
      </c>
      <c r="G5" s="33" t="s">
        <v>27</v>
      </c>
      <c r="H5" s="30" t="s">
        <v>54</v>
      </c>
      <c r="I5" s="34">
        <v>13000</v>
      </c>
      <c r="J5" s="37" cm="1">
        <f t="array" ref="J5">fn의료비보조(C5,E5,I5)</f>
        <v>0</v>
      </c>
    </row>
    <row r="6" spans="2:10" ht="19.25" customHeight="1" x14ac:dyDescent="0.6">
      <c r="B6" s="28" t="s">
        <v>21</v>
      </c>
      <c r="C6" s="28" t="s">
        <v>22</v>
      </c>
      <c r="D6" s="30" t="s">
        <v>52</v>
      </c>
      <c r="E6" s="33" t="s">
        <v>25</v>
      </c>
      <c r="F6" s="33" t="s">
        <v>26</v>
      </c>
      <c r="G6" s="33" t="s">
        <v>27</v>
      </c>
      <c r="H6" s="30" t="s">
        <v>54</v>
      </c>
      <c r="I6" s="34">
        <v>46000</v>
      </c>
      <c r="J6" s="37" cm="1">
        <f t="array" ref="J6">fn의료비보조(C6,E6,I6)</f>
        <v>0</v>
      </c>
    </row>
    <row r="7" spans="2:10" ht="19.25" customHeight="1" x14ac:dyDescent="0.6">
      <c r="B7" s="28" t="s">
        <v>21</v>
      </c>
      <c r="C7" s="28" t="s">
        <v>22</v>
      </c>
      <c r="D7" s="30" t="s">
        <v>52</v>
      </c>
      <c r="E7" s="33" t="s">
        <v>28</v>
      </c>
      <c r="F7" s="33" t="s">
        <v>29</v>
      </c>
      <c r="G7" s="33" t="s">
        <v>30</v>
      </c>
      <c r="H7" s="30" t="s">
        <v>30</v>
      </c>
      <c r="I7" s="34">
        <v>3000</v>
      </c>
      <c r="J7" s="37" cm="1">
        <f t="array" ref="J7">fn의료비보조(C7,E7,I7)</f>
        <v>0</v>
      </c>
    </row>
    <row r="8" spans="2:10" ht="19.25" customHeight="1" x14ac:dyDescent="0.6">
      <c r="B8" s="28" t="s">
        <v>21</v>
      </c>
      <c r="C8" s="28" t="s">
        <v>22</v>
      </c>
      <c r="D8" s="30" t="s">
        <v>52</v>
      </c>
      <c r="E8" s="33" t="s">
        <v>25</v>
      </c>
      <c r="F8" s="33" t="s">
        <v>29</v>
      </c>
      <c r="G8" s="33" t="s">
        <v>27</v>
      </c>
      <c r="H8" s="30" t="s">
        <v>54</v>
      </c>
      <c r="I8" s="34">
        <v>536790</v>
      </c>
      <c r="J8" s="37" cm="1">
        <f t="array" ref="J8">fn의료비보조(C8,E8,I8)</f>
        <v>0</v>
      </c>
    </row>
    <row r="9" spans="2:10" ht="19.25" customHeight="1" x14ac:dyDescent="0.6">
      <c r="B9" s="28" t="s">
        <v>21</v>
      </c>
      <c r="C9" s="28" t="s">
        <v>22</v>
      </c>
      <c r="D9" s="30" t="s">
        <v>52</v>
      </c>
      <c r="E9" s="33" t="s">
        <v>25</v>
      </c>
      <c r="F9" s="33" t="s">
        <v>29</v>
      </c>
      <c r="G9" s="33" t="s">
        <v>27</v>
      </c>
      <c r="H9" s="30" t="s">
        <v>54</v>
      </c>
      <c r="I9" s="34">
        <v>1738200</v>
      </c>
      <c r="J9" s="37" cm="1">
        <f t="array" ref="J9">fn의료비보조(C9,E9,I9)</f>
        <v>0</v>
      </c>
    </row>
    <row r="10" spans="2:10" ht="19.25" customHeight="1" x14ac:dyDescent="0.6">
      <c r="B10" s="28" t="s">
        <v>21</v>
      </c>
      <c r="C10" s="28" t="s">
        <v>22</v>
      </c>
      <c r="D10" s="30" t="s">
        <v>52</v>
      </c>
      <c r="E10" s="33" t="s">
        <v>25</v>
      </c>
      <c r="F10" s="33" t="s">
        <v>31</v>
      </c>
      <c r="G10" s="33" t="s">
        <v>27</v>
      </c>
      <c r="H10" s="30" t="s">
        <v>54</v>
      </c>
      <c r="I10" s="34">
        <v>23520</v>
      </c>
      <c r="J10" s="37" cm="1">
        <f t="array" ref="J10">fn의료비보조(C10,E10,I10)</f>
        <v>0</v>
      </c>
    </row>
    <row r="11" spans="2:10" ht="19.25" customHeight="1" x14ac:dyDescent="0.6">
      <c r="B11" s="27" t="s">
        <v>21</v>
      </c>
      <c r="C11" s="27" t="s">
        <v>22</v>
      </c>
      <c r="D11" s="30" t="s">
        <v>52</v>
      </c>
      <c r="E11" s="35" t="s">
        <v>23</v>
      </c>
      <c r="F11" s="35" t="s">
        <v>24</v>
      </c>
      <c r="G11" s="35" t="s">
        <v>32</v>
      </c>
      <c r="H11" s="30" t="s">
        <v>55</v>
      </c>
      <c r="I11" s="36">
        <v>58600</v>
      </c>
      <c r="J11" s="37" cm="1">
        <f t="array" ref="J11">fn의료비보조(C11,E11,I11)</f>
        <v>29300</v>
      </c>
    </row>
    <row r="12" spans="2:10" ht="19.25" customHeight="1" x14ac:dyDescent="0.6">
      <c r="B12" s="27" t="s">
        <v>21</v>
      </c>
      <c r="C12" s="27" t="s">
        <v>22</v>
      </c>
      <c r="D12" s="30" t="s">
        <v>52</v>
      </c>
      <c r="E12" s="35" t="s">
        <v>23</v>
      </c>
      <c r="F12" s="35" t="s">
        <v>24</v>
      </c>
      <c r="G12" s="35" t="s">
        <v>32</v>
      </c>
      <c r="H12" s="30" t="s">
        <v>55</v>
      </c>
      <c r="I12" s="36">
        <v>117840</v>
      </c>
      <c r="J12" s="37" cm="1">
        <f t="array" ref="J12">fn의료비보조(C12,E12,I12)</f>
        <v>58920</v>
      </c>
    </row>
    <row r="13" spans="2:10" ht="19.25" customHeight="1" x14ac:dyDescent="0.6">
      <c r="B13" s="27" t="s">
        <v>56</v>
      </c>
      <c r="C13" s="27" t="s">
        <v>57</v>
      </c>
      <c r="D13" s="30" t="s">
        <v>58</v>
      </c>
      <c r="E13" s="35" t="s">
        <v>33</v>
      </c>
      <c r="F13" s="35" t="s">
        <v>34</v>
      </c>
      <c r="G13" s="35" t="s">
        <v>59</v>
      </c>
      <c r="H13" s="30" t="s">
        <v>30</v>
      </c>
      <c r="I13" s="36">
        <v>220000</v>
      </c>
      <c r="J13" s="37" cm="1">
        <f t="array" ref="J13">fn의료비보조(C13,E13,I13)</f>
        <v>0</v>
      </c>
    </row>
    <row r="14" spans="2:10" ht="19.25" customHeight="1" x14ac:dyDescent="0.6">
      <c r="B14" s="27" t="s">
        <v>56</v>
      </c>
      <c r="C14" s="27" t="s">
        <v>57</v>
      </c>
      <c r="D14" s="30" t="s">
        <v>58</v>
      </c>
      <c r="E14" s="35" t="s">
        <v>23</v>
      </c>
      <c r="F14" s="35" t="s">
        <v>24</v>
      </c>
      <c r="G14" s="35" t="s">
        <v>44</v>
      </c>
      <c r="H14" s="30" t="s">
        <v>53</v>
      </c>
      <c r="I14" s="36">
        <v>44700</v>
      </c>
      <c r="J14" s="37" cm="1">
        <f t="array" ref="J14">fn의료비보조(C14,E14,I14)</f>
        <v>35760</v>
      </c>
    </row>
    <row r="15" spans="2:10" ht="19.25" customHeight="1" x14ac:dyDescent="0.6">
      <c r="B15" s="27" t="s">
        <v>56</v>
      </c>
      <c r="C15" s="27" t="s">
        <v>57</v>
      </c>
      <c r="D15" s="30" t="s">
        <v>58</v>
      </c>
      <c r="E15" s="35" t="s">
        <v>23</v>
      </c>
      <c r="F15" s="35" t="s">
        <v>24</v>
      </c>
      <c r="G15" s="35" t="s">
        <v>44</v>
      </c>
      <c r="H15" s="30" t="s">
        <v>53</v>
      </c>
      <c r="I15" s="36">
        <v>88400</v>
      </c>
      <c r="J15" s="37" cm="1">
        <f t="array" ref="J15">fn의료비보조(C15,E15,I15)</f>
        <v>70720</v>
      </c>
    </row>
    <row r="16" spans="2:10" ht="19.25" customHeight="1" x14ac:dyDescent="0.6">
      <c r="B16" s="27" t="s">
        <v>56</v>
      </c>
      <c r="C16" s="27" t="s">
        <v>57</v>
      </c>
      <c r="D16" s="30" t="s">
        <v>58</v>
      </c>
      <c r="E16" s="35" t="s">
        <v>23</v>
      </c>
      <c r="F16" s="35" t="s">
        <v>24</v>
      </c>
      <c r="G16" s="35" t="s">
        <v>32</v>
      </c>
      <c r="H16" s="30" t="s">
        <v>55</v>
      </c>
      <c r="I16" s="36">
        <v>107190</v>
      </c>
      <c r="J16" s="37" cm="1">
        <f t="array" ref="J16">fn의료비보조(C16,E16,I16)</f>
        <v>85752</v>
      </c>
    </row>
    <row r="17" spans="2:10" ht="19.25" customHeight="1" x14ac:dyDescent="0.6">
      <c r="B17" s="27" t="s">
        <v>35</v>
      </c>
      <c r="C17" s="27" t="s">
        <v>36</v>
      </c>
      <c r="D17" s="30" t="s">
        <v>52</v>
      </c>
      <c r="E17" s="35" t="s">
        <v>23</v>
      </c>
      <c r="F17" s="35" t="s">
        <v>24</v>
      </c>
      <c r="G17" s="35" t="s">
        <v>32</v>
      </c>
      <c r="H17" s="30" t="s">
        <v>55</v>
      </c>
      <c r="I17" s="36">
        <v>360600</v>
      </c>
      <c r="J17" s="37" cm="1">
        <f t="array" ref="J17">fn의료비보조(C17,E17,I17)</f>
        <v>180300</v>
      </c>
    </row>
    <row r="18" spans="2:10" ht="19.25" customHeight="1" x14ac:dyDescent="0.6">
      <c r="B18" s="28" t="s">
        <v>35</v>
      </c>
      <c r="C18" s="28" t="s">
        <v>36</v>
      </c>
      <c r="D18" s="30" t="s">
        <v>52</v>
      </c>
      <c r="E18" s="33" t="s">
        <v>28</v>
      </c>
      <c r="F18" s="33" t="s">
        <v>29</v>
      </c>
      <c r="G18" s="33" t="s">
        <v>30</v>
      </c>
      <c r="H18" s="30" t="s">
        <v>30</v>
      </c>
      <c r="I18" s="34">
        <v>145000</v>
      </c>
      <c r="J18" s="37" cm="1">
        <f t="array" ref="J18">fn의료비보조(C18,E18,I18)</f>
        <v>0</v>
      </c>
    </row>
    <row r="19" spans="2:10" ht="19.25" customHeight="1" x14ac:dyDescent="0.6">
      <c r="B19" s="28" t="s">
        <v>35</v>
      </c>
      <c r="C19" s="28" t="s">
        <v>36</v>
      </c>
      <c r="D19" s="30" t="s">
        <v>52</v>
      </c>
      <c r="E19" s="33" t="s">
        <v>28</v>
      </c>
      <c r="F19" s="33" t="s">
        <v>29</v>
      </c>
      <c r="G19" s="33" t="s">
        <v>30</v>
      </c>
      <c r="H19" s="30" t="s">
        <v>30</v>
      </c>
      <c r="I19" s="34">
        <v>231000</v>
      </c>
      <c r="J19" s="37" cm="1">
        <f t="array" ref="J19">fn의료비보조(C19,E19,I19)</f>
        <v>0</v>
      </c>
    </row>
    <row r="20" spans="2:10" ht="19.25" customHeight="1" x14ac:dyDescent="0.6">
      <c r="B20" s="27" t="s">
        <v>35</v>
      </c>
      <c r="C20" s="27" t="s">
        <v>36</v>
      </c>
      <c r="D20" s="30" t="s">
        <v>52</v>
      </c>
      <c r="E20" s="35" t="s">
        <v>23</v>
      </c>
      <c r="F20" s="35" t="s">
        <v>24</v>
      </c>
      <c r="G20" s="35" t="s">
        <v>32</v>
      </c>
      <c r="H20" s="30" t="s">
        <v>55</v>
      </c>
      <c r="I20" s="36">
        <v>50620</v>
      </c>
      <c r="J20" s="37" cm="1">
        <f t="array" ref="J20">fn의료비보조(C20,E20,I20)</f>
        <v>25310</v>
      </c>
    </row>
    <row r="21" spans="2:10" ht="19.25" customHeight="1" x14ac:dyDescent="0.6">
      <c r="B21" s="28" t="s">
        <v>37</v>
      </c>
      <c r="C21" s="28" t="s">
        <v>38</v>
      </c>
      <c r="D21" s="30" t="s">
        <v>52</v>
      </c>
      <c r="E21" s="33" t="s">
        <v>39</v>
      </c>
      <c r="F21" s="33" t="s">
        <v>26</v>
      </c>
      <c r="G21" s="33" t="s">
        <v>40</v>
      </c>
      <c r="H21" s="30" t="s">
        <v>60</v>
      </c>
      <c r="I21" s="34">
        <v>46360</v>
      </c>
      <c r="J21" s="37" cm="1">
        <f t="array" ref="J21">fn의료비보조(C21,E21,I21)</f>
        <v>0</v>
      </c>
    </row>
    <row r="22" spans="2:10" ht="19.25" customHeight="1" x14ac:dyDescent="0.6">
      <c r="B22" s="28" t="s">
        <v>37</v>
      </c>
      <c r="C22" s="28" t="s">
        <v>38</v>
      </c>
      <c r="D22" s="30" t="s">
        <v>52</v>
      </c>
      <c r="E22" s="33" t="s">
        <v>39</v>
      </c>
      <c r="F22" s="33" t="s">
        <v>26</v>
      </c>
      <c r="G22" s="33" t="s">
        <v>40</v>
      </c>
      <c r="H22" s="30" t="s">
        <v>60</v>
      </c>
      <c r="I22" s="34">
        <v>143040</v>
      </c>
      <c r="J22" s="37" cm="1">
        <f t="array" ref="J22">fn의료비보조(C22,E22,I22)</f>
        <v>0</v>
      </c>
    </row>
    <row r="23" spans="2:10" ht="19.25" customHeight="1" x14ac:dyDescent="0.6">
      <c r="B23" s="28" t="s">
        <v>37</v>
      </c>
      <c r="C23" s="28" t="s">
        <v>38</v>
      </c>
      <c r="D23" s="30" t="s">
        <v>52</v>
      </c>
      <c r="E23" s="33" t="s">
        <v>39</v>
      </c>
      <c r="F23" s="33" t="s">
        <v>29</v>
      </c>
      <c r="G23" s="33" t="s">
        <v>40</v>
      </c>
      <c r="H23" s="30" t="s">
        <v>60</v>
      </c>
      <c r="I23" s="34">
        <v>138660</v>
      </c>
      <c r="J23" s="37" cm="1">
        <f t="array" ref="J23">fn의료비보조(C23,E23,I23)</f>
        <v>0</v>
      </c>
    </row>
    <row r="24" spans="2:10" ht="19.25" customHeight="1" x14ac:dyDescent="0.6">
      <c r="B24" s="28" t="s">
        <v>37</v>
      </c>
      <c r="C24" s="28" t="s">
        <v>38</v>
      </c>
      <c r="D24" s="30" t="s">
        <v>52</v>
      </c>
      <c r="E24" s="33" t="s">
        <v>39</v>
      </c>
      <c r="F24" s="33" t="s">
        <v>29</v>
      </c>
      <c r="G24" s="33" t="s">
        <v>40</v>
      </c>
      <c r="H24" s="30" t="s">
        <v>60</v>
      </c>
      <c r="I24" s="34">
        <v>239250</v>
      </c>
      <c r="J24" s="37" cm="1">
        <f t="array" ref="J24">fn의료비보조(C24,E24,I24)</f>
        <v>0</v>
      </c>
    </row>
    <row r="25" spans="2:10" ht="19.25" customHeight="1" x14ac:dyDescent="0.6">
      <c r="B25" s="28" t="s">
        <v>37</v>
      </c>
      <c r="C25" s="28" t="s">
        <v>38</v>
      </c>
      <c r="D25" s="30" t="s">
        <v>52</v>
      </c>
      <c r="E25" s="33" t="s">
        <v>39</v>
      </c>
      <c r="F25" s="33" t="s">
        <v>31</v>
      </c>
      <c r="G25" s="33" t="s">
        <v>40</v>
      </c>
      <c r="H25" s="30" t="s">
        <v>60</v>
      </c>
      <c r="I25" s="34">
        <v>4000</v>
      </c>
      <c r="J25" s="37" cm="1">
        <f t="array" ref="J25">fn의료비보조(C25,E25,I25)</f>
        <v>0</v>
      </c>
    </row>
    <row r="26" spans="2:10" ht="19.25" customHeight="1" x14ac:dyDescent="0.6">
      <c r="B26" s="27" t="s">
        <v>37</v>
      </c>
      <c r="C26" s="27" t="s">
        <v>38</v>
      </c>
      <c r="D26" s="30" t="s">
        <v>52</v>
      </c>
      <c r="E26" s="35" t="s">
        <v>23</v>
      </c>
      <c r="F26" s="35" t="s">
        <v>24</v>
      </c>
      <c r="G26" s="35" t="s">
        <v>32</v>
      </c>
      <c r="H26" s="30" t="s">
        <v>55</v>
      </c>
      <c r="I26" s="36">
        <v>81970</v>
      </c>
      <c r="J26" s="37" cm="1">
        <f t="array" ref="J26">fn의료비보조(C26,E26,I26)</f>
        <v>65576</v>
      </c>
    </row>
    <row r="27" spans="2:10" ht="19.25" customHeight="1" x14ac:dyDescent="0.6">
      <c r="B27" s="28" t="s">
        <v>41</v>
      </c>
      <c r="C27" s="28" t="s">
        <v>42</v>
      </c>
      <c r="D27" s="30" t="s">
        <v>52</v>
      </c>
      <c r="E27" s="33" t="s">
        <v>25</v>
      </c>
      <c r="F27" s="33" t="s">
        <v>26</v>
      </c>
      <c r="G27" s="33" t="s">
        <v>43</v>
      </c>
      <c r="H27" s="30" t="s">
        <v>61</v>
      </c>
      <c r="I27" s="34">
        <v>15000</v>
      </c>
      <c r="J27" s="37" cm="1">
        <f t="array" ref="J27">fn의료비보조(C27,E27,I27)</f>
        <v>0</v>
      </c>
    </row>
    <row r="28" spans="2:10" ht="19.25" customHeight="1" x14ac:dyDescent="0.6">
      <c r="B28" s="28" t="s">
        <v>41</v>
      </c>
      <c r="C28" s="28" t="s">
        <v>42</v>
      </c>
      <c r="D28" s="30" t="s">
        <v>52</v>
      </c>
      <c r="E28" s="33" t="s">
        <v>25</v>
      </c>
      <c r="F28" s="33" t="s">
        <v>26</v>
      </c>
      <c r="G28" s="33" t="s">
        <v>27</v>
      </c>
      <c r="H28" s="30" t="s">
        <v>54</v>
      </c>
      <c r="I28" s="34">
        <v>111980</v>
      </c>
      <c r="J28" s="37" cm="1">
        <f t="array" ref="J28">fn의료비보조(C28,E28,I28)</f>
        <v>0</v>
      </c>
    </row>
    <row r="29" spans="2:10" ht="19.25" customHeight="1" x14ac:dyDescent="0.6">
      <c r="B29" s="28" t="s">
        <v>41</v>
      </c>
      <c r="C29" s="28" t="s">
        <v>42</v>
      </c>
      <c r="D29" s="30" t="s">
        <v>52</v>
      </c>
      <c r="E29" s="33" t="s">
        <v>25</v>
      </c>
      <c r="F29" s="33" t="s">
        <v>26</v>
      </c>
      <c r="G29" s="33" t="s">
        <v>27</v>
      </c>
      <c r="H29" s="30" t="s">
        <v>54</v>
      </c>
      <c r="I29" s="34">
        <v>213200</v>
      </c>
      <c r="J29" s="37" cm="1">
        <f t="array" ref="J29">fn의료비보조(C29,E29,I29)</f>
        <v>0</v>
      </c>
    </row>
    <row r="30" spans="2:10" ht="19.25" customHeight="1" x14ac:dyDescent="0.6">
      <c r="B30" s="27" t="s">
        <v>41</v>
      </c>
      <c r="C30" s="27" t="s">
        <v>42</v>
      </c>
      <c r="D30" s="30" t="s">
        <v>52</v>
      </c>
      <c r="E30" s="35" t="s">
        <v>33</v>
      </c>
      <c r="F30" s="35" t="s">
        <v>34</v>
      </c>
      <c r="G30" s="35" t="s">
        <v>59</v>
      </c>
      <c r="H30" s="30" t="s">
        <v>30</v>
      </c>
      <c r="I30" s="36">
        <v>110000</v>
      </c>
      <c r="J30" s="37" cm="1">
        <f t="array" ref="J30">fn의료비보조(C30,E30,I30)</f>
        <v>0</v>
      </c>
    </row>
    <row r="31" spans="2:10" ht="19.25" customHeight="1" x14ac:dyDescent="0.6">
      <c r="B31" s="27" t="s">
        <v>41</v>
      </c>
      <c r="C31" s="27" t="s">
        <v>42</v>
      </c>
      <c r="D31" s="30" t="s">
        <v>52</v>
      </c>
      <c r="E31" s="35" t="s">
        <v>33</v>
      </c>
      <c r="F31" s="35" t="s">
        <v>34</v>
      </c>
      <c r="G31" s="35" t="s">
        <v>59</v>
      </c>
      <c r="H31" s="30" t="s">
        <v>30</v>
      </c>
      <c r="I31" s="36">
        <v>240000</v>
      </c>
      <c r="J31" s="37" cm="1">
        <f t="array" ref="J31">fn의료비보조(C31,E31,I31)</f>
        <v>0</v>
      </c>
    </row>
    <row r="32" spans="2:10" ht="19.25" customHeight="1" x14ac:dyDescent="0.6">
      <c r="B32" s="27" t="s">
        <v>41</v>
      </c>
      <c r="C32" s="27" t="s">
        <v>42</v>
      </c>
      <c r="D32" s="30" t="s">
        <v>52</v>
      </c>
      <c r="E32" s="35" t="s">
        <v>33</v>
      </c>
      <c r="F32" s="35" t="s">
        <v>34</v>
      </c>
      <c r="G32" s="35" t="s">
        <v>59</v>
      </c>
      <c r="H32" s="30" t="s">
        <v>30</v>
      </c>
      <c r="I32" s="36">
        <v>600000</v>
      </c>
      <c r="J32" s="37" cm="1">
        <f t="array" ref="J32">fn의료비보조(C32,E32,I32)</f>
        <v>0</v>
      </c>
    </row>
    <row r="33" spans="2:10" ht="19.25" customHeight="1" x14ac:dyDescent="0.6">
      <c r="B33" s="28" t="s">
        <v>41</v>
      </c>
      <c r="C33" s="28" t="s">
        <v>42</v>
      </c>
      <c r="D33" s="30" t="s">
        <v>52</v>
      </c>
      <c r="E33" s="33" t="s">
        <v>28</v>
      </c>
      <c r="F33" s="33" t="s">
        <v>29</v>
      </c>
      <c r="G33" s="33" t="s">
        <v>30</v>
      </c>
      <c r="H33" s="30" t="s">
        <v>30</v>
      </c>
      <c r="I33" s="34">
        <v>62340</v>
      </c>
      <c r="J33" s="37" cm="1">
        <f t="array" ref="J33">fn의료비보조(C33,E33,I33)</f>
        <v>0</v>
      </c>
    </row>
    <row r="34" spans="2:10" ht="19.25" customHeight="1" x14ac:dyDescent="0.6">
      <c r="B34" s="28" t="s">
        <v>41</v>
      </c>
      <c r="C34" s="28" t="s">
        <v>42</v>
      </c>
      <c r="D34" s="30" t="s">
        <v>52</v>
      </c>
      <c r="E34" s="33" t="s">
        <v>28</v>
      </c>
      <c r="F34" s="33" t="s">
        <v>29</v>
      </c>
      <c r="G34" s="33" t="s">
        <v>30</v>
      </c>
      <c r="H34" s="30" t="s">
        <v>30</v>
      </c>
      <c r="I34" s="34">
        <v>213020</v>
      </c>
      <c r="J34" s="37" cm="1">
        <f t="array" ref="J34">fn의료비보조(C34,E34,I34)</f>
        <v>0</v>
      </c>
    </row>
    <row r="35" spans="2:10" ht="19.25" customHeight="1" x14ac:dyDescent="0.6">
      <c r="B35" s="28" t="s">
        <v>41</v>
      </c>
      <c r="C35" s="28" t="s">
        <v>42</v>
      </c>
      <c r="D35" s="30" t="s">
        <v>52</v>
      </c>
      <c r="E35" s="33" t="s">
        <v>25</v>
      </c>
      <c r="F35" s="33" t="s">
        <v>29</v>
      </c>
      <c r="G35" s="33" t="s">
        <v>27</v>
      </c>
      <c r="H35" s="30" t="s">
        <v>54</v>
      </c>
      <c r="I35" s="34">
        <v>1925602</v>
      </c>
      <c r="J35" s="37" cm="1">
        <f t="array" ref="J35">fn의료비보조(C35,E35,I35)</f>
        <v>0</v>
      </c>
    </row>
    <row r="36" spans="2:10" ht="19.25" customHeight="1" x14ac:dyDescent="0.6">
      <c r="B36" s="28" t="s">
        <v>41</v>
      </c>
      <c r="C36" s="28" t="s">
        <v>42</v>
      </c>
      <c r="D36" s="30" t="s">
        <v>52</v>
      </c>
      <c r="E36" s="33" t="s">
        <v>25</v>
      </c>
      <c r="F36" s="33" t="s">
        <v>29</v>
      </c>
      <c r="G36" s="33" t="s">
        <v>27</v>
      </c>
      <c r="H36" s="30" t="s">
        <v>54</v>
      </c>
      <c r="I36" s="34">
        <v>2638488</v>
      </c>
      <c r="J36" s="37" cm="1">
        <f t="array" ref="J36">fn의료비보조(C36,E36,I36)</f>
        <v>0</v>
      </c>
    </row>
    <row r="37" spans="2:10" ht="19.25" customHeight="1" x14ac:dyDescent="0.6">
      <c r="B37" s="28" t="s">
        <v>41</v>
      </c>
      <c r="C37" s="28" t="s">
        <v>42</v>
      </c>
      <c r="D37" s="30" t="s">
        <v>52</v>
      </c>
      <c r="E37" s="33" t="s">
        <v>25</v>
      </c>
      <c r="F37" s="33" t="s">
        <v>29</v>
      </c>
      <c r="G37" s="33" t="s">
        <v>43</v>
      </c>
      <c r="H37" s="30" t="s">
        <v>61</v>
      </c>
      <c r="I37" s="34">
        <v>10725504</v>
      </c>
      <c r="J37" s="37" cm="1">
        <f t="array" ref="J37">fn의료비보조(C37,E37,I37)</f>
        <v>0</v>
      </c>
    </row>
    <row r="38" spans="2:10" ht="19.25" customHeight="1" x14ac:dyDescent="0.6">
      <c r="B38" s="28" t="s">
        <v>41</v>
      </c>
      <c r="C38" s="28" t="s">
        <v>42</v>
      </c>
      <c r="D38" s="30" t="s">
        <v>52</v>
      </c>
      <c r="E38" s="33" t="s">
        <v>25</v>
      </c>
      <c r="F38" s="33" t="s">
        <v>29</v>
      </c>
      <c r="G38" s="33" t="s">
        <v>43</v>
      </c>
      <c r="H38" s="30" t="s">
        <v>61</v>
      </c>
      <c r="I38" s="34">
        <v>12127516</v>
      </c>
      <c r="J38" s="37" cm="1">
        <f t="array" ref="J38">fn의료비보조(C38,E38,I38)</f>
        <v>0</v>
      </c>
    </row>
    <row r="39" spans="2:10" ht="19.25" customHeight="1" x14ac:dyDescent="0.6">
      <c r="B39" s="28" t="s">
        <v>41</v>
      </c>
      <c r="C39" s="28" t="s">
        <v>42</v>
      </c>
      <c r="D39" s="30" t="s">
        <v>52</v>
      </c>
      <c r="E39" s="33" t="s">
        <v>25</v>
      </c>
      <c r="F39" s="33" t="s">
        <v>31</v>
      </c>
      <c r="G39" s="33" t="s">
        <v>43</v>
      </c>
      <c r="H39" s="30" t="s">
        <v>61</v>
      </c>
      <c r="I39" s="34">
        <v>8000</v>
      </c>
      <c r="J39" s="37" cm="1">
        <f t="array" ref="J39">fn의료비보조(C39,E39,I39)</f>
        <v>0</v>
      </c>
    </row>
    <row r="40" spans="2:10" ht="19.25" customHeight="1" x14ac:dyDescent="0.6">
      <c r="B40" s="28" t="s">
        <v>41</v>
      </c>
      <c r="C40" s="28" t="s">
        <v>42</v>
      </c>
      <c r="D40" s="30" t="s">
        <v>52</v>
      </c>
      <c r="E40" s="33" t="s">
        <v>25</v>
      </c>
      <c r="F40" s="33" t="s">
        <v>31</v>
      </c>
      <c r="G40" s="33" t="s">
        <v>43</v>
      </c>
      <c r="H40" s="30" t="s">
        <v>61</v>
      </c>
      <c r="I40" s="34">
        <v>60100</v>
      </c>
      <c r="J40" s="37" cm="1">
        <f t="array" ref="J40">fn의료비보조(C40,E40,I40)</f>
        <v>0</v>
      </c>
    </row>
    <row r="41" spans="2:10" ht="19.25" customHeight="1" x14ac:dyDescent="0.6">
      <c r="B41" s="27" t="s">
        <v>41</v>
      </c>
      <c r="C41" s="27" t="s">
        <v>42</v>
      </c>
      <c r="D41" s="30" t="s">
        <v>52</v>
      </c>
      <c r="E41" s="35" t="s">
        <v>23</v>
      </c>
      <c r="F41" s="35" t="s">
        <v>24</v>
      </c>
      <c r="G41" s="35" t="s">
        <v>44</v>
      </c>
      <c r="H41" s="30" t="s">
        <v>53</v>
      </c>
      <c r="I41" s="36">
        <v>59400</v>
      </c>
      <c r="J41" s="37" cm="1">
        <f t="array" ref="J41">fn의료비보조(C41,E41,I41)</f>
        <v>47520</v>
      </c>
    </row>
    <row r="42" spans="2:10" ht="19.25" customHeight="1" x14ac:dyDescent="0.6">
      <c r="B42" s="27" t="s">
        <v>41</v>
      </c>
      <c r="C42" s="27" t="s">
        <v>42</v>
      </c>
      <c r="D42" s="30" t="s">
        <v>52</v>
      </c>
      <c r="E42" s="35" t="s">
        <v>23</v>
      </c>
      <c r="F42" s="35" t="s">
        <v>24</v>
      </c>
      <c r="G42" s="35" t="s">
        <v>44</v>
      </c>
      <c r="H42" s="30" t="s">
        <v>53</v>
      </c>
      <c r="I42" s="36">
        <v>103400</v>
      </c>
      <c r="J42" s="37" cm="1">
        <f t="array" ref="J42">fn의료비보조(C42,E42,I42)</f>
        <v>82720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  <col min="11" max="11" width="9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302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fn결과(H4,I4,J4)</f>
        <v>합격-883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cm="1">
        <f t="array" ref="K5">fn결과(H5,I5,J5)</f>
        <v>791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cm="1">
        <f t="array" ref="K6">fn결과(H6,I6,J6)</f>
        <v>722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fn결과(H7,I7,J7)</f>
        <v>합격-850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fn결과(H8,I8,J8)</f>
        <v>합격-868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cm="1">
        <f t="array" ref="K9">fn결과(H9,I9,J9)</f>
        <v>553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fn결과(H10,I10,J10)</f>
        <v>합격-850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fn결과(H11,I11,J11)</f>
        <v>합격-889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fn결과(H12,I12,J12)</f>
        <v>합격-924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fn결과(H13,I13,J13)</f>
        <v>합격-909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cm="1">
        <f t="array" ref="K14">fn결과(H14,I14,J14)</f>
        <v>732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fn결과(H15,I15,J15)</f>
        <v>합격-806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fn결과(H16,I16,J16)</f>
        <v>합격-873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fn결과(H17,I17,J17)</f>
        <v>합격-826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fn결과(H18,I18,J18)</f>
        <v>합격-819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fn결과(H19,I19,J19)</f>
        <v>합격-888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cm="1">
        <f t="array" ref="K20">fn결과(H20,I20,J20)</f>
        <v>685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fn결과(H21,I21,J21)</f>
        <v>합격-828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cm="1">
        <f t="array" ref="K22">fn결과(H22,I22,J22)</f>
        <v>780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cm="1">
        <f t="array" ref="K23">fn결과(H23,I23,J23)</f>
        <v>664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cm="1">
        <f t="array" ref="K24">fn결과(H24,I24,J24)</f>
        <v>612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cm="1">
        <f t="array" ref="K25">fn결과(H25,I25,J25)</f>
        <v>659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fn결과(H26,I26,J26)</f>
        <v>합격-916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cm="1">
        <f t="array" ref="K27">fn결과(H27,I27,J27)</f>
        <v>626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cm="1">
        <f t="array" ref="K28">fn결과(H28,I28,J28)</f>
        <v>709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cm="1">
        <f t="array" ref="K29">fn결과(H29,I29,J29)</f>
        <v>513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cm="1">
        <f t="array" ref="K30">fn결과(H30,I30,J30)</f>
        <v>783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cm="1">
        <f t="array" ref="K31">fn결과(H31,I31,J31)</f>
        <v>742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cm="1">
        <f t="array" ref="K32">fn결과(H32,I32,J32)</f>
        <v>666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fn결과(H33,I33,J33)</f>
        <v>합격-873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B2:K33"/>
  <sheetViews>
    <sheetView workbookViewId="0">
      <selection activeCell="L2" sqref="L2"/>
    </sheetView>
  </sheetViews>
  <sheetFormatPr defaultRowHeight="16.899999999999999" x14ac:dyDescent="0.6"/>
  <cols>
    <col min="1" max="1" width="2.5625" customWidth="1"/>
    <col min="2" max="2" width="10.5625" bestFit="1" customWidth="1"/>
    <col min="3" max="3" width="10" bestFit="1" customWidth="1"/>
    <col min="5" max="5" width="12" bestFit="1" customWidth="1"/>
    <col min="6" max="7" width="10.5625" bestFit="1" customWidth="1"/>
    <col min="10" max="10" width="11.375" customWidth="1"/>
  </cols>
  <sheetData>
    <row r="2" spans="2:11" x14ac:dyDescent="0.6">
      <c r="B2" t="s">
        <v>303</v>
      </c>
    </row>
    <row r="3" spans="2:11" x14ac:dyDescent="0.6">
      <c r="B3" s="38" t="s">
        <v>270</v>
      </c>
      <c r="C3" s="38" t="s">
        <v>271</v>
      </c>
      <c r="D3" s="38" t="s">
        <v>2</v>
      </c>
      <c r="E3" s="38" t="s">
        <v>274</v>
      </c>
      <c r="F3" s="38" t="s">
        <v>272</v>
      </c>
      <c r="G3" s="38" t="s">
        <v>275</v>
      </c>
      <c r="H3" s="38" t="s">
        <v>276</v>
      </c>
      <c r="I3" s="38" t="s">
        <v>277</v>
      </c>
      <c r="J3" s="38" t="s">
        <v>278</v>
      </c>
      <c r="K3" s="39" t="s">
        <v>304</v>
      </c>
    </row>
    <row r="4" spans="2:11" x14ac:dyDescent="0.6">
      <c r="B4" s="22">
        <v>1</v>
      </c>
      <c r="C4" s="25">
        <v>201846129</v>
      </c>
      <c r="D4" s="25" t="s">
        <v>279</v>
      </c>
      <c r="E4" s="23" t="s">
        <v>280</v>
      </c>
      <c r="F4" s="24">
        <v>44386</v>
      </c>
      <c r="G4" s="24">
        <v>44397</v>
      </c>
      <c r="H4" s="23">
        <v>871</v>
      </c>
      <c r="I4" s="23">
        <v>893</v>
      </c>
      <c r="J4" s="23">
        <v>885</v>
      </c>
      <c r="K4" s="26" t="str" cm="1">
        <f t="array" ref="K4">fn판정(H4,I4,J4)</f>
        <v>합격</v>
      </c>
    </row>
    <row r="5" spans="2:11" x14ac:dyDescent="0.6">
      <c r="B5" s="22">
        <v>2</v>
      </c>
      <c r="C5" s="25">
        <v>202112153</v>
      </c>
      <c r="D5" s="25" t="s">
        <v>281</v>
      </c>
      <c r="E5" s="23" t="s">
        <v>280</v>
      </c>
      <c r="F5" s="24">
        <v>44390</v>
      </c>
      <c r="G5" s="24">
        <v>44425</v>
      </c>
      <c r="H5" s="23">
        <v>562</v>
      </c>
      <c r="I5" s="23">
        <v>975</v>
      </c>
      <c r="J5" s="23">
        <v>838</v>
      </c>
      <c r="K5" s="26" t="str" cm="1">
        <f t="array" ref="K5">fn판정(H5,I5,J5)</f>
        <v>재시험</v>
      </c>
    </row>
    <row r="6" spans="2:11" x14ac:dyDescent="0.6">
      <c r="B6" s="22">
        <v>3</v>
      </c>
      <c r="C6" s="25">
        <v>201984432</v>
      </c>
      <c r="D6" s="25" t="s">
        <v>282</v>
      </c>
      <c r="E6" s="23" t="s">
        <v>280</v>
      </c>
      <c r="F6" s="24">
        <v>44390</v>
      </c>
      <c r="G6" s="24">
        <v>44477</v>
      </c>
      <c r="H6" s="23">
        <v>925</v>
      </c>
      <c r="I6" s="23">
        <v>893</v>
      </c>
      <c r="J6" s="23">
        <v>350</v>
      </c>
      <c r="K6" s="26" t="str" cm="1">
        <f t="array" ref="K6">fn판정(H6,I6,J6)</f>
        <v>재시험</v>
      </c>
    </row>
    <row r="7" spans="2:11" x14ac:dyDescent="0.6">
      <c r="B7" s="22">
        <v>4</v>
      </c>
      <c r="C7" s="25">
        <v>201846148</v>
      </c>
      <c r="D7" s="25" t="s">
        <v>283</v>
      </c>
      <c r="E7" s="23" t="s">
        <v>280</v>
      </c>
      <c r="F7" s="24">
        <v>44386</v>
      </c>
      <c r="G7" s="24">
        <v>44425</v>
      </c>
      <c r="H7" s="23">
        <v>914</v>
      </c>
      <c r="I7" s="23">
        <v>936</v>
      </c>
      <c r="J7" s="23">
        <v>700</v>
      </c>
      <c r="K7" s="26" t="str" cm="1">
        <f t="array" ref="K7">fn판정(H7,I7,J7)</f>
        <v>재시험</v>
      </c>
    </row>
    <row r="8" spans="2:11" x14ac:dyDescent="0.6">
      <c r="B8" s="22">
        <v>5</v>
      </c>
      <c r="C8" s="25">
        <v>201984161</v>
      </c>
      <c r="D8" s="25" t="s">
        <v>284</v>
      </c>
      <c r="E8" s="23" t="s">
        <v>280</v>
      </c>
      <c r="F8" s="24">
        <v>44386</v>
      </c>
      <c r="G8" s="24">
        <v>44449</v>
      </c>
      <c r="H8" s="23">
        <v>807</v>
      </c>
      <c r="I8" s="23">
        <v>936</v>
      </c>
      <c r="J8" s="23">
        <v>862</v>
      </c>
      <c r="K8" s="26" t="str" cm="1">
        <f t="array" ref="K8">fn판정(H8,I8,J8)</f>
        <v>합격</v>
      </c>
    </row>
    <row r="9" spans="2:11" x14ac:dyDescent="0.6">
      <c r="B9" s="22">
        <v>6</v>
      </c>
      <c r="C9" s="25">
        <v>201834126</v>
      </c>
      <c r="D9" s="25" t="s">
        <v>285</v>
      </c>
      <c r="E9" s="23" t="s">
        <v>280</v>
      </c>
      <c r="F9" s="24">
        <v>44386</v>
      </c>
      <c r="G9" s="24">
        <v>44397</v>
      </c>
      <c r="H9" s="23">
        <v>300</v>
      </c>
      <c r="I9" s="23">
        <v>567</v>
      </c>
      <c r="J9" s="23">
        <v>792</v>
      </c>
      <c r="K9" s="26" t="str" cm="1">
        <f t="array" ref="K9">fn판정(H9,I9,J9)</f>
        <v>재시험</v>
      </c>
    </row>
    <row r="10" spans="2:11" x14ac:dyDescent="0.6">
      <c r="B10" s="22">
        <v>7</v>
      </c>
      <c r="C10" s="25">
        <v>201984128</v>
      </c>
      <c r="D10" s="25" t="s">
        <v>286</v>
      </c>
      <c r="E10" s="23" t="s">
        <v>280</v>
      </c>
      <c r="F10" s="24">
        <v>44386</v>
      </c>
      <c r="G10" s="24">
        <v>44425</v>
      </c>
      <c r="H10" s="23">
        <v>975</v>
      </c>
      <c r="I10" s="23">
        <v>690</v>
      </c>
      <c r="J10" s="23">
        <v>885</v>
      </c>
      <c r="K10" s="26" t="str" cm="1">
        <f t="array" ref="K10">fn판정(H10,I10,J10)</f>
        <v>재시험</v>
      </c>
    </row>
    <row r="11" spans="2:11" x14ac:dyDescent="0.6">
      <c r="B11" s="22">
        <v>8</v>
      </c>
      <c r="C11" s="25">
        <v>201984149</v>
      </c>
      <c r="D11" s="25" t="s">
        <v>287</v>
      </c>
      <c r="E11" s="23" t="s">
        <v>280</v>
      </c>
      <c r="F11" s="24">
        <v>44386</v>
      </c>
      <c r="G11" s="24">
        <v>44449</v>
      </c>
      <c r="H11" s="23">
        <v>936</v>
      </c>
      <c r="I11" s="23">
        <v>871</v>
      </c>
      <c r="J11" s="23">
        <v>862</v>
      </c>
      <c r="K11" s="26" t="str" cm="1">
        <f t="array" ref="K11">fn판정(H11,I11,J11)</f>
        <v>합격</v>
      </c>
    </row>
    <row r="12" spans="2:11" x14ac:dyDescent="0.6">
      <c r="B12" s="22">
        <v>9</v>
      </c>
      <c r="C12" s="25">
        <v>201886155</v>
      </c>
      <c r="D12" s="25" t="s">
        <v>288</v>
      </c>
      <c r="E12" s="23" t="s">
        <v>280</v>
      </c>
      <c r="F12" s="24">
        <v>44386</v>
      </c>
      <c r="G12" s="24">
        <v>44449</v>
      </c>
      <c r="H12" s="23">
        <v>914</v>
      </c>
      <c r="I12" s="23">
        <v>950</v>
      </c>
      <c r="J12" s="23">
        <v>908</v>
      </c>
      <c r="K12" s="26" t="str" cm="1">
        <f t="array" ref="K12">fn판정(H12,I12,J12)</f>
        <v>합격</v>
      </c>
    </row>
    <row r="13" spans="2:11" x14ac:dyDescent="0.6">
      <c r="B13" s="22">
        <v>10</v>
      </c>
      <c r="C13" s="25">
        <v>201884127</v>
      </c>
      <c r="D13" s="25" t="s">
        <v>289</v>
      </c>
      <c r="E13" s="23" t="s">
        <v>290</v>
      </c>
      <c r="F13" s="24">
        <v>44386</v>
      </c>
      <c r="G13" s="24">
        <v>44477</v>
      </c>
      <c r="H13" s="23">
        <v>870</v>
      </c>
      <c r="I13" s="23">
        <v>950</v>
      </c>
      <c r="J13" s="23">
        <v>908</v>
      </c>
      <c r="K13" s="26" t="str" cm="1">
        <f t="array" ref="K13">fn판정(H13,I13,J13)</f>
        <v>합격</v>
      </c>
    </row>
    <row r="14" spans="2:11" x14ac:dyDescent="0.6">
      <c r="B14" s="22">
        <v>11</v>
      </c>
      <c r="C14" s="25">
        <v>202105143</v>
      </c>
      <c r="D14" s="25" t="s">
        <v>291</v>
      </c>
      <c r="E14" s="23" t="s">
        <v>290</v>
      </c>
      <c r="F14" s="24">
        <v>44386</v>
      </c>
      <c r="G14" s="24">
        <v>44425</v>
      </c>
      <c r="H14" s="23">
        <v>450</v>
      </c>
      <c r="I14" s="23">
        <v>979</v>
      </c>
      <c r="J14" s="23">
        <v>769</v>
      </c>
      <c r="K14" s="26" t="str" cm="1">
        <f t="array" ref="K14">fn판정(H14,I14,J14)</f>
        <v>재시험</v>
      </c>
    </row>
    <row r="15" spans="2:11" x14ac:dyDescent="0.6">
      <c r="B15" s="22">
        <v>12</v>
      </c>
      <c r="C15" s="25">
        <v>202184164</v>
      </c>
      <c r="D15" s="25" t="s">
        <v>292</v>
      </c>
      <c r="E15" s="23" t="s">
        <v>293</v>
      </c>
      <c r="F15" s="24">
        <v>44386</v>
      </c>
      <c r="G15" s="24">
        <v>44425</v>
      </c>
      <c r="H15" s="23">
        <v>600</v>
      </c>
      <c r="I15" s="23">
        <v>957</v>
      </c>
      <c r="J15" s="23">
        <v>862</v>
      </c>
      <c r="K15" s="26" t="str" cm="1">
        <f t="array" ref="K15">fn판정(H15,I15,J15)</f>
        <v>재시험</v>
      </c>
    </row>
    <row r="16" spans="2:11" x14ac:dyDescent="0.6">
      <c r="B16" s="22">
        <v>13</v>
      </c>
      <c r="C16" s="25">
        <v>202113149</v>
      </c>
      <c r="D16" s="25" t="s">
        <v>294</v>
      </c>
      <c r="E16" s="23" t="s">
        <v>290</v>
      </c>
      <c r="F16" s="24">
        <v>44386</v>
      </c>
      <c r="G16" s="24">
        <v>44449</v>
      </c>
      <c r="H16" s="23">
        <v>957</v>
      </c>
      <c r="I16" s="23">
        <v>829</v>
      </c>
      <c r="J16" s="23">
        <v>833</v>
      </c>
      <c r="K16" s="26" t="str" cm="1">
        <f t="array" ref="K16">fn판정(H16,I16,J16)</f>
        <v>합격</v>
      </c>
    </row>
    <row r="17" spans="2:11" x14ac:dyDescent="0.6">
      <c r="B17" s="22">
        <v>14</v>
      </c>
      <c r="C17" s="25">
        <v>202146140</v>
      </c>
      <c r="D17" s="25" t="s">
        <v>295</v>
      </c>
      <c r="E17" s="23" t="s">
        <v>290</v>
      </c>
      <c r="F17" s="24">
        <v>44386</v>
      </c>
      <c r="G17" s="24">
        <v>44397</v>
      </c>
      <c r="H17" s="23">
        <v>936</v>
      </c>
      <c r="I17" s="23">
        <v>893</v>
      </c>
      <c r="J17" s="23">
        <v>650</v>
      </c>
      <c r="K17" s="26" t="str" cm="1">
        <f t="array" ref="K17">fn판정(H17,I17,J17)</f>
        <v>재시험</v>
      </c>
    </row>
    <row r="18" spans="2:11" x14ac:dyDescent="0.6">
      <c r="B18" s="22">
        <v>15</v>
      </c>
      <c r="C18" s="25">
        <v>202164127</v>
      </c>
      <c r="D18" s="25" t="s">
        <v>296</v>
      </c>
      <c r="E18" s="23" t="s">
        <v>290</v>
      </c>
      <c r="F18" s="24">
        <v>44386</v>
      </c>
      <c r="G18" s="24">
        <v>44449</v>
      </c>
      <c r="H18" s="23">
        <v>875</v>
      </c>
      <c r="I18" s="23">
        <v>893</v>
      </c>
      <c r="J18" s="23">
        <v>690</v>
      </c>
      <c r="K18" s="26" t="str" cm="1">
        <f t="array" ref="K18">fn판정(H18,I18,J18)</f>
        <v>재시험</v>
      </c>
    </row>
    <row r="19" spans="2:11" x14ac:dyDescent="0.6">
      <c r="B19" s="22">
        <v>16</v>
      </c>
      <c r="C19" s="25">
        <v>201846153</v>
      </c>
      <c r="D19" s="25" t="s">
        <v>297</v>
      </c>
      <c r="E19" s="23" t="s">
        <v>290</v>
      </c>
      <c r="F19" s="24">
        <v>44389</v>
      </c>
      <c r="G19" s="24">
        <v>44449</v>
      </c>
      <c r="H19" s="23">
        <v>936</v>
      </c>
      <c r="I19" s="23">
        <v>914</v>
      </c>
      <c r="J19" s="23">
        <v>815</v>
      </c>
      <c r="K19" s="26" t="str" cm="1">
        <f t="array" ref="K19">fn판정(H19,I19,J19)</f>
        <v>합격</v>
      </c>
    </row>
    <row r="20" spans="2:11" x14ac:dyDescent="0.6">
      <c r="B20" s="22">
        <v>17</v>
      </c>
      <c r="C20" s="25">
        <v>201984135</v>
      </c>
      <c r="D20" s="25" t="s">
        <v>207</v>
      </c>
      <c r="E20" s="23" t="s">
        <v>290</v>
      </c>
      <c r="F20" s="24">
        <v>44386</v>
      </c>
      <c r="G20" s="24">
        <v>44397</v>
      </c>
      <c r="H20" s="23">
        <v>450</v>
      </c>
      <c r="I20" s="23">
        <v>936</v>
      </c>
      <c r="J20" s="23">
        <v>671</v>
      </c>
      <c r="K20" s="26" t="str" cm="1">
        <f t="array" ref="K20">fn판정(H20,I20,J20)</f>
        <v>재시험</v>
      </c>
    </row>
    <row r="21" spans="2:11" x14ac:dyDescent="0.6">
      <c r="B21" s="22">
        <v>18</v>
      </c>
      <c r="C21" s="25">
        <v>201816161</v>
      </c>
      <c r="D21" s="25" t="s">
        <v>268</v>
      </c>
      <c r="E21" s="23" t="s">
        <v>298</v>
      </c>
      <c r="F21" s="24">
        <v>44386</v>
      </c>
      <c r="G21" s="24">
        <v>44425</v>
      </c>
      <c r="H21" s="23">
        <v>800</v>
      </c>
      <c r="I21" s="23">
        <v>975</v>
      </c>
      <c r="J21" s="23">
        <v>710</v>
      </c>
      <c r="K21" s="26" t="str" cm="1">
        <f t="array" ref="K21">fn판정(H21,I21,J21)</f>
        <v>재시험</v>
      </c>
    </row>
    <row r="22" spans="2:11" x14ac:dyDescent="0.6">
      <c r="B22" s="22">
        <v>19</v>
      </c>
      <c r="C22" s="25">
        <v>202016144</v>
      </c>
      <c r="D22" s="25" t="s">
        <v>266</v>
      </c>
      <c r="E22" s="23" t="s">
        <v>298</v>
      </c>
      <c r="F22" s="24">
        <v>44386</v>
      </c>
      <c r="G22" s="24">
        <v>44397</v>
      </c>
      <c r="H22" s="23">
        <v>750</v>
      </c>
      <c r="I22" s="23">
        <v>825</v>
      </c>
      <c r="J22" s="23">
        <v>767</v>
      </c>
      <c r="K22" s="26" t="str" cm="1">
        <f t="array" ref="K22">fn판정(H22,I22,J22)</f>
        <v>재시험</v>
      </c>
    </row>
    <row r="23" spans="2:11" x14ac:dyDescent="0.6">
      <c r="B23" s="22">
        <v>20</v>
      </c>
      <c r="C23" s="25">
        <v>201984431</v>
      </c>
      <c r="D23" s="25" t="s">
        <v>256</v>
      </c>
      <c r="E23" s="23" t="s">
        <v>298</v>
      </c>
      <c r="F23" s="24">
        <v>44391</v>
      </c>
      <c r="G23" s="24">
        <v>44449</v>
      </c>
      <c r="H23" s="23">
        <v>914</v>
      </c>
      <c r="I23" s="23">
        <v>700</v>
      </c>
      <c r="J23" s="23">
        <v>379</v>
      </c>
      <c r="K23" s="26" t="str" cm="1">
        <f t="array" ref="K23">fn판정(H23,I23,J23)</f>
        <v>재시험</v>
      </c>
    </row>
    <row r="24" spans="2:11" x14ac:dyDescent="0.6">
      <c r="B24" s="22">
        <v>21</v>
      </c>
      <c r="C24" s="25">
        <v>202084155</v>
      </c>
      <c r="D24" s="25" t="s">
        <v>227</v>
      </c>
      <c r="E24" s="23" t="s">
        <v>298</v>
      </c>
      <c r="F24" s="24">
        <v>44389</v>
      </c>
      <c r="G24" s="24">
        <v>44477</v>
      </c>
      <c r="H24" s="23">
        <v>550</v>
      </c>
      <c r="I24" s="23">
        <v>450</v>
      </c>
      <c r="J24" s="23">
        <v>838</v>
      </c>
      <c r="K24" s="26" t="str" cm="1">
        <f t="array" ref="K24">fn판정(H24,I24,J24)</f>
        <v>재시험</v>
      </c>
    </row>
    <row r="25" spans="2:11" x14ac:dyDescent="0.6">
      <c r="B25" s="22">
        <v>22</v>
      </c>
      <c r="C25" s="25">
        <v>202007162</v>
      </c>
      <c r="D25" s="25" t="s">
        <v>252</v>
      </c>
      <c r="E25" s="23" t="s">
        <v>298</v>
      </c>
      <c r="F25" s="24">
        <v>44389</v>
      </c>
      <c r="G25" s="24">
        <v>44477</v>
      </c>
      <c r="H25" s="23">
        <v>860</v>
      </c>
      <c r="I25" s="23">
        <v>350</v>
      </c>
      <c r="J25" s="23">
        <v>767</v>
      </c>
      <c r="K25" s="26" t="str" cm="1">
        <f t="array" ref="K25">fn판정(H25,I25,J25)</f>
        <v>재시험</v>
      </c>
    </row>
    <row r="26" spans="2:11" x14ac:dyDescent="0.6">
      <c r="B26" s="22">
        <v>23</v>
      </c>
      <c r="C26" s="25">
        <v>201984141</v>
      </c>
      <c r="D26" s="25" t="s">
        <v>249</v>
      </c>
      <c r="E26" s="23" t="s">
        <v>299</v>
      </c>
      <c r="F26" s="24">
        <v>44389</v>
      </c>
      <c r="G26" s="24">
        <v>44477</v>
      </c>
      <c r="H26" s="23">
        <v>975</v>
      </c>
      <c r="I26" s="23">
        <v>975</v>
      </c>
      <c r="J26" s="23">
        <v>800</v>
      </c>
      <c r="K26" s="26" t="str" cm="1">
        <f t="array" ref="K26">fn판정(H26,I26,J26)</f>
        <v>합격</v>
      </c>
    </row>
    <row r="27" spans="2:11" x14ac:dyDescent="0.6">
      <c r="B27" s="22">
        <v>24</v>
      </c>
      <c r="C27" s="25">
        <v>201984150</v>
      </c>
      <c r="D27" s="25" t="s">
        <v>300</v>
      </c>
      <c r="E27" s="23" t="s">
        <v>298</v>
      </c>
      <c r="F27" s="24">
        <v>44389</v>
      </c>
      <c r="G27" s="24">
        <v>44477</v>
      </c>
      <c r="H27" s="23">
        <v>430</v>
      </c>
      <c r="I27" s="23">
        <v>800</v>
      </c>
      <c r="J27" s="23">
        <v>650</v>
      </c>
      <c r="K27" s="26" t="str" cm="1">
        <f t="array" ref="K27">fn판정(H27,I27,J27)</f>
        <v>재시험</v>
      </c>
    </row>
    <row r="28" spans="2:11" x14ac:dyDescent="0.6">
      <c r="B28" s="22">
        <v>25</v>
      </c>
      <c r="C28" s="25">
        <v>201984151</v>
      </c>
      <c r="D28" s="25" t="s">
        <v>234</v>
      </c>
      <c r="E28" s="23" t="s">
        <v>301</v>
      </c>
      <c r="F28" s="24">
        <v>44386</v>
      </c>
      <c r="G28" s="24">
        <v>44397</v>
      </c>
      <c r="H28" s="23">
        <v>925</v>
      </c>
      <c r="I28" s="23">
        <v>642</v>
      </c>
      <c r="J28" s="23">
        <v>560</v>
      </c>
      <c r="K28" s="26" t="str" cm="1">
        <f t="array" ref="K28">fn판정(H28,I28,J28)</f>
        <v>재시험</v>
      </c>
    </row>
    <row r="29" spans="2:11" x14ac:dyDescent="0.6">
      <c r="B29" s="22">
        <v>26</v>
      </c>
      <c r="C29" s="25">
        <v>201984143</v>
      </c>
      <c r="D29" s="25" t="s">
        <v>1</v>
      </c>
      <c r="E29" s="23" t="s">
        <v>301</v>
      </c>
      <c r="F29" s="24">
        <v>44386</v>
      </c>
      <c r="G29" s="24">
        <v>44425</v>
      </c>
      <c r="H29" s="23">
        <v>800</v>
      </c>
      <c r="I29" s="23">
        <v>440</v>
      </c>
      <c r="J29" s="23">
        <v>300</v>
      </c>
      <c r="K29" s="26" t="str" cm="1">
        <f t="array" ref="K29">fn판정(H29,I29,J29)</f>
        <v>재시험</v>
      </c>
    </row>
    <row r="30" spans="2:11" x14ac:dyDescent="0.6">
      <c r="B30" s="22">
        <v>27</v>
      </c>
      <c r="C30" s="25">
        <v>201984133</v>
      </c>
      <c r="D30" s="25" t="s">
        <v>263</v>
      </c>
      <c r="E30" s="23" t="s">
        <v>301</v>
      </c>
      <c r="F30" s="24">
        <v>44386</v>
      </c>
      <c r="G30" s="24">
        <v>44449</v>
      </c>
      <c r="H30" s="23">
        <v>750</v>
      </c>
      <c r="I30" s="23">
        <v>800</v>
      </c>
      <c r="J30" s="23">
        <v>800</v>
      </c>
      <c r="K30" s="26" t="str" cm="1">
        <f t="array" ref="K30">fn판정(H30,I30,J30)</f>
        <v>재시험</v>
      </c>
    </row>
    <row r="31" spans="2:11" x14ac:dyDescent="0.6">
      <c r="B31" s="22">
        <v>28</v>
      </c>
      <c r="C31" s="25">
        <v>202105160</v>
      </c>
      <c r="D31" s="25" t="s">
        <v>269</v>
      </c>
      <c r="E31" s="23" t="s">
        <v>301</v>
      </c>
      <c r="F31" s="24">
        <v>44386</v>
      </c>
      <c r="G31" s="24">
        <v>44425</v>
      </c>
      <c r="H31" s="23">
        <v>914</v>
      </c>
      <c r="I31" s="23">
        <v>862</v>
      </c>
      <c r="J31" s="23">
        <v>450</v>
      </c>
      <c r="K31" s="26" t="str" cm="1">
        <f t="array" ref="K31">fn판정(H31,I31,J31)</f>
        <v>재시험</v>
      </c>
    </row>
    <row r="32" spans="2:11" x14ac:dyDescent="0.6">
      <c r="B32" s="22">
        <v>29</v>
      </c>
      <c r="C32" s="25">
        <v>202113139</v>
      </c>
      <c r="D32" s="25" t="s">
        <v>267</v>
      </c>
      <c r="E32" s="23" t="s">
        <v>301</v>
      </c>
      <c r="F32" s="24">
        <v>44386</v>
      </c>
      <c r="G32" s="24">
        <v>44449</v>
      </c>
      <c r="H32" s="23">
        <v>533</v>
      </c>
      <c r="I32" s="23">
        <v>733</v>
      </c>
      <c r="J32" s="23">
        <v>733</v>
      </c>
      <c r="K32" s="26" t="str" cm="1">
        <f t="array" ref="K32">fn판정(H32,I32,J32)</f>
        <v>재시험</v>
      </c>
    </row>
    <row r="33" spans="2:11" x14ac:dyDescent="0.6">
      <c r="B33" s="22">
        <v>30</v>
      </c>
      <c r="C33" s="25">
        <v>201984153</v>
      </c>
      <c r="D33" s="25" t="s">
        <v>254</v>
      </c>
      <c r="E33" s="23" t="s">
        <v>301</v>
      </c>
      <c r="F33" s="24">
        <v>44390</v>
      </c>
      <c r="G33" s="24">
        <v>44397</v>
      </c>
      <c r="H33" s="23">
        <v>999</v>
      </c>
      <c r="I33" s="23">
        <v>870</v>
      </c>
      <c r="J33" s="23">
        <v>750</v>
      </c>
      <c r="K33" s="26" t="str" cm="1">
        <f t="array" ref="K33">fn판정(H33,I33,J33)</f>
        <v>재시험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I33"/>
  <sheetViews>
    <sheetView workbookViewId="0">
      <selection activeCell="J2" sqref="J2"/>
    </sheetView>
  </sheetViews>
  <sheetFormatPr defaultRowHeight="16.899999999999999" x14ac:dyDescent="0.6"/>
  <cols>
    <col min="1" max="1" width="2.5625" customWidth="1"/>
    <col min="2" max="2" width="12.6875" bestFit="1" customWidth="1"/>
    <col min="3" max="3" width="10.5625" bestFit="1" customWidth="1"/>
    <col min="6" max="6" width="10.0625" bestFit="1" customWidth="1"/>
    <col min="7" max="7" width="20.9375" bestFit="1" customWidth="1"/>
    <col min="8" max="8" width="12.6875" bestFit="1" customWidth="1"/>
    <col min="10" max="10" width="10" bestFit="1" customWidth="1"/>
    <col min="11" max="11" width="12.6875" bestFit="1" customWidth="1"/>
    <col min="12" max="12" width="10.5625" bestFit="1" customWidth="1"/>
    <col min="14" max="14" width="6.4375" bestFit="1" customWidth="1"/>
    <col min="15" max="15" width="10.0625" bestFit="1" customWidth="1"/>
  </cols>
  <sheetData>
    <row r="2" spans="2:9" x14ac:dyDescent="0.6">
      <c r="B2" t="s">
        <v>303</v>
      </c>
    </row>
    <row r="3" spans="2:9" x14ac:dyDescent="0.6">
      <c r="B3" s="40" t="s">
        <v>63</v>
      </c>
      <c r="C3" s="40" t="s">
        <v>64</v>
      </c>
      <c r="D3" s="40" t="s">
        <v>65</v>
      </c>
      <c r="E3" s="40" t="s">
        <v>3</v>
      </c>
      <c r="F3" s="40" t="s">
        <v>66</v>
      </c>
      <c r="G3" s="40" t="s">
        <v>67</v>
      </c>
      <c r="H3" s="40" t="s">
        <v>68</v>
      </c>
      <c r="I3" s="41" t="s">
        <v>305</v>
      </c>
    </row>
    <row r="4" spans="2:9" x14ac:dyDescent="0.6">
      <c r="B4" s="1" t="s">
        <v>69</v>
      </c>
      <c r="C4" s="3">
        <v>43482</v>
      </c>
      <c r="D4" s="1">
        <v>2</v>
      </c>
      <c r="E4" s="1" t="s">
        <v>70</v>
      </c>
      <c r="F4" s="1" t="s">
        <v>71</v>
      </c>
      <c r="G4" s="2" t="s">
        <v>72</v>
      </c>
      <c r="H4" s="1" t="s">
        <v>73</v>
      </c>
      <c r="I4" s="26" t="str" cm="1">
        <f t="array" ref="I4">fn평가(D4)</f>
        <v>부족</v>
      </c>
    </row>
    <row r="5" spans="2:9" x14ac:dyDescent="0.6">
      <c r="B5" s="1" t="s">
        <v>69</v>
      </c>
      <c r="C5" s="3">
        <v>43486</v>
      </c>
      <c r="D5" s="1">
        <v>5</v>
      </c>
      <c r="E5" s="1" t="s">
        <v>74</v>
      </c>
      <c r="F5" s="1" t="s">
        <v>75</v>
      </c>
      <c r="G5" s="2" t="s">
        <v>72</v>
      </c>
      <c r="H5" s="1" t="s">
        <v>73</v>
      </c>
      <c r="I5" s="26" t="str" cm="1">
        <f t="array" ref="I5">fn평가(D5)</f>
        <v>보통</v>
      </c>
    </row>
    <row r="6" spans="2:9" x14ac:dyDescent="0.6">
      <c r="B6" s="1" t="s">
        <v>76</v>
      </c>
      <c r="C6" s="3">
        <v>43510</v>
      </c>
      <c r="D6" s="1">
        <v>4</v>
      </c>
      <c r="E6" s="1" t="s">
        <v>77</v>
      </c>
      <c r="F6" s="1" t="s">
        <v>78</v>
      </c>
      <c r="G6" s="2" t="s">
        <v>72</v>
      </c>
      <c r="H6" s="1" t="s">
        <v>73</v>
      </c>
      <c r="I6" s="26" t="str" cm="1">
        <f t="array" ref="I6">fn평가(D6)</f>
        <v>보통</v>
      </c>
    </row>
    <row r="7" spans="2:9" x14ac:dyDescent="0.6">
      <c r="B7" s="1" t="s">
        <v>69</v>
      </c>
      <c r="C7" s="3">
        <v>43536</v>
      </c>
      <c r="D7" s="1">
        <v>3</v>
      </c>
      <c r="E7" s="1" t="s">
        <v>79</v>
      </c>
      <c r="F7" s="1" t="s">
        <v>75</v>
      </c>
      <c r="G7" s="2" t="s">
        <v>72</v>
      </c>
      <c r="H7" s="1" t="s">
        <v>73</v>
      </c>
      <c r="I7" s="26" t="str" cm="1">
        <f t="array" ref="I7">fn평가(D7)</f>
        <v>부족</v>
      </c>
    </row>
    <row r="8" spans="2:9" x14ac:dyDescent="0.6">
      <c r="B8" s="1" t="s">
        <v>80</v>
      </c>
      <c r="C8" s="3">
        <v>43537</v>
      </c>
      <c r="D8" s="1">
        <v>5</v>
      </c>
      <c r="E8" s="1" t="s">
        <v>81</v>
      </c>
      <c r="F8" s="1" t="s">
        <v>78</v>
      </c>
      <c r="G8" s="2" t="s">
        <v>72</v>
      </c>
      <c r="H8" s="1" t="s">
        <v>73</v>
      </c>
      <c r="I8" s="26" t="str" cm="1">
        <f t="array" ref="I8">fn평가(D8)</f>
        <v>보통</v>
      </c>
    </row>
    <row r="9" spans="2:9" x14ac:dyDescent="0.6">
      <c r="B9" s="1" t="s">
        <v>69</v>
      </c>
      <c r="C9" s="3">
        <v>43543</v>
      </c>
      <c r="D9" s="1">
        <v>4</v>
      </c>
      <c r="E9" s="1" t="s">
        <v>82</v>
      </c>
      <c r="F9" s="1" t="s">
        <v>83</v>
      </c>
      <c r="G9" s="2" t="s">
        <v>72</v>
      </c>
      <c r="H9" s="1" t="s">
        <v>73</v>
      </c>
      <c r="I9" s="26" t="str" cm="1">
        <f t="array" ref="I9">fn평가(D9)</f>
        <v>보통</v>
      </c>
    </row>
    <row r="10" spans="2:9" x14ac:dyDescent="0.6">
      <c r="B10" s="1" t="s">
        <v>76</v>
      </c>
      <c r="C10" s="3">
        <v>43564</v>
      </c>
      <c r="D10" s="1">
        <v>2</v>
      </c>
      <c r="E10" s="1" t="s">
        <v>84</v>
      </c>
      <c r="F10" s="1" t="s">
        <v>71</v>
      </c>
      <c r="G10" s="2" t="s">
        <v>72</v>
      </c>
      <c r="H10" s="1" t="s">
        <v>73</v>
      </c>
      <c r="I10" s="26" t="str" cm="1">
        <f t="array" ref="I10">fn평가(D10)</f>
        <v>부족</v>
      </c>
    </row>
    <row r="11" spans="2:9" x14ac:dyDescent="0.6">
      <c r="B11" s="1" t="s">
        <v>85</v>
      </c>
      <c r="C11" s="3">
        <v>43571</v>
      </c>
      <c r="D11" s="1">
        <v>3</v>
      </c>
      <c r="E11" s="1" t="s">
        <v>86</v>
      </c>
      <c r="F11" s="1" t="s">
        <v>78</v>
      </c>
      <c r="G11" s="2" t="s">
        <v>72</v>
      </c>
      <c r="H11" s="1" t="s">
        <v>73</v>
      </c>
      <c r="I11" s="26" t="str" cm="1">
        <f t="array" ref="I11">fn평가(D11)</f>
        <v>부족</v>
      </c>
    </row>
    <row r="12" spans="2:9" x14ac:dyDescent="0.6">
      <c r="B12" s="1" t="s">
        <v>87</v>
      </c>
      <c r="C12" s="3">
        <v>43572</v>
      </c>
      <c r="D12" s="1">
        <v>6</v>
      </c>
      <c r="E12" s="1" t="s">
        <v>77</v>
      </c>
      <c r="F12" s="1" t="s">
        <v>78</v>
      </c>
      <c r="G12" s="2" t="s">
        <v>88</v>
      </c>
      <c r="H12" s="1" t="s">
        <v>89</v>
      </c>
      <c r="I12" s="26" t="str" cm="1">
        <f t="array" ref="I12">fn평가(D12)</f>
        <v>초과</v>
      </c>
    </row>
    <row r="13" spans="2:9" x14ac:dyDescent="0.6">
      <c r="B13" s="1" t="s">
        <v>80</v>
      </c>
      <c r="C13" s="3">
        <v>43599</v>
      </c>
      <c r="D13" s="1">
        <v>3</v>
      </c>
      <c r="E13" s="1" t="s">
        <v>74</v>
      </c>
      <c r="F13" s="1" t="s">
        <v>75</v>
      </c>
      <c r="G13" s="2" t="s">
        <v>88</v>
      </c>
      <c r="H13" s="1" t="s">
        <v>89</v>
      </c>
      <c r="I13" s="26" t="str" cm="1">
        <f t="array" ref="I13">fn평가(D13)</f>
        <v>부족</v>
      </c>
    </row>
    <row r="14" spans="2:9" x14ac:dyDescent="0.6">
      <c r="B14" s="1" t="s">
        <v>76</v>
      </c>
      <c r="C14" s="3">
        <v>43606</v>
      </c>
      <c r="D14" s="1">
        <v>7</v>
      </c>
      <c r="E14" s="1" t="s">
        <v>74</v>
      </c>
      <c r="F14" s="1" t="s">
        <v>75</v>
      </c>
      <c r="G14" s="2" t="s">
        <v>88</v>
      </c>
      <c r="H14" s="1" t="s">
        <v>89</v>
      </c>
      <c r="I14" s="26" t="str" cm="1">
        <f t="array" ref="I14">fn평가(D14)</f>
        <v>초과</v>
      </c>
    </row>
    <row r="15" spans="2:9" x14ac:dyDescent="0.6">
      <c r="B15" s="1" t="s">
        <v>85</v>
      </c>
      <c r="C15" s="3">
        <v>43607</v>
      </c>
      <c r="D15" s="1">
        <v>5</v>
      </c>
      <c r="E15" s="1" t="s">
        <v>70</v>
      </c>
      <c r="F15" s="1" t="s">
        <v>71</v>
      </c>
      <c r="G15" s="2" t="s">
        <v>88</v>
      </c>
      <c r="H15" s="1" t="s">
        <v>89</v>
      </c>
      <c r="I15" s="26" t="str" cm="1">
        <f t="array" ref="I15">fn평가(D15)</f>
        <v>보통</v>
      </c>
    </row>
    <row r="16" spans="2:9" x14ac:dyDescent="0.6">
      <c r="B16" s="1" t="s">
        <v>87</v>
      </c>
      <c r="C16" s="3">
        <v>43627</v>
      </c>
      <c r="D16" s="1">
        <v>4</v>
      </c>
      <c r="E16" s="1" t="s">
        <v>81</v>
      </c>
      <c r="F16" s="1" t="s">
        <v>78</v>
      </c>
      <c r="G16" s="2" t="s">
        <v>90</v>
      </c>
      <c r="H16" s="1" t="s">
        <v>91</v>
      </c>
      <c r="I16" s="26" t="str" cm="1">
        <f t="array" ref="I16">fn평가(D16)</f>
        <v>보통</v>
      </c>
    </row>
    <row r="17" spans="2:9" x14ac:dyDescent="0.6">
      <c r="B17" s="1" t="s">
        <v>80</v>
      </c>
      <c r="C17" s="3">
        <v>43634</v>
      </c>
      <c r="D17" s="1">
        <v>3</v>
      </c>
      <c r="E17" s="1" t="s">
        <v>82</v>
      </c>
      <c r="F17" s="1" t="s">
        <v>83</v>
      </c>
      <c r="G17" s="2" t="s">
        <v>90</v>
      </c>
      <c r="H17" s="1" t="s">
        <v>91</v>
      </c>
      <c r="I17" s="26" t="str" cm="1">
        <f t="array" ref="I17">fn평가(D17)</f>
        <v>부족</v>
      </c>
    </row>
    <row r="18" spans="2:9" x14ac:dyDescent="0.6">
      <c r="B18" s="1" t="s">
        <v>92</v>
      </c>
      <c r="C18" s="3">
        <v>43641</v>
      </c>
      <c r="D18" s="1">
        <v>6</v>
      </c>
      <c r="E18" s="1" t="s">
        <v>82</v>
      </c>
      <c r="F18" s="1" t="s">
        <v>83</v>
      </c>
      <c r="G18" s="2" t="s">
        <v>90</v>
      </c>
      <c r="H18" s="1" t="s">
        <v>91</v>
      </c>
      <c r="I18" s="26" t="str" cm="1">
        <f t="array" ref="I18">fn평가(D18)</f>
        <v>초과</v>
      </c>
    </row>
    <row r="19" spans="2:9" x14ac:dyDescent="0.6">
      <c r="B19" s="1" t="s">
        <v>87</v>
      </c>
      <c r="C19" s="3">
        <v>43655</v>
      </c>
      <c r="D19" s="1">
        <v>5</v>
      </c>
      <c r="E19" s="1" t="s">
        <v>86</v>
      </c>
      <c r="F19" s="1" t="s">
        <v>78</v>
      </c>
      <c r="G19" s="2" t="s">
        <v>90</v>
      </c>
      <c r="H19" s="1" t="s">
        <v>91</v>
      </c>
      <c r="I19" s="26" t="str" cm="1">
        <f t="array" ref="I19">fn평가(D19)</f>
        <v>보통</v>
      </c>
    </row>
    <row r="20" spans="2:9" x14ac:dyDescent="0.6">
      <c r="B20" s="1" t="s">
        <v>93</v>
      </c>
      <c r="C20" s="3">
        <v>43662</v>
      </c>
      <c r="D20" s="1">
        <v>4</v>
      </c>
      <c r="E20" s="1" t="s">
        <v>94</v>
      </c>
      <c r="F20" s="1" t="s">
        <v>83</v>
      </c>
      <c r="G20" s="2" t="s">
        <v>90</v>
      </c>
      <c r="H20" s="1" t="s">
        <v>91</v>
      </c>
      <c r="I20" s="26" t="str" cm="1">
        <f t="array" ref="I20">fn평가(D20)</f>
        <v>보통</v>
      </c>
    </row>
    <row r="21" spans="2:9" x14ac:dyDescent="0.6">
      <c r="B21" s="1" t="s">
        <v>87</v>
      </c>
      <c r="C21" s="3">
        <v>43663</v>
      </c>
      <c r="D21" s="1">
        <v>3</v>
      </c>
      <c r="E21" s="1" t="s">
        <v>95</v>
      </c>
      <c r="F21" s="1" t="s">
        <v>71</v>
      </c>
      <c r="G21" s="2" t="s">
        <v>90</v>
      </c>
      <c r="H21" s="1" t="s">
        <v>91</v>
      </c>
      <c r="I21" s="26" t="str" cm="1">
        <f t="array" ref="I21">fn평가(D21)</f>
        <v>부족</v>
      </c>
    </row>
    <row r="22" spans="2:9" x14ac:dyDescent="0.6">
      <c r="B22" s="1" t="s">
        <v>76</v>
      </c>
      <c r="C22" s="3">
        <v>43690</v>
      </c>
      <c r="D22" s="1">
        <v>6</v>
      </c>
      <c r="E22" s="1" t="s">
        <v>77</v>
      </c>
      <c r="F22" s="1" t="s">
        <v>78</v>
      </c>
      <c r="G22" s="2" t="s">
        <v>90</v>
      </c>
      <c r="H22" s="1" t="s">
        <v>91</v>
      </c>
      <c r="I22" s="26" t="str" cm="1">
        <f t="array" ref="I22">fn평가(D22)</f>
        <v>초과</v>
      </c>
    </row>
    <row r="23" spans="2:9" x14ac:dyDescent="0.6">
      <c r="B23" s="1" t="s">
        <v>85</v>
      </c>
      <c r="C23" s="3">
        <v>43718</v>
      </c>
      <c r="D23" s="1">
        <v>3</v>
      </c>
      <c r="E23" s="1" t="s">
        <v>74</v>
      </c>
      <c r="F23" s="1" t="s">
        <v>75</v>
      </c>
      <c r="G23" s="2" t="s">
        <v>90</v>
      </c>
      <c r="H23" s="1" t="s">
        <v>91</v>
      </c>
      <c r="I23" s="26" t="str" cm="1">
        <f t="array" ref="I23">fn평가(D23)</f>
        <v>부족</v>
      </c>
    </row>
    <row r="24" spans="2:9" x14ac:dyDescent="0.6">
      <c r="B24" s="1" t="s">
        <v>96</v>
      </c>
      <c r="C24" s="3">
        <v>43753</v>
      </c>
      <c r="D24" s="1">
        <v>7</v>
      </c>
      <c r="E24" s="1" t="s">
        <v>77</v>
      </c>
      <c r="F24" s="1" t="s">
        <v>78</v>
      </c>
      <c r="G24" s="2" t="s">
        <v>97</v>
      </c>
      <c r="H24" s="1" t="s">
        <v>98</v>
      </c>
      <c r="I24" s="26" t="str" cm="1">
        <f t="array" ref="I24">fn평가(D24)</f>
        <v>초과</v>
      </c>
    </row>
    <row r="25" spans="2:9" x14ac:dyDescent="0.6">
      <c r="B25" s="1" t="s">
        <v>96</v>
      </c>
      <c r="C25" s="3">
        <v>43760</v>
      </c>
      <c r="D25" s="1">
        <v>4</v>
      </c>
      <c r="E25" s="1" t="s">
        <v>79</v>
      </c>
      <c r="F25" s="1" t="s">
        <v>75</v>
      </c>
      <c r="G25" s="2" t="s">
        <v>97</v>
      </c>
      <c r="H25" s="1" t="s">
        <v>98</v>
      </c>
      <c r="I25" s="26" t="str" cm="1">
        <f t="array" ref="I25">fn평가(D25)</f>
        <v>보통</v>
      </c>
    </row>
    <row r="26" spans="2:9" x14ac:dyDescent="0.6">
      <c r="B26" s="1" t="s">
        <v>99</v>
      </c>
      <c r="C26" s="3">
        <v>43767</v>
      </c>
      <c r="D26" s="1">
        <v>6</v>
      </c>
      <c r="E26" s="1" t="s">
        <v>70</v>
      </c>
      <c r="F26" s="1" t="s">
        <v>71</v>
      </c>
      <c r="G26" s="2" t="s">
        <v>97</v>
      </c>
      <c r="H26" s="1" t="s">
        <v>98</v>
      </c>
      <c r="I26" s="26" t="str" cm="1">
        <f t="array" ref="I26">fn평가(D26)</f>
        <v>초과</v>
      </c>
    </row>
    <row r="27" spans="2:9" x14ac:dyDescent="0.6">
      <c r="B27" s="1" t="s">
        <v>99</v>
      </c>
      <c r="C27" s="3">
        <v>43781</v>
      </c>
      <c r="D27" s="1">
        <v>5</v>
      </c>
      <c r="E27" s="1" t="s">
        <v>82</v>
      </c>
      <c r="F27" s="1" t="s">
        <v>83</v>
      </c>
      <c r="G27" s="2" t="s">
        <v>97</v>
      </c>
      <c r="H27" s="1" t="s">
        <v>98</v>
      </c>
      <c r="I27" s="26" t="str" cm="1">
        <f t="array" ref="I27">fn평가(D27)</f>
        <v>보통</v>
      </c>
    </row>
    <row r="28" spans="2:9" x14ac:dyDescent="0.6">
      <c r="B28" s="1" t="s">
        <v>96</v>
      </c>
      <c r="C28" s="3">
        <v>43819</v>
      </c>
      <c r="D28" s="1">
        <v>4</v>
      </c>
      <c r="E28" s="1" t="s">
        <v>84</v>
      </c>
      <c r="F28" s="1" t="s">
        <v>71</v>
      </c>
      <c r="G28" s="2" t="s">
        <v>100</v>
      </c>
      <c r="H28" s="1" t="s">
        <v>101</v>
      </c>
      <c r="I28" s="26" t="str" cm="1">
        <f t="array" ref="I28">fn평가(D28)</f>
        <v>보통</v>
      </c>
    </row>
    <row r="29" spans="2:9" x14ac:dyDescent="0.6">
      <c r="B29" s="1" t="s">
        <v>99</v>
      </c>
      <c r="C29" s="3">
        <v>43809</v>
      </c>
      <c r="D29" s="1">
        <v>3</v>
      </c>
      <c r="E29" s="1" t="s">
        <v>86</v>
      </c>
      <c r="F29" s="1" t="s">
        <v>78</v>
      </c>
      <c r="G29" s="2" t="s">
        <v>100</v>
      </c>
      <c r="H29" s="1" t="s">
        <v>101</v>
      </c>
      <c r="I29" s="26" t="str" cm="1">
        <f t="array" ref="I29">fn평가(D29)</f>
        <v>부족</v>
      </c>
    </row>
    <row r="30" spans="2:9" x14ac:dyDescent="0.6">
      <c r="B30" s="1" t="s">
        <v>99</v>
      </c>
      <c r="C30" s="3">
        <v>43816</v>
      </c>
      <c r="D30" s="1">
        <v>2</v>
      </c>
      <c r="E30" s="1" t="s">
        <v>74</v>
      </c>
      <c r="F30" s="1" t="s">
        <v>75</v>
      </c>
      <c r="G30" s="2" t="s">
        <v>100</v>
      </c>
      <c r="H30" s="1" t="s">
        <v>101</v>
      </c>
      <c r="I30" s="26" t="str" cm="1">
        <f t="array" ref="I30">fn평가(D30)</f>
        <v>부족</v>
      </c>
    </row>
    <row r="31" spans="2:9" x14ac:dyDescent="0.6">
      <c r="B31" s="1" t="s">
        <v>96</v>
      </c>
      <c r="C31" s="3">
        <v>43817</v>
      </c>
      <c r="D31" s="1">
        <v>4</v>
      </c>
      <c r="E31" s="1" t="s">
        <v>77</v>
      </c>
      <c r="F31" s="1" t="s">
        <v>78</v>
      </c>
      <c r="G31" s="2" t="s">
        <v>100</v>
      </c>
      <c r="H31" s="1" t="s">
        <v>101</v>
      </c>
      <c r="I31" s="26" t="str" cm="1">
        <f t="array" ref="I31">fn평가(D31)</f>
        <v>보통</v>
      </c>
    </row>
    <row r="32" spans="2:9" x14ac:dyDescent="0.6">
      <c r="B32" s="1" t="s">
        <v>96</v>
      </c>
      <c r="C32" s="3">
        <v>43823</v>
      </c>
      <c r="D32" s="1">
        <v>3</v>
      </c>
      <c r="E32" s="1" t="s">
        <v>102</v>
      </c>
      <c r="F32" s="1" t="s">
        <v>75</v>
      </c>
      <c r="G32" s="2" t="s">
        <v>100</v>
      </c>
      <c r="H32" s="1" t="s">
        <v>101</v>
      </c>
      <c r="I32" s="26" t="str" cm="1">
        <f t="array" ref="I32">fn평가(D32)</f>
        <v>부족</v>
      </c>
    </row>
    <row r="33" spans="2:9" x14ac:dyDescent="0.6">
      <c r="B33" s="1" t="s">
        <v>99</v>
      </c>
      <c r="C33" s="3">
        <v>43824</v>
      </c>
      <c r="D33" s="1">
        <v>7</v>
      </c>
      <c r="E33" s="1" t="s">
        <v>82</v>
      </c>
      <c r="F33" s="1" t="s">
        <v>83</v>
      </c>
      <c r="G33" s="2" t="s">
        <v>100</v>
      </c>
      <c r="H33" s="1" t="s">
        <v>101</v>
      </c>
      <c r="I33" s="26" t="str" cm="1">
        <f t="array" ref="I33">fn평가(D33)</f>
        <v>초과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J40"/>
  <sheetViews>
    <sheetView workbookViewId="0">
      <selection activeCell="K1" sqref="K1"/>
    </sheetView>
  </sheetViews>
  <sheetFormatPr defaultRowHeight="16.899999999999999" x14ac:dyDescent="0.6"/>
  <cols>
    <col min="1" max="1" width="2.5625" customWidth="1"/>
    <col min="2" max="2" width="7.5" customWidth="1"/>
    <col min="3" max="3" width="22.875" bestFit="1" customWidth="1"/>
    <col min="6" max="7" width="10.5625" bestFit="1" customWidth="1"/>
    <col min="11" max="11" width="22.875" bestFit="1" customWidth="1"/>
    <col min="12" max="12" width="7.875" bestFit="1" customWidth="1"/>
    <col min="13" max="14" width="10.5625" bestFit="1" customWidth="1"/>
  </cols>
  <sheetData>
    <row r="2" spans="2:10" x14ac:dyDescent="0.6">
      <c r="B2" t="s">
        <v>303</v>
      </c>
    </row>
    <row r="3" spans="2:10" x14ac:dyDescent="0.6">
      <c r="B3" s="19" t="s">
        <v>307</v>
      </c>
      <c r="C3" s="19" t="s">
        <v>200</v>
      </c>
      <c r="D3" s="19" t="s">
        <v>201</v>
      </c>
      <c r="E3" s="19" t="s">
        <v>202</v>
      </c>
      <c r="F3" s="19" t="s">
        <v>203</v>
      </c>
      <c r="G3" s="19" t="s">
        <v>204</v>
      </c>
      <c r="H3" s="19" t="s">
        <v>205</v>
      </c>
      <c r="I3" s="19" t="s">
        <v>206</v>
      </c>
      <c r="J3" s="43" t="s">
        <v>306</v>
      </c>
    </row>
    <row r="4" spans="2:10" x14ac:dyDescent="0.6">
      <c r="B4" s="1" t="s">
        <v>215</v>
      </c>
      <c r="C4" s="1" t="s">
        <v>216</v>
      </c>
      <c r="D4" s="6">
        <v>80000</v>
      </c>
      <c r="E4" s="1" t="s">
        <v>209</v>
      </c>
      <c r="F4" s="3">
        <v>44200</v>
      </c>
      <c r="G4" s="3">
        <v>44215</v>
      </c>
      <c r="H4" s="5">
        <v>12</v>
      </c>
      <c r="I4" s="5">
        <v>8</v>
      </c>
      <c r="J4" s="26" t="str" cm="1">
        <f t="array" ref="J4">kp비고(H4,I4)</f>
        <v>4명 초과</v>
      </c>
    </row>
    <row r="5" spans="2:10" x14ac:dyDescent="0.6">
      <c r="B5" s="1" t="s">
        <v>219</v>
      </c>
      <c r="C5" s="1" t="s">
        <v>220</v>
      </c>
      <c r="D5" s="6">
        <v>95000</v>
      </c>
      <c r="E5" s="1" t="s">
        <v>209</v>
      </c>
      <c r="F5" s="3">
        <v>44200</v>
      </c>
      <c r="G5" s="3">
        <v>44215</v>
      </c>
      <c r="H5" s="5">
        <v>4</v>
      </c>
      <c r="I5" s="5">
        <v>10</v>
      </c>
      <c r="J5" s="26" t="str" cm="1">
        <f t="array" ref="J5">kp비고(H5,I5)</f>
        <v>6명 부족</v>
      </c>
    </row>
    <row r="6" spans="2:10" x14ac:dyDescent="0.6">
      <c r="B6" s="1" t="s">
        <v>219</v>
      </c>
      <c r="C6" s="1" t="s">
        <v>220</v>
      </c>
      <c r="D6" s="6">
        <v>95000</v>
      </c>
      <c r="E6" s="1" t="s">
        <v>210</v>
      </c>
      <c r="F6" s="3">
        <v>44207</v>
      </c>
      <c r="G6" s="3">
        <v>44222</v>
      </c>
      <c r="H6" s="5">
        <v>17</v>
      </c>
      <c r="I6" s="5">
        <v>15</v>
      </c>
      <c r="J6" s="26" t="str" cm="1">
        <f t="array" ref="J6">kp비고(H6,I6)</f>
        <v>2명 초과</v>
      </c>
    </row>
    <row r="7" spans="2:10" x14ac:dyDescent="0.6">
      <c r="B7" s="1" t="s">
        <v>217</v>
      </c>
      <c r="C7" s="1" t="s">
        <v>218</v>
      </c>
      <c r="D7" s="6">
        <v>69000</v>
      </c>
      <c r="E7" s="1" t="s">
        <v>211</v>
      </c>
      <c r="F7" s="3">
        <v>44217</v>
      </c>
      <c r="G7" s="3">
        <v>44232</v>
      </c>
      <c r="H7" s="5">
        <v>5</v>
      </c>
      <c r="I7" s="5">
        <v>12</v>
      </c>
      <c r="J7" s="26" t="str" cm="1">
        <f t="array" ref="J7">kp비고(H7,I7)</f>
        <v>7명 부족</v>
      </c>
    </row>
    <row r="8" spans="2:10" x14ac:dyDescent="0.6">
      <c r="B8" s="1" t="s">
        <v>207</v>
      </c>
      <c r="C8" s="1" t="s">
        <v>208</v>
      </c>
      <c r="D8" s="6">
        <v>50000</v>
      </c>
      <c r="E8" s="1" t="s">
        <v>209</v>
      </c>
      <c r="F8" s="3">
        <v>44236</v>
      </c>
      <c r="G8" s="3">
        <v>44251</v>
      </c>
      <c r="H8" s="5">
        <v>12</v>
      </c>
      <c r="I8" s="5">
        <v>10</v>
      </c>
      <c r="J8" s="26" t="str" cm="1">
        <f t="array" ref="J8">kp비고(H8,I8)</f>
        <v>2명 초과</v>
      </c>
    </row>
    <row r="9" spans="2:10" x14ac:dyDescent="0.6">
      <c r="B9" s="1" t="s">
        <v>207</v>
      </c>
      <c r="C9" s="1" t="s">
        <v>208</v>
      </c>
      <c r="D9" s="6">
        <v>50000</v>
      </c>
      <c r="E9" s="1" t="s">
        <v>209</v>
      </c>
      <c r="F9" s="3">
        <v>44238</v>
      </c>
      <c r="G9" s="3">
        <v>44253</v>
      </c>
      <c r="H9" s="5">
        <v>25</v>
      </c>
      <c r="I9" s="5">
        <v>15</v>
      </c>
      <c r="J9" s="26" t="str" cm="1">
        <f t="array" ref="J9">kp비고(H9,I9)</f>
        <v>10명 초과</v>
      </c>
    </row>
    <row r="10" spans="2:10" x14ac:dyDescent="0.6">
      <c r="B10" s="1" t="s">
        <v>215</v>
      </c>
      <c r="C10" s="1" t="s">
        <v>216</v>
      </c>
      <c r="D10" s="6">
        <v>80000</v>
      </c>
      <c r="E10" s="1" t="s">
        <v>212</v>
      </c>
      <c r="F10" s="3">
        <v>44238</v>
      </c>
      <c r="G10" s="3">
        <v>44253</v>
      </c>
      <c r="H10" s="5">
        <v>20</v>
      </c>
      <c r="I10" s="5">
        <v>12</v>
      </c>
      <c r="J10" s="26" t="str" cm="1">
        <f t="array" ref="J10">kp비고(H10,I10)</f>
        <v>8명 초과</v>
      </c>
    </row>
    <row r="11" spans="2:10" x14ac:dyDescent="0.6">
      <c r="B11" s="1" t="s">
        <v>213</v>
      </c>
      <c r="C11" s="1" t="s">
        <v>214</v>
      </c>
      <c r="D11" s="6">
        <v>80000</v>
      </c>
      <c r="E11" s="1" t="s">
        <v>212</v>
      </c>
      <c r="F11" s="3">
        <v>44270</v>
      </c>
      <c r="G11" s="3">
        <v>44285</v>
      </c>
      <c r="H11" s="5">
        <v>10</v>
      </c>
      <c r="I11" s="5">
        <v>14</v>
      </c>
      <c r="J11" s="26" t="str" cm="1">
        <f t="array" ref="J11">kp비고(H11,I11)</f>
        <v>4명 부족</v>
      </c>
    </row>
    <row r="12" spans="2:10" x14ac:dyDescent="0.6">
      <c r="B12" s="1" t="s">
        <v>207</v>
      </c>
      <c r="C12" s="1" t="s">
        <v>208</v>
      </c>
      <c r="D12" s="6">
        <v>50000</v>
      </c>
      <c r="E12" s="1" t="s">
        <v>210</v>
      </c>
      <c r="F12" s="3">
        <v>44271</v>
      </c>
      <c r="G12" s="3">
        <v>44286</v>
      </c>
      <c r="H12" s="5">
        <v>6</v>
      </c>
      <c r="I12" s="5">
        <v>15</v>
      </c>
      <c r="J12" s="26" t="str" cm="1">
        <f t="array" ref="J12">kp비고(H12,I12)</f>
        <v>9명 부족</v>
      </c>
    </row>
    <row r="13" spans="2:10" x14ac:dyDescent="0.6">
      <c r="B13" s="1" t="s">
        <v>217</v>
      </c>
      <c r="C13" s="1" t="s">
        <v>218</v>
      </c>
      <c r="D13" s="6">
        <v>69000</v>
      </c>
      <c r="E13" s="1" t="s">
        <v>211</v>
      </c>
      <c r="F13" s="3">
        <v>44276</v>
      </c>
      <c r="G13" s="3">
        <v>44291</v>
      </c>
      <c r="H13" s="5">
        <v>5</v>
      </c>
      <c r="I13" s="5">
        <v>12</v>
      </c>
      <c r="J13" s="26" t="str" cm="1">
        <f t="array" ref="J13">kp비고(H13,I13)</f>
        <v>7명 부족</v>
      </c>
    </row>
    <row r="14" spans="2:10" x14ac:dyDescent="0.6">
      <c r="B14" s="1" t="s">
        <v>213</v>
      </c>
      <c r="C14" s="1" t="s">
        <v>214</v>
      </c>
      <c r="D14" s="6">
        <v>80000</v>
      </c>
      <c r="E14" s="1" t="s">
        <v>212</v>
      </c>
      <c r="F14" s="3">
        <v>44307</v>
      </c>
      <c r="G14" s="3">
        <v>44322</v>
      </c>
      <c r="H14" s="5">
        <v>12</v>
      </c>
      <c r="I14" s="5">
        <v>14</v>
      </c>
      <c r="J14" s="26" t="str" cm="1">
        <f t="array" ref="J14">kp비고(H14,I14)</f>
        <v>2명 부족</v>
      </c>
    </row>
    <row r="15" spans="2:10" x14ac:dyDescent="0.6">
      <c r="B15" s="1" t="s">
        <v>215</v>
      </c>
      <c r="C15" s="1" t="s">
        <v>216</v>
      </c>
      <c r="D15" s="6">
        <v>80000</v>
      </c>
      <c r="E15" s="1" t="s">
        <v>209</v>
      </c>
      <c r="F15" s="3">
        <v>44307</v>
      </c>
      <c r="G15" s="3">
        <v>44322</v>
      </c>
      <c r="H15" s="5">
        <v>21</v>
      </c>
      <c r="I15" s="5">
        <v>12</v>
      </c>
      <c r="J15" s="26" t="str" cm="1">
        <f t="array" ref="J15">kp비고(H15,I15)</f>
        <v>9명 초과</v>
      </c>
    </row>
    <row r="16" spans="2:10" x14ac:dyDescent="0.6">
      <c r="B16" s="1" t="s">
        <v>219</v>
      </c>
      <c r="C16" s="1" t="s">
        <v>220</v>
      </c>
      <c r="D16" s="6">
        <v>95000</v>
      </c>
      <c r="E16" s="1" t="s">
        <v>210</v>
      </c>
      <c r="F16" s="3">
        <v>44315</v>
      </c>
      <c r="G16" s="3">
        <v>44330</v>
      </c>
      <c r="H16" s="5">
        <v>20</v>
      </c>
      <c r="I16" s="5">
        <v>15</v>
      </c>
      <c r="J16" s="26" t="str" cm="1">
        <f t="array" ref="J16">kp비고(H16,I16)</f>
        <v>5명 초과</v>
      </c>
    </row>
    <row r="17" spans="2:10" x14ac:dyDescent="0.6">
      <c r="B17" s="1" t="s">
        <v>217</v>
      </c>
      <c r="C17" s="1" t="s">
        <v>218</v>
      </c>
      <c r="D17" s="6">
        <v>69000</v>
      </c>
      <c r="E17" s="1" t="s">
        <v>211</v>
      </c>
      <c r="F17" s="3">
        <v>44322</v>
      </c>
      <c r="G17" s="3">
        <v>44347</v>
      </c>
      <c r="H17" s="5">
        <v>15</v>
      </c>
      <c r="I17" s="5">
        <v>15</v>
      </c>
      <c r="J17" s="26" t="str" cm="1">
        <f t="array" ref="J17">kp비고(H17,I17)</f>
        <v/>
      </c>
    </row>
    <row r="18" spans="2:10" x14ac:dyDescent="0.6">
      <c r="B18" s="1" t="s">
        <v>213</v>
      </c>
      <c r="C18" s="1" t="s">
        <v>214</v>
      </c>
      <c r="D18" s="6">
        <v>80000</v>
      </c>
      <c r="E18" s="1" t="s">
        <v>210</v>
      </c>
      <c r="F18" s="3">
        <v>44331</v>
      </c>
      <c r="G18" s="3">
        <v>44346</v>
      </c>
      <c r="H18" s="5">
        <v>10</v>
      </c>
      <c r="I18" s="5">
        <v>12</v>
      </c>
      <c r="J18" s="26" t="str" cm="1">
        <f t="array" ref="J18">kp비고(H18,I18)</f>
        <v>2명 부족</v>
      </c>
    </row>
    <row r="19" spans="2:10" x14ac:dyDescent="0.6">
      <c r="B19" s="1" t="s">
        <v>207</v>
      </c>
      <c r="C19" s="1" t="s">
        <v>208</v>
      </c>
      <c r="D19" s="6">
        <v>50000</v>
      </c>
      <c r="E19" s="1" t="s">
        <v>211</v>
      </c>
      <c r="F19" s="3">
        <v>44332</v>
      </c>
      <c r="G19" s="3">
        <v>44347</v>
      </c>
      <c r="H19" s="5">
        <v>17</v>
      </c>
      <c r="I19" s="5">
        <v>15</v>
      </c>
      <c r="J19" s="26" t="str" cm="1">
        <f t="array" ref="J19">kp비고(H19,I19)</f>
        <v>2명 초과</v>
      </c>
    </row>
    <row r="20" spans="2:10" x14ac:dyDescent="0.6">
      <c r="B20" s="1" t="s">
        <v>219</v>
      </c>
      <c r="C20" s="1" t="s">
        <v>220</v>
      </c>
      <c r="D20" s="6">
        <v>95000</v>
      </c>
      <c r="E20" s="1" t="s">
        <v>212</v>
      </c>
      <c r="F20" s="3">
        <v>44345</v>
      </c>
      <c r="G20" s="3">
        <v>44360</v>
      </c>
      <c r="H20" s="5">
        <v>4</v>
      </c>
      <c r="I20" s="5">
        <v>12</v>
      </c>
      <c r="J20" s="26" t="str" cm="1">
        <f t="array" ref="J20">kp비고(H20,I20)</f>
        <v>8명 부족</v>
      </c>
    </row>
    <row r="21" spans="2:10" x14ac:dyDescent="0.6">
      <c r="B21" s="1" t="s">
        <v>215</v>
      </c>
      <c r="C21" s="1" t="s">
        <v>216</v>
      </c>
      <c r="D21" s="6">
        <v>80000</v>
      </c>
      <c r="E21" s="1" t="s">
        <v>209</v>
      </c>
      <c r="F21" s="3">
        <v>44351</v>
      </c>
      <c r="G21" s="3">
        <v>44366</v>
      </c>
      <c r="H21" s="5">
        <v>21</v>
      </c>
      <c r="I21" s="5">
        <v>14</v>
      </c>
      <c r="J21" s="26" t="str" cm="1">
        <f t="array" ref="J21">kp비고(H21,I21)</f>
        <v>7명 초과</v>
      </c>
    </row>
    <row r="22" spans="2:10" x14ac:dyDescent="0.6">
      <c r="B22" s="1" t="s">
        <v>219</v>
      </c>
      <c r="C22" s="1" t="s">
        <v>220</v>
      </c>
      <c r="D22" s="6">
        <v>95000</v>
      </c>
      <c r="E22" s="1" t="s">
        <v>209</v>
      </c>
      <c r="F22" s="3">
        <v>44355</v>
      </c>
      <c r="G22" s="3">
        <v>44370</v>
      </c>
      <c r="H22" s="5">
        <v>19</v>
      </c>
      <c r="I22" s="5">
        <v>14</v>
      </c>
      <c r="J22" s="26" t="str" cm="1">
        <f t="array" ref="J22">kp비고(H22,I22)</f>
        <v>5명 초과</v>
      </c>
    </row>
    <row r="23" spans="2:10" x14ac:dyDescent="0.6">
      <c r="B23" s="1" t="s">
        <v>219</v>
      </c>
      <c r="C23" s="1" t="s">
        <v>220</v>
      </c>
      <c r="D23" s="6">
        <v>95000</v>
      </c>
      <c r="E23" s="1" t="s">
        <v>210</v>
      </c>
      <c r="F23" s="3">
        <v>44376</v>
      </c>
      <c r="G23" s="3">
        <v>44391</v>
      </c>
      <c r="H23" s="5">
        <v>20</v>
      </c>
      <c r="I23" s="5">
        <v>12</v>
      </c>
      <c r="J23" s="26" t="str" cm="1">
        <f t="array" ref="J23">kp비고(H23,I23)</f>
        <v>8명 초과</v>
      </c>
    </row>
    <row r="24" spans="2:10" x14ac:dyDescent="0.6">
      <c r="B24" s="1" t="s">
        <v>219</v>
      </c>
      <c r="C24" s="1" t="s">
        <v>220</v>
      </c>
      <c r="D24" s="6">
        <v>95000</v>
      </c>
      <c r="E24" s="1" t="s">
        <v>209</v>
      </c>
      <c r="F24" s="3">
        <v>44385</v>
      </c>
      <c r="G24" s="3">
        <v>44400</v>
      </c>
      <c r="H24" s="5">
        <v>13</v>
      </c>
      <c r="I24" s="5">
        <v>13</v>
      </c>
      <c r="J24" s="26" t="str" cm="1">
        <f t="array" ref="J24">kp비고(H24,I24)</f>
        <v/>
      </c>
    </row>
    <row r="25" spans="2:10" x14ac:dyDescent="0.6">
      <c r="B25" s="1" t="s">
        <v>213</v>
      </c>
      <c r="C25" s="1" t="s">
        <v>214</v>
      </c>
      <c r="D25" s="6">
        <v>80000</v>
      </c>
      <c r="E25" s="1" t="s">
        <v>212</v>
      </c>
      <c r="F25" s="3">
        <v>44388</v>
      </c>
      <c r="G25" s="3">
        <v>44403</v>
      </c>
      <c r="H25" s="5">
        <v>7</v>
      </c>
      <c r="I25" s="5">
        <v>15</v>
      </c>
      <c r="J25" s="26" t="str" cm="1">
        <f t="array" ref="J25">kp비고(H25,I25)</f>
        <v>8명 부족</v>
      </c>
    </row>
    <row r="26" spans="2:10" x14ac:dyDescent="0.6">
      <c r="B26" s="1" t="s">
        <v>213</v>
      </c>
      <c r="C26" s="1" t="s">
        <v>214</v>
      </c>
      <c r="D26" s="6">
        <v>80000</v>
      </c>
      <c r="E26" s="1" t="s">
        <v>212</v>
      </c>
      <c r="F26" s="3">
        <v>44392</v>
      </c>
      <c r="G26" s="3">
        <v>44407</v>
      </c>
      <c r="H26" s="5">
        <v>12</v>
      </c>
      <c r="I26" s="5">
        <v>12</v>
      </c>
      <c r="J26" s="26" t="str" cm="1">
        <f t="array" ref="J26">kp비고(H26,I26)</f>
        <v/>
      </c>
    </row>
    <row r="27" spans="2:10" x14ac:dyDescent="0.6">
      <c r="B27" s="1" t="s">
        <v>215</v>
      </c>
      <c r="C27" s="1" t="s">
        <v>216</v>
      </c>
      <c r="D27" s="6">
        <v>80000</v>
      </c>
      <c r="E27" s="1" t="s">
        <v>209</v>
      </c>
      <c r="F27" s="3">
        <v>44423</v>
      </c>
      <c r="G27" s="3">
        <v>44438</v>
      </c>
      <c r="H27" s="5">
        <v>40</v>
      </c>
      <c r="I27" s="5">
        <v>11</v>
      </c>
      <c r="J27" s="26" t="str" cm="1">
        <f t="array" ref="J27">kp비고(H27,I27)</f>
        <v>29명 초과</v>
      </c>
    </row>
    <row r="28" spans="2:10" x14ac:dyDescent="0.6">
      <c r="B28" s="1" t="s">
        <v>207</v>
      </c>
      <c r="C28" s="1" t="s">
        <v>208</v>
      </c>
      <c r="D28" s="6">
        <v>50000</v>
      </c>
      <c r="E28" s="1" t="s">
        <v>212</v>
      </c>
      <c r="F28" s="3">
        <v>44424</v>
      </c>
      <c r="G28" s="3">
        <v>44439</v>
      </c>
      <c r="H28" s="5">
        <v>35</v>
      </c>
      <c r="I28" s="5">
        <v>15</v>
      </c>
      <c r="J28" s="26" t="str" cm="1">
        <f t="array" ref="J28">kp비고(H28,I28)</f>
        <v>20명 초과</v>
      </c>
    </row>
    <row r="29" spans="2:10" x14ac:dyDescent="0.6">
      <c r="B29" s="1" t="s">
        <v>219</v>
      </c>
      <c r="C29" s="1" t="s">
        <v>220</v>
      </c>
      <c r="D29" s="6">
        <v>95000</v>
      </c>
      <c r="E29" s="1" t="s">
        <v>210</v>
      </c>
      <c r="F29" s="3">
        <v>44424</v>
      </c>
      <c r="G29" s="3">
        <v>44439</v>
      </c>
      <c r="H29" s="5">
        <v>23</v>
      </c>
      <c r="I29" s="5">
        <v>13</v>
      </c>
      <c r="J29" s="26" t="str" cm="1">
        <f t="array" ref="J29">kp비고(H29,I29)</f>
        <v>10명 초과</v>
      </c>
    </row>
    <row r="30" spans="2:10" x14ac:dyDescent="0.6">
      <c r="B30" s="1" t="s">
        <v>213</v>
      </c>
      <c r="C30" s="1" t="s">
        <v>214</v>
      </c>
      <c r="D30" s="6">
        <v>80000</v>
      </c>
      <c r="E30" s="1" t="s">
        <v>209</v>
      </c>
      <c r="F30" s="3">
        <v>44454</v>
      </c>
      <c r="G30" s="3">
        <v>44469</v>
      </c>
      <c r="H30" s="5">
        <v>12</v>
      </c>
      <c r="I30" s="5">
        <v>10</v>
      </c>
      <c r="J30" s="26" t="str" cm="1">
        <f t="array" ref="J30">kp비고(H30,I30)</f>
        <v>2명 초과</v>
      </c>
    </row>
    <row r="31" spans="2:10" x14ac:dyDescent="0.6">
      <c r="B31" s="1" t="s">
        <v>213</v>
      </c>
      <c r="C31" s="1" t="s">
        <v>214</v>
      </c>
      <c r="D31" s="6">
        <v>80000</v>
      </c>
      <c r="E31" s="1" t="s">
        <v>212</v>
      </c>
      <c r="F31" s="3">
        <v>44455</v>
      </c>
      <c r="G31" s="3">
        <v>44470</v>
      </c>
      <c r="H31" s="5">
        <v>13</v>
      </c>
      <c r="I31" s="5">
        <v>11</v>
      </c>
      <c r="J31" s="26" t="str" cm="1">
        <f t="array" ref="J31">kp비고(H31,I31)</f>
        <v>2명 초과</v>
      </c>
    </row>
    <row r="32" spans="2:10" x14ac:dyDescent="0.6">
      <c r="B32" s="1" t="s">
        <v>207</v>
      </c>
      <c r="C32" s="1" t="s">
        <v>208</v>
      </c>
      <c r="D32" s="6">
        <v>50000</v>
      </c>
      <c r="E32" s="1" t="s">
        <v>212</v>
      </c>
      <c r="F32" s="3">
        <v>44460</v>
      </c>
      <c r="G32" s="3">
        <v>44475</v>
      </c>
      <c r="H32" s="5">
        <v>20</v>
      </c>
      <c r="I32" s="5">
        <v>14</v>
      </c>
      <c r="J32" s="26" t="str" cm="1">
        <f t="array" ref="J32">kp비고(H32,I32)</f>
        <v>6명 초과</v>
      </c>
    </row>
    <row r="33" spans="2:10" x14ac:dyDescent="0.6">
      <c r="B33" s="1" t="s">
        <v>217</v>
      </c>
      <c r="C33" s="1" t="s">
        <v>218</v>
      </c>
      <c r="D33" s="6">
        <v>69000</v>
      </c>
      <c r="E33" s="1" t="s">
        <v>211</v>
      </c>
      <c r="F33" s="3">
        <v>44473</v>
      </c>
      <c r="G33" s="3">
        <v>44488</v>
      </c>
      <c r="H33" s="5">
        <v>21</v>
      </c>
      <c r="I33" s="5">
        <v>11</v>
      </c>
      <c r="J33" s="26" t="str" cm="1">
        <f t="array" ref="J33">kp비고(H33,I33)</f>
        <v>10명 초과</v>
      </c>
    </row>
    <row r="34" spans="2:10" x14ac:dyDescent="0.6">
      <c r="B34" s="1" t="s">
        <v>207</v>
      </c>
      <c r="C34" s="1" t="s">
        <v>208</v>
      </c>
      <c r="D34" s="6">
        <v>50000</v>
      </c>
      <c r="E34" s="1" t="s">
        <v>209</v>
      </c>
      <c r="F34" s="3">
        <v>44490</v>
      </c>
      <c r="G34" s="3">
        <v>44505</v>
      </c>
      <c r="H34" s="5">
        <v>5</v>
      </c>
      <c r="I34" s="5">
        <v>15</v>
      </c>
      <c r="J34" s="26" t="str" cm="1">
        <f t="array" ref="J34">kp비고(H34,I34)</f>
        <v>10명 부족</v>
      </c>
    </row>
    <row r="35" spans="2:10" x14ac:dyDescent="0.6">
      <c r="B35" s="1" t="s">
        <v>207</v>
      </c>
      <c r="C35" s="1" t="s">
        <v>208</v>
      </c>
      <c r="D35" s="6">
        <v>50000</v>
      </c>
      <c r="E35" s="1" t="s">
        <v>209</v>
      </c>
      <c r="F35" s="3">
        <v>44491</v>
      </c>
      <c r="G35" s="3">
        <v>44506</v>
      </c>
      <c r="H35" s="5">
        <v>20</v>
      </c>
      <c r="I35" s="5">
        <v>10</v>
      </c>
      <c r="J35" s="26" t="str" cm="1">
        <f t="array" ref="J35">kp비고(H35,I35)</f>
        <v>10명 초과</v>
      </c>
    </row>
    <row r="36" spans="2:10" x14ac:dyDescent="0.6">
      <c r="B36" s="1" t="s">
        <v>215</v>
      </c>
      <c r="C36" s="1" t="s">
        <v>216</v>
      </c>
      <c r="D36" s="6">
        <v>80000</v>
      </c>
      <c r="E36" s="1" t="s">
        <v>209</v>
      </c>
      <c r="F36" s="3">
        <v>44504</v>
      </c>
      <c r="G36" s="3">
        <v>44519</v>
      </c>
      <c r="H36" s="5">
        <v>11</v>
      </c>
      <c r="I36" s="5">
        <v>11</v>
      </c>
      <c r="J36" s="26" t="str" cm="1">
        <f t="array" ref="J36">kp비고(H36,I36)</f>
        <v/>
      </c>
    </row>
    <row r="37" spans="2:10" x14ac:dyDescent="0.6">
      <c r="B37" s="1" t="s">
        <v>217</v>
      </c>
      <c r="C37" s="1" t="s">
        <v>218</v>
      </c>
      <c r="D37" s="6">
        <v>69000</v>
      </c>
      <c r="E37" s="1" t="s">
        <v>211</v>
      </c>
      <c r="F37" s="3">
        <v>44511</v>
      </c>
      <c r="G37" s="3">
        <v>44526</v>
      </c>
      <c r="H37" s="5">
        <v>13</v>
      </c>
      <c r="I37" s="5">
        <v>13</v>
      </c>
      <c r="J37" s="26" t="str" cm="1">
        <f t="array" ref="J37">kp비고(H37,I37)</f>
        <v/>
      </c>
    </row>
    <row r="38" spans="2:10" x14ac:dyDescent="0.6">
      <c r="B38" s="1" t="s">
        <v>219</v>
      </c>
      <c r="C38" s="1" t="s">
        <v>220</v>
      </c>
      <c r="D38" s="6">
        <v>95000</v>
      </c>
      <c r="E38" s="1" t="s">
        <v>212</v>
      </c>
      <c r="F38" s="3">
        <v>44529</v>
      </c>
      <c r="G38" s="3">
        <v>44544</v>
      </c>
      <c r="H38" s="5">
        <v>15</v>
      </c>
      <c r="I38" s="5">
        <v>15</v>
      </c>
      <c r="J38" s="26" t="str" cm="1">
        <f t="array" ref="J38">kp비고(H38,I38)</f>
        <v/>
      </c>
    </row>
    <row r="39" spans="2:10" x14ac:dyDescent="0.6">
      <c r="B39" s="1" t="s">
        <v>215</v>
      </c>
      <c r="C39" s="1" t="s">
        <v>216</v>
      </c>
      <c r="D39" s="6">
        <v>80000</v>
      </c>
      <c r="E39" s="1" t="s">
        <v>209</v>
      </c>
      <c r="F39" s="3">
        <v>44534</v>
      </c>
      <c r="G39" s="3">
        <v>44549</v>
      </c>
      <c r="H39" s="5">
        <v>9</v>
      </c>
      <c r="I39" s="5">
        <v>10</v>
      </c>
      <c r="J39" s="26" t="str" cm="1">
        <f t="array" ref="J39">kp비고(H39,I39)</f>
        <v>1명 부족</v>
      </c>
    </row>
    <row r="40" spans="2:10" x14ac:dyDescent="0.6">
      <c r="B40" s="1" t="s">
        <v>213</v>
      </c>
      <c r="C40" s="1" t="s">
        <v>214</v>
      </c>
      <c r="D40" s="6">
        <v>80000</v>
      </c>
      <c r="E40" s="1" t="s">
        <v>210</v>
      </c>
      <c r="F40" s="3">
        <v>44541</v>
      </c>
      <c r="G40" s="3">
        <v>44556</v>
      </c>
      <c r="H40" s="5">
        <v>13</v>
      </c>
      <c r="I40" s="5">
        <v>10</v>
      </c>
      <c r="J40" s="26" t="str" cm="1">
        <f t="array" ref="J40">kp비고(H40,I40)</f>
        <v>3명 초과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I40"/>
  <sheetViews>
    <sheetView zoomScaleNormal="100" workbookViewId="0">
      <selection activeCell="J1" sqref="J1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308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kp평가(H4)</f>
        <v>A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kp평가(H5)</f>
        <v>B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kp평가(H6)</f>
        <v>A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kp평가(H7)</f>
        <v>F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kp평가(H8)</f>
        <v>B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kp평가(H9)</f>
        <v>B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kp평가(H10)</f>
        <v>A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kp평가(H11)</f>
        <v>D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kp평가(H12)</f>
        <v>A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kp평가(H13)</f>
        <v>B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kp평가(H14)</f>
        <v>B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kp평가(H15)</f>
        <v>A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>
        <v>662</v>
      </c>
      <c r="I16" s="1" t="str" cm="1">
        <f t="array" ref="I16">kp평가(H16)</f>
        <v>D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kp평가(H17)</f>
        <v>A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kp평가(H18)</f>
        <v>F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kp평가(H19)</f>
        <v>A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kp평가(H20)</f>
        <v>D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kp평가(H21)</f>
        <v>F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>
        <v>769</v>
      </c>
      <c r="I22" s="1" t="str" cm="1">
        <f t="array" ref="I22">kp평가(H22)</f>
        <v>C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kp평가(H23)</f>
        <v>A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kp평가(H24)</f>
        <v>B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>
        <v>957</v>
      </c>
      <c r="I25" s="1" t="str" cm="1">
        <f t="array" ref="I25">kp평가(H25)</f>
        <v>A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kp평가(H26)</f>
        <v>A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kp평가(H27)</f>
        <v>A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kp평가(H28)</f>
        <v>B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kp평가(H29)</f>
        <v>A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kp평가(H30)</f>
        <v>B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767</v>
      </c>
      <c r="I31" s="1" t="str" cm="1">
        <f t="array" ref="I31">kp평가(H31)</f>
        <v>C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>
        <v>893</v>
      </c>
      <c r="I32" s="1" t="str" cm="1">
        <f t="array" ref="I32">kp평가(H32)</f>
        <v>B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kp평가(H33)</f>
        <v>F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kp평가(H34)</f>
        <v>D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kp평가(H35)</f>
        <v>A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kp평가(H36)</f>
        <v>F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>
        <v>871</v>
      </c>
      <c r="I37" s="1" t="str" cm="1">
        <f t="array" ref="I37">kp평가(H37)</f>
        <v>B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kp평가(H38)</f>
        <v>A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>
        <v>642</v>
      </c>
      <c r="I39" s="1" t="str" cm="1">
        <f t="array" ref="I39">kp평가(H39)</f>
        <v>D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kp평가(H40)</f>
        <v>A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2:I40"/>
  <sheetViews>
    <sheetView zoomScaleNormal="100" workbookViewId="0">
      <selection activeCell="J1" sqref="J1"/>
    </sheetView>
  </sheetViews>
  <sheetFormatPr defaultRowHeight="16.899999999999999" x14ac:dyDescent="0.6"/>
  <cols>
    <col min="1" max="1" width="2.5625" customWidth="1"/>
    <col min="2" max="2" width="10" bestFit="1" customWidth="1"/>
    <col min="4" max="4" width="13.9375" bestFit="1" customWidth="1"/>
    <col min="5" max="5" width="10.0625" bestFit="1" customWidth="1"/>
    <col min="6" max="7" width="10.5625" bestFit="1" customWidth="1"/>
    <col min="9" max="9" width="10.0625" bestFit="1" customWidth="1"/>
    <col min="12" max="12" width="13.9375" bestFit="1" customWidth="1"/>
    <col min="14" max="15" width="10.5625" bestFit="1" customWidth="1"/>
  </cols>
  <sheetData>
    <row r="2" spans="2:9" x14ac:dyDescent="0.6">
      <c r="B2" t="s">
        <v>303</v>
      </c>
    </row>
    <row r="3" spans="2:9" x14ac:dyDescent="0.6">
      <c r="B3" s="19" t="s">
        <v>62</v>
      </c>
      <c r="C3" s="19" t="s">
        <v>3</v>
      </c>
      <c r="D3" s="19" t="s">
        <v>66</v>
      </c>
      <c r="E3" s="19" t="s">
        <v>222</v>
      </c>
      <c r="F3" s="19" t="s">
        <v>223</v>
      </c>
      <c r="G3" s="19" t="s">
        <v>224</v>
      </c>
      <c r="H3" s="19" t="s">
        <v>225</v>
      </c>
      <c r="I3" s="42" t="s">
        <v>309</v>
      </c>
    </row>
    <row r="4" spans="2:9" x14ac:dyDescent="0.6">
      <c r="B4" s="1" t="s">
        <v>226</v>
      </c>
      <c r="C4" s="1" t="s">
        <v>227</v>
      </c>
      <c r="D4" s="1" t="s">
        <v>228</v>
      </c>
      <c r="E4" s="1" t="s">
        <v>229</v>
      </c>
      <c r="F4" s="3">
        <v>44390</v>
      </c>
      <c r="G4" s="3">
        <v>44408</v>
      </c>
      <c r="H4" s="1">
        <v>936</v>
      </c>
      <c r="I4" s="1" t="str" cm="1">
        <f t="array" ref="I4">kp점수차트(H4)</f>
        <v>♣♣♣♣</v>
      </c>
    </row>
    <row r="5" spans="2:9" x14ac:dyDescent="0.6">
      <c r="B5" s="1" t="s">
        <v>226</v>
      </c>
      <c r="C5" s="1" t="s">
        <v>227</v>
      </c>
      <c r="D5" s="1" t="s">
        <v>228</v>
      </c>
      <c r="E5" s="1" t="s">
        <v>230</v>
      </c>
      <c r="F5" s="3">
        <v>44389</v>
      </c>
      <c r="G5" s="3">
        <v>44407</v>
      </c>
      <c r="H5" s="1">
        <v>838</v>
      </c>
      <c r="I5" s="1" t="str" cm="1">
        <f t="array" ref="I5">kp점수차트(H5)</f>
        <v>♣♣♣♣</v>
      </c>
    </row>
    <row r="6" spans="2:9" x14ac:dyDescent="0.6">
      <c r="B6" s="1" t="s">
        <v>226</v>
      </c>
      <c r="C6" s="1" t="s">
        <v>227</v>
      </c>
      <c r="D6" s="1" t="s">
        <v>228</v>
      </c>
      <c r="E6" s="1" t="s">
        <v>231</v>
      </c>
      <c r="F6" s="3">
        <v>44389.546122685198</v>
      </c>
      <c r="G6" s="3">
        <v>44397.661805555603</v>
      </c>
      <c r="H6" s="1">
        <v>975</v>
      </c>
      <c r="I6" s="1" t="str" cm="1">
        <f t="array" ref="I6">kp점수차트(H6)</f>
        <v>♣♣♣♣</v>
      </c>
    </row>
    <row r="7" spans="2:9" x14ac:dyDescent="0.6">
      <c r="B7" s="1" t="s">
        <v>226</v>
      </c>
      <c r="C7" s="1" t="s">
        <v>227</v>
      </c>
      <c r="D7" s="1" t="s">
        <v>228</v>
      </c>
      <c r="E7" s="1" t="s">
        <v>232</v>
      </c>
      <c r="F7" s="3">
        <v>44390.571458333303</v>
      </c>
      <c r="G7" s="3">
        <v>44404.706944444399</v>
      </c>
      <c r="H7" s="1">
        <v>379</v>
      </c>
      <c r="I7" s="1" t="str" cm="1">
        <f t="array" ref="I7">kp점수차트(H7)</f>
        <v>♣</v>
      </c>
    </row>
    <row r="8" spans="2:9" x14ac:dyDescent="0.6">
      <c r="B8" s="1" t="s">
        <v>233</v>
      </c>
      <c r="C8" s="1" t="s">
        <v>234</v>
      </c>
      <c r="D8" s="1" t="s">
        <v>228</v>
      </c>
      <c r="E8" s="1" t="s">
        <v>229</v>
      </c>
      <c r="F8" s="3">
        <v>44392</v>
      </c>
      <c r="G8" s="3">
        <v>44408</v>
      </c>
      <c r="H8" s="1">
        <v>893</v>
      </c>
      <c r="I8" s="1" t="str" cm="1">
        <f t="array" ref="I8">kp점수차트(H8)</f>
        <v>♣♣♣♣</v>
      </c>
    </row>
    <row r="9" spans="2:9" x14ac:dyDescent="0.6">
      <c r="B9" s="1" t="s">
        <v>233</v>
      </c>
      <c r="C9" s="1" t="s">
        <v>234</v>
      </c>
      <c r="D9" s="1" t="s">
        <v>228</v>
      </c>
      <c r="E9" s="1" t="s">
        <v>232</v>
      </c>
      <c r="F9" s="3">
        <v>44392.771400463003</v>
      </c>
      <c r="G9" s="3">
        <v>44406.668055555601</v>
      </c>
      <c r="H9" s="1">
        <v>800</v>
      </c>
      <c r="I9" s="1" t="str" cm="1">
        <f t="array" ref="I9">kp점수차트(H9)</f>
        <v>♣♣♣♣</v>
      </c>
    </row>
    <row r="10" spans="2:9" x14ac:dyDescent="0.6">
      <c r="B10" s="1" t="s">
        <v>235</v>
      </c>
      <c r="C10" s="1" t="s">
        <v>236</v>
      </c>
      <c r="D10" s="1" t="s">
        <v>228</v>
      </c>
      <c r="E10" s="1" t="s">
        <v>231</v>
      </c>
      <c r="F10" s="3">
        <v>44393.390810185199</v>
      </c>
      <c r="G10" s="3">
        <v>44399.644444444399</v>
      </c>
      <c r="H10" s="1">
        <v>975</v>
      </c>
      <c r="I10" s="1" t="str" cm="1">
        <f t="array" ref="I10">kp점수차트(H10)</f>
        <v>♣♣♣♣</v>
      </c>
    </row>
    <row r="11" spans="2:9" x14ac:dyDescent="0.6">
      <c r="B11" s="1" t="s">
        <v>235</v>
      </c>
      <c r="C11" s="1" t="s">
        <v>236</v>
      </c>
      <c r="D11" s="1" t="s">
        <v>228</v>
      </c>
      <c r="E11" s="1" t="s">
        <v>232</v>
      </c>
      <c r="F11" s="3">
        <v>44393.484884259298</v>
      </c>
      <c r="G11" s="3">
        <v>44406.668055555601</v>
      </c>
      <c r="H11" s="1">
        <v>653</v>
      </c>
      <c r="I11" s="1" t="str" cm="1">
        <f t="array" ref="I11">kp점수차트(H11)</f>
        <v>♣♣♣</v>
      </c>
    </row>
    <row r="12" spans="2:9" x14ac:dyDescent="0.6">
      <c r="B12" s="1" t="s">
        <v>237</v>
      </c>
      <c r="C12" s="1" t="s">
        <v>215</v>
      </c>
      <c r="D12" s="1" t="s">
        <v>238</v>
      </c>
      <c r="E12" s="1" t="s">
        <v>231</v>
      </c>
      <c r="F12" s="3">
        <v>44389.565798611096</v>
      </c>
      <c r="G12" s="3">
        <v>44399.644444444399</v>
      </c>
      <c r="H12" s="1">
        <v>979</v>
      </c>
      <c r="I12" s="1" t="str" cm="1">
        <f t="array" ref="I12">kp점수차트(H12)</f>
        <v>♣♣♣♣</v>
      </c>
    </row>
    <row r="13" spans="2:9" x14ac:dyDescent="0.6">
      <c r="B13" s="1" t="s">
        <v>237</v>
      </c>
      <c r="C13" s="1" t="s">
        <v>215</v>
      </c>
      <c r="D13" s="1" t="s">
        <v>238</v>
      </c>
      <c r="E13" s="1" t="s">
        <v>232</v>
      </c>
      <c r="F13" s="3">
        <v>44393.392615740697</v>
      </c>
      <c r="G13" s="3">
        <v>44406.699305555601</v>
      </c>
      <c r="H13" s="1">
        <v>862</v>
      </c>
      <c r="I13" s="1" t="str" cm="1">
        <f t="array" ref="I13">kp점수차트(H13)</f>
        <v>♣♣♣♣</v>
      </c>
    </row>
    <row r="14" spans="2:9" x14ac:dyDescent="0.6">
      <c r="B14" s="1" t="s">
        <v>239</v>
      </c>
      <c r="C14" s="1" t="s">
        <v>240</v>
      </c>
      <c r="D14" s="1" t="s">
        <v>241</v>
      </c>
      <c r="E14" s="1" t="s">
        <v>231</v>
      </c>
      <c r="F14" s="3">
        <v>44389.5624537037</v>
      </c>
      <c r="G14" s="3">
        <v>44399.644444444399</v>
      </c>
      <c r="H14" s="1">
        <v>893</v>
      </c>
      <c r="I14" s="1" t="str" cm="1">
        <f t="array" ref="I14">kp점수차트(H14)</f>
        <v>♣♣♣♣</v>
      </c>
    </row>
    <row r="15" spans="2:9" x14ac:dyDescent="0.6">
      <c r="B15" s="1" t="s">
        <v>242</v>
      </c>
      <c r="C15" s="1" t="s">
        <v>243</v>
      </c>
      <c r="D15" s="1" t="s">
        <v>241</v>
      </c>
      <c r="E15" s="1" t="s">
        <v>232</v>
      </c>
      <c r="F15" s="3">
        <v>44386.666400463</v>
      </c>
      <c r="G15" s="3">
        <v>44404.715972222199</v>
      </c>
      <c r="H15" s="1">
        <v>908</v>
      </c>
      <c r="I15" s="1" t="str" cm="1">
        <f t="array" ref="I15">kp점수차트(H15)</f>
        <v>♣♣♣♣</v>
      </c>
    </row>
    <row r="16" spans="2:9" x14ac:dyDescent="0.6">
      <c r="B16" s="1" t="s">
        <v>244</v>
      </c>
      <c r="C16" s="1" t="s">
        <v>245</v>
      </c>
      <c r="D16" s="1" t="s">
        <v>241</v>
      </c>
      <c r="E16" s="1" t="s">
        <v>231</v>
      </c>
      <c r="F16" s="3">
        <v>44389.562384259298</v>
      </c>
      <c r="G16" s="3">
        <v>44399.672222222202</v>
      </c>
      <c r="H16" s="1"/>
      <c r="I16" s="1" t="str" cm="1">
        <f t="array" ref="I16">kp점수차트(H16)</f>
        <v>재시험</v>
      </c>
    </row>
    <row r="17" spans="2:9" x14ac:dyDescent="0.6">
      <c r="B17" s="1" t="s">
        <v>246</v>
      </c>
      <c r="C17" s="1" t="s">
        <v>247</v>
      </c>
      <c r="D17" s="1" t="s">
        <v>238</v>
      </c>
      <c r="E17" s="1" t="s">
        <v>229</v>
      </c>
      <c r="F17" s="3">
        <v>44386</v>
      </c>
      <c r="G17" s="3">
        <v>44408</v>
      </c>
      <c r="H17" s="1">
        <v>925</v>
      </c>
      <c r="I17" s="1" t="str" cm="1">
        <f t="array" ref="I17">kp점수차트(H17)</f>
        <v>♣♣♣♣</v>
      </c>
    </row>
    <row r="18" spans="2:9" x14ac:dyDescent="0.6">
      <c r="B18" s="1" t="s">
        <v>248</v>
      </c>
      <c r="C18" s="1" t="s">
        <v>249</v>
      </c>
      <c r="D18" s="1" t="s">
        <v>228</v>
      </c>
      <c r="E18" s="1" t="s">
        <v>229</v>
      </c>
      <c r="F18" s="3">
        <v>44390</v>
      </c>
      <c r="G18" s="3">
        <v>44408</v>
      </c>
      <c r="H18" s="1">
        <v>567</v>
      </c>
      <c r="I18" s="1" t="str" cm="1">
        <f t="array" ref="I18">kp점수차트(H18)</f>
        <v>♣♣</v>
      </c>
    </row>
    <row r="19" spans="2:9" x14ac:dyDescent="0.6">
      <c r="B19" s="1" t="s">
        <v>248</v>
      </c>
      <c r="C19" s="1" t="s">
        <v>249</v>
      </c>
      <c r="D19" s="1" t="s">
        <v>228</v>
      </c>
      <c r="E19" s="1" t="s">
        <v>231</v>
      </c>
      <c r="F19" s="3">
        <v>44389.551261574103</v>
      </c>
      <c r="G19" s="3">
        <v>44397.663194444402</v>
      </c>
      <c r="H19" s="1">
        <v>975</v>
      </c>
      <c r="I19" s="1" t="str" cm="1">
        <f t="array" ref="I19">kp점수차트(H19)</f>
        <v>♣♣♣♣</v>
      </c>
    </row>
    <row r="20" spans="2:9" x14ac:dyDescent="0.6">
      <c r="B20" s="1" t="s">
        <v>248</v>
      </c>
      <c r="C20" s="1" t="s">
        <v>249</v>
      </c>
      <c r="D20" s="1" t="s">
        <v>228</v>
      </c>
      <c r="E20" s="1" t="s">
        <v>232</v>
      </c>
      <c r="F20" s="3">
        <v>44390.594143518501</v>
      </c>
      <c r="G20" s="3">
        <v>44404.714583333298</v>
      </c>
      <c r="H20" s="1">
        <v>655</v>
      </c>
      <c r="I20" s="1" t="str" cm="1">
        <f t="array" ref="I20">kp점수차트(H20)</f>
        <v>♣♣♣</v>
      </c>
    </row>
    <row r="21" spans="2:9" x14ac:dyDescent="0.6">
      <c r="B21" s="1" t="s">
        <v>250</v>
      </c>
      <c r="C21" s="1" t="s">
        <v>0</v>
      </c>
      <c r="D21" s="1" t="s">
        <v>238</v>
      </c>
      <c r="E21" s="1" t="s">
        <v>231</v>
      </c>
      <c r="F21" s="3">
        <v>44390.412962962997</v>
      </c>
      <c r="G21" s="3">
        <v>44399.644444444399</v>
      </c>
      <c r="H21" s="1">
        <v>567</v>
      </c>
      <c r="I21" s="1" t="str" cm="1">
        <f t="array" ref="I21">kp점수차트(H21)</f>
        <v>♣♣</v>
      </c>
    </row>
    <row r="22" spans="2:9" x14ac:dyDescent="0.6">
      <c r="B22" s="1" t="s">
        <v>250</v>
      </c>
      <c r="C22" s="1" t="s">
        <v>0</v>
      </c>
      <c r="D22" s="1" t="s">
        <v>238</v>
      </c>
      <c r="E22" s="1" t="s">
        <v>232</v>
      </c>
      <c r="F22" s="3">
        <v>44390.558379629598</v>
      </c>
      <c r="G22" s="3">
        <v>44406.697916666701</v>
      </c>
      <c r="H22" s="1"/>
      <c r="I22" s="1" t="str" cm="1">
        <f t="array" ref="I22">kp점수차트(H22)</f>
        <v>재시험</v>
      </c>
    </row>
    <row r="23" spans="2:9" x14ac:dyDescent="0.6">
      <c r="B23" s="1" t="s">
        <v>250</v>
      </c>
      <c r="C23" s="1" t="s">
        <v>0</v>
      </c>
      <c r="D23" s="1" t="s">
        <v>238</v>
      </c>
      <c r="E23" s="1" t="s">
        <v>229</v>
      </c>
      <c r="F23" s="3">
        <v>44390</v>
      </c>
      <c r="G23" s="3">
        <v>44408</v>
      </c>
      <c r="H23" s="1">
        <v>936</v>
      </c>
      <c r="I23" s="1" t="str" cm="1">
        <f t="array" ref="I23">kp점수차트(H23)</f>
        <v>♣♣♣♣</v>
      </c>
    </row>
    <row r="24" spans="2:9" x14ac:dyDescent="0.6">
      <c r="B24" s="1" t="s">
        <v>251</v>
      </c>
      <c r="C24" s="1" t="s">
        <v>252</v>
      </c>
      <c r="D24" s="1" t="s">
        <v>241</v>
      </c>
      <c r="E24" s="1" t="s">
        <v>232</v>
      </c>
      <c r="F24" s="3">
        <v>44390.558564814797</v>
      </c>
      <c r="G24" s="3">
        <v>44404.770138888904</v>
      </c>
      <c r="H24" s="1">
        <v>838</v>
      </c>
      <c r="I24" s="1" t="str" cm="1">
        <f t="array" ref="I24">kp점수차트(H24)</f>
        <v>♣♣♣♣</v>
      </c>
    </row>
    <row r="25" spans="2:9" x14ac:dyDescent="0.6">
      <c r="B25" s="1" t="s">
        <v>251</v>
      </c>
      <c r="C25" s="1" t="s">
        <v>252</v>
      </c>
      <c r="D25" s="1" t="s">
        <v>241</v>
      </c>
      <c r="E25" s="1" t="s">
        <v>231</v>
      </c>
      <c r="F25" s="3">
        <v>44389.550844907397</v>
      </c>
      <c r="G25" s="3">
        <v>44397.685416666704</v>
      </c>
      <c r="H25" s="1"/>
      <c r="I25" s="1" t="str" cm="1">
        <f t="array" ref="I25">kp점수차트(H25)</f>
        <v>재시험</v>
      </c>
    </row>
    <row r="26" spans="2:9" x14ac:dyDescent="0.6">
      <c r="B26" s="1" t="s">
        <v>251</v>
      </c>
      <c r="C26" s="1" t="s">
        <v>252</v>
      </c>
      <c r="D26" s="1" t="s">
        <v>241</v>
      </c>
      <c r="E26" s="1" t="s">
        <v>229</v>
      </c>
      <c r="F26" s="3">
        <v>44390</v>
      </c>
      <c r="G26" s="3">
        <v>44408</v>
      </c>
      <c r="H26" s="1">
        <v>936</v>
      </c>
      <c r="I26" s="1" t="str" cm="1">
        <f t="array" ref="I26">kp점수차트(H26)</f>
        <v>♣♣♣♣</v>
      </c>
    </row>
    <row r="27" spans="2:9" x14ac:dyDescent="0.6">
      <c r="B27" s="1" t="s">
        <v>253</v>
      </c>
      <c r="C27" s="1" t="s">
        <v>254</v>
      </c>
      <c r="D27" s="1" t="s">
        <v>228</v>
      </c>
      <c r="E27" s="1" t="s">
        <v>229</v>
      </c>
      <c r="F27" s="3">
        <v>44386</v>
      </c>
      <c r="G27" s="3">
        <v>44408</v>
      </c>
      <c r="H27" s="1">
        <v>975</v>
      </c>
      <c r="I27" s="1" t="str" cm="1">
        <f t="array" ref="I27">kp점수차트(H27)</f>
        <v>♣♣♣♣</v>
      </c>
    </row>
    <row r="28" spans="2:9" x14ac:dyDescent="0.6">
      <c r="B28" s="1" t="s">
        <v>253</v>
      </c>
      <c r="C28" s="1" t="s">
        <v>254</v>
      </c>
      <c r="D28" s="1" t="s">
        <v>228</v>
      </c>
      <c r="E28" s="1" t="s">
        <v>232</v>
      </c>
      <c r="F28" s="3">
        <v>44386.815740740698</v>
      </c>
      <c r="G28" s="3">
        <v>44406.667361111096</v>
      </c>
      <c r="H28" s="1">
        <v>800</v>
      </c>
      <c r="I28" s="1" t="str" cm="1">
        <f t="array" ref="I28">kp점수차트(H28)</f>
        <v>♣♣♣♣</v>
      </c>
    </row>
    <row r="29" spans="2:9" x14ac:dyDescent="0.6">
      <c r="B29" s="1" t="s">
        <v>253</v>
      </c>
      <c r="C29" s="1" t="s">
        <v>254</v>
      </c>
      <c r="D29" s="1" t="s">
        <v>228</v>
      </c>
      <c r="E29" s="1" t="s">
        <v>231</v>
      </c>
      <c r="F29" s="3">
        <v>44390.647881944402</v>
      </c>
      <c r="G29" s="3">
        <v>44399.644444444399</v>
      </c>
      <c r="H29" s="1">
        <v>1000</v>
      </c>
      <c r="I29" s="1" t="str" cm="1">
        <f t="array" ref="I29">kp점수차트(H29)</f>
        <v>♣♣♣♣♣</v>
      </c>
    </row>
    <row r="30" spans="2:9" x14ac:dyDescent="0.6">
      <c r="B30" s="1" t="s">
        <v>255</v>
      </c>
      <c r="C30" s="1" t="s">
        <v>256</v>
      </c>
      <c r="D30" s="1" t="s">
        <v>238</v>
      </c>
      <c r="E30" s="1" t="s">
        <v>230</v>
      </c>
      <c r="F30" s="3">
        <v>44391</v>
      </c>
      <c r="G30" s="3">
        <v>44407</v>
      </c>
      <c r="H30" s="1">
        <v>838</v>
      </c>
      <c r="I30" s="1" t="str" cm="1">
        <f t="array" ref="I30">kp점수차트(H30)</f>
        <v>♣♣♣♣</v>
      </c>
    </row>
    <row r="31" spans="2:9" x14ac:dyDescent="0.6">
      <c r="B31" s="1" t="s">
        <v>255</v>
      </c>
      <c r="C31" s="1" t="s">
        <v>256</v>
      </c>
      <c r="D31" s="1" t="s">
        <v>238</v>
      </c>
      <c r="E31" s="1" t="s">
        <v>232</v>
      </c>
      <c r="F31" s="3">
        <v>44386.665208333303</v>
      </c>
      <c r="G31" s="3">
        <v>44404.752777777801</v>
      </c>
      <c r="H31" s="1">
        <v>120</v>
      </c>
      <c r="I31" s="1" t="str" cm="1">
        <f t="array" ref="I31">kp점수차트(H31)</f>
        <v>재시험</v>
      </c>
    </row>
    <row r="32" spans="2:9" x14ac:dyDescent="0.6">
      <c r="B32" s="1" t="s">
        <v>255</v>
      </c>
      <c r="C32" s="1" t="s">
        <v>256</v>
      </c>
      <c r="D32" s="1" t="s">
        <v>238</v>
      </c>
      <c r="E32" s="1" t="s">
        <v>229</v>
      </c>
      <c r="F32" s="3">
        <v>44386</v>
      </c>
      <c r="G32" s="3">
        <v>44408</v>
      </c>
      <c r="H32" s="1"/>
      <c r="I32" s="1" t="str" cm="1">
        <f t="array" ref="I32">kp점수차트(H32)</f>
        <v>재시험</v>
      </c>
    </row>
    <row r="33" spans="2:9" x14ac:dyDescent="0.6">
      <c r="B33" s="1" t="s">
        <v>255</v>
      </c>
      <c r="C33" s="1" t="s">
        <v>256</v>
      </c>
      <c r="D33" s="1" t="s">
        <v>238</v>
      </c>
      <c r="E33" s="1" t="s">
        <v>231</v>
      </c>
      <c r="F33" s="3">
        <v>44391.693402777797</v>
      </c>
      <c r="G33" s="3">
        <v>44397.691666666702</v>
      </c>
      <c r="H33" s="1">
        <v>555</v>
      </c>
      <c r="I33" s="1" t="str" cm="1">
        <f t="array" ref="I33">kp점수차트(H33)</f>
        <v>♣♣</v>
      </c>
    </row>
    <row r="34" spans="2:9" x14ac:dyDescent="0.6">
      <c r="B34" s="1" t="s">
        <v>257</v>
      </c>
      <c r="C34" s="1" t="s">
        <v>258</v>
      </c>
      <c r="D34" s="1" t="s">
        <v>241</v>
      </c>
      <c r="E34" s="1" t="s">
        <v>232</v>
      </c>
      <c r="F34" s="3">
        <v>44392.8386805556</v>
      </c>
      <c r="G34" s="3">
        <v>44406.668055555601</v>
      </c>
      <c r="H34" s="1">
        <v>642</v>
      </c>
      <c r="I34" s="1" t="str" cm="1">
        <f t="array" ref="I34">kp점수차트(H34)</f>
        <v>♣♣♣</v>
      </c>
    </row>
    <row r="35" spans="2:9" x14ac:dyDescent="0.6">
      <c r="B35" s="1" t="s">
        <v>257</v>
      </c>
      <c r="C35" s="1" t="s">
        <v>258</v>
      </c>
      <c r="D35" s="1" t="s">
        <v>241</v>
      </c>
      <c r="E35" s="1" t="s">
        <v>231</v>
      </c>
      <c r="F35" s="3">
        <v>44389.571284722202</v>
      </c>
      <c r="G35" s="3">
        <v>44399.644444444399</v>
      </c>
      <c r="H35" s="1">
        <v>950</v>
      </c>
      <c r="I35" s="1" t="str" cm="1">
        <f t="array" ref="I35">kp점수차트(H35)</f>
        <v>♣♣♣♣</v>
      </c>
    </row>
    <row r="36" spans="2:9" x14ac:dyDescent="0.6">
      <c r="B36" s="1" t="s">
        <v>259</v>
      </c>
      <c r="C36" s="1" t="s">
        <v>260</v>
      </c>
      <c r="D36" s="1" t="s">
        <v>238</v>
      </c>
      <c r="E36" s="1" t="s">
        <v>229</v>
      </c>
      <c r="F36" s="3">
        <v>44389</v>
      </c>
      <c r="G36" s="3">
        <v>44408</v>
      </c>
      <c r="H36" s="1">
        <v>345</v>
      </c>
      <c r="I36" s="1" t="str" cm="1">
        <f t="array" ref="I36">kp점수차트(H36)</f>
        <v>♣</v>
      </c>
    </row>
    <row r="37" spans="2:9" x14ac:dyDescent="0.6">
      <c r="B37" s="1" t="s">
        <v>261</v>
      </c>
      <c r="C37" s="1" t="s">
        <v>221</v>
      </c>
      <c r="D37" s="1" t="s">
        <v>228</v>
      </c>
      <c r="E37" s="1" t="s">
        <v>231</v>
      </c>
      <c r="F37" s="3">
        <v>44390.552060185197</v>
      </c>
      <c r="G37" s="3">
        <v>44399.644444444399</v>
      </c>
      <c r="H37" s="1"/>
      <c r="I37" s="1" t="str" cm="1">
        <f t="array" ref="I37">kp점수차트(H37)</f>
        <v>재시험</v>
      </c>
    </row>
    <row r="38" spans="2:9" x14ac:dyDescent="0.6">
      <c r="B38" s="1" t="s">
        <v>262</v>
      </c>
      <c r="C38" s="1" t="s">
        <v>263</v>
      </c>
      <c r="D38" s="1" t="s">
        <v>228</v>
      </c>
      <c r="E38" s="1" t="s">
        <v>231</v>
      </c>
      <c r="F38" s="3">
        <v>44386.810543981497</v>
      </c>
      <c r="G38" s="3">
        <v>44399.661805555603</v>
      </c>
      <c r="H38" s="1">
        <v>914</v>
      </c>
      <c r="I38" s="1" t="str" cm="1">
        <f t="array" ref="I38">kp점수차트(H38)</f>
        <v>♣♣♣♣</v>
      </c>
    </row>
    <row r="39" spans="2:9" x14ac:dyDescent="0.6">
      <c r="B39" s="1" t="s">
        <v>262</v>
      </c>
      <c r="C39" s="1" t="s">
        <v>263</v>
      </c>
      <c r="D39" s="1" t="s">
        <v>228</v>
      </c>
      <c r="E39" s="1" t="s">
        <v>232</v>
      </c>
      <c r="F39" s="3">
        <v>44386.720694444397</v>
      </c>
      <c r="G39" s="3">
        <v>44404.704861111102</v>
      </c>
      <c r="H39" s="1"/>
      <c r="I39" s="1" t="str" cm="1">
        <f t="array" ref="I39">kp점수차트(H39)</f>
        <v>재시험</v>
      </c>
    </row>
    <row r="40" spans="2:9" x14ac:dyDescent="0.6">
      <c r="B40" s="1" t="s">
        <v>264</v>
      </c>
      <c r="C40" s="1" t="s">
        <v>265</v>
      </c>
      <c r="D40" s="1" t="s">
        <v>238</v>
      </c>
      <c r="E40" s="1" t="s">
        <v>231</v>
      </c>
      <c r="F40" s="3">
        <v>44390.594143518501</v>
      </c>
      <c r="G40" s="3">
        <v>44399.665972222203</v>
      </c>
      <c r="H40" s="1">
        <v>975</v>
      </c>
      <c r="I40" s="1" t="str" cm="1">
        <f t="array" ref="I40">kp점수차트(H40)</f>
        <v>♣♣♣♣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B2:K25"/>
  <sheetViews>
    <sheetView zoomScale="115" zoomScaleNormal="115" workbookViewId="0">
      <selection activeCell="L1" sqref="L1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310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kp파종분기(B4,H4)</f>
        <v>1분기A0077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kp파종분기(B5,H5)</f>
        <v>2분기A1002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kp파종분기(B6,H6)</f>
        <v>1분기A1005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kp파종분기(B7,H7)</f>
        <v>2분기A1355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kp파종분기(B8,H8)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kp파종분기(B9,H9)</f>
        <v>1분기A3200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kp파종분기(B10,H10)</f>
        <v>1분기A3218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kp파종분기(B11,H11)</f>
        <v>1분기A9022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kp파종분기(B12,H12)</f>
        <v>3분기B0001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kp파종분기(B13,H13)</f>
        <v>3분기B0012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kp파종분기(B14,H14)</f>
        <v>3분기B1355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kp파종분기(B15,H15)</f>
        <v>3분기B2008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kp파종분기(B16,H16)</f>
        <v>3분기B3255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kp파종분기(B17,H17)</f>
        <v>1분기B3500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kp파종분기(B18,H18)</f>
        <v>1분기B6211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kp파종분기(B19,H19)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kp파종분기(B20,H20)</f>
        <v>3분기B9003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kp파종분기(B21,H21)</f>
        <v>1분기P0005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kp파종분기(B22,H22)</f>
        <v>1분기P0011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kp파종분기(B23,H23)</f>
        <v>1분기P2500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kp파종분기(B24,H24)</f>
        <v>1분기P3170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kp파종분기(B25,H25)</f>
        <v>1분기P6001</v>
      </c>
    </row>
  </sheetData>
  <phoneticPr fontId="3" type="noConversion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K25"/>
  <sheetViews>
    <sheetView zoomScale="115" zoomScaleNormal="115" workbookViewId="0">
      <selection activeCell="L2" sqref="L2"/>
    </sheetView>
  </sheetViews>
  <sheetFormatPr defaultRowHeight="16.899999999999999" x14ac:dyDescent="0.6"/>
  <cols>
    <col min="1" max="1" width="2.5625" customWidth="1"/>
    <col min="3" max="3" width="12" bestFit="1" customWidth="1"/>
    <col min="6" max="6" width="9.75" bestFit="1" customWidth="1"/>
    <col min="11" max="11" width="15.5625" customWidth="1"/>
    <col min="12" max="12" width="12" bestFit="1" customWidth="1"/>
  </cols>
  <sheetData>
    <row r="2" spans="2:11" x14ac:dyDescent="0.6">
      <c r="B2" t="s">
        <v>303</v>
      </c>
    </row>
    <row r="3" spans="2:11" x14ac:dyDescent="0.6">
      <c r="B3" s="19" t="s">
        <v>103</v>
      </c>
      <c r="C3" s="19" t="s">
        <v>104</v>
      </c>
      <c r="D3" s="19" t="s">
        <v>105</v>
      </c>
      <c r="E3" s="19" t="s">
        <v>106</v>
      </c>
      <c r="F3" s="19" t="s">
        <v>107</v>
      </c>
      <c r="G3" s="19" t="s">
        <v>108</v>
      </c>
      <c r="H3" s="19" t="s">
        <v>109</v>
      </c>
      <c r="I3" s="19" t="s">
        <v>110</v>
      </c>
      <c r="J3" s="19" t="s">
        <v>111</v>
      </c>
      <c r="K3" s="43" t="s">
        <v>311</v>
      </c>
    </row>
    <row r="4" spans="2:11" x14ac:dyDescent="0.6">
      <c r="B4" s="1" t="s">
        <v>112</v>
      </c>
      <c r="C4" s="1" t="s">
        <v>113</v>
      </c>
      <c r="D4" s="1" t="s">
        <v>114</v>
      </c>
      <c r="E4" s="1" t="s">
        <v>115</v>
      </c>
      <c r="F4" s="1" t="s">
        <v>116</v>
      </c>
      <c r="G4" s="1">
        <v>1000</v>
      </c>
      <c r="H4" s="1" t="s">
        <v>117</v>
      </c>
      <c r="I4" s="1" t="s">
        <v>118</v>
      </c>
      <c r="J4" s="4">
        <v>45000</v>
      </c>
      <c r="K4" s="26" t="str" cm="1">
        <f t="array" ref="K4">kp개화분기(B4,I4)</f>
        <v>2분기A0077</v>
      </c>
    </row>
    <row r="5" spans="2:11" x14ac:dyDescent="0.6">
      <c r="B5" s="1" t="s">
        <v>119</v>
      </c>
      <c r="C5" s="1" t="s">
        <v>120</v>
      </c>
      <c r="D5" s="1" t="s">
        <v>114</v>
      </c>
      <c r="E5" s="1" t="s">
        <v>115</v>
      </c>
      <c r="F5" s="1" t="s">
        <v>121</v>
      </c>
      <c r="G5" s="1">
        <v>1000</v>
      </c>
      <c r="H5" s="1" t="s">
        <v>122</v>
      </c>
      <c r="I5" s="1" t="s">
        <v>123</v>
      </c>
      <c r="J5" s="4">
        <v>25000</v>
      </c>
      <c r="K5" s="26" t="str" cm="1">
        <f t="array" ref="K5">kp개화분기(B5,I5)</f>
        <v>3분기A1002</v>
      </c>
    </row>
    <row r="6" spans="2:11" x14ac:dyDescent="0.6">
      <c r="B6" s="1" t="s">
        <v>124</v>
      </c>
      <c r="C6" s="1" t="s">
        <v>125</v>
      </c>
      <c r="D6" s="1" t="s">
        <v>126</v>
      </c>
      <c r="E6" s="1" t="s">
        <v>115</v>
      </c>
      <c r="F6" s="1" t="s">
        <v>127</v>
      </c>
      <c r="G6" s="1">
        <v>1000</v>
      </c>
      <c r="H6" s="1" t="s">
        <v>117</v>
      </c>
      <c r="I6" s="1" t="s">
        <v>128</v>
      </c>
      <c r="J6" s="4">
        <v>90000</v>
      </c>
      <c r="K6" s="26" t="str" cm="1">
        <f t="array" ref="K6">kp개화분기(B6,I6)</f>
        <v>3분기A1005</v>
      </c>
    </row>
    <row r="7" spans="2:11" x14ac:dyDescent="0.6">
      <c r="B7" s="1" t="s">
        <v>129</v>
      </c>
      <c r="C7" s="1" t="s">
        <v>130</v>
      </c>
      <c r="D7" s="1" t="s">
        <v>131</v>
      </c>
      <c r="E7" s="1" t="s">
        <v>115</v>
      </c>
      <c r="F7" s="1" t="s">
        <v>132</v>
      </c>
      <c r="G7" s="1">
        <v>1000</v>
      </c>
      <c r="H7" s="1" t="s">
        <v>133</v>
      </c>
      <c r="I7" s="1" t="s">
        <v>128</v>
      </c>
      <c r="J7" s="4">
        <v>10000</v>
      </c>
      <c r="K7" s="26" t="str" cm="1">
        <f t="array" ref="K7">kp개화분기(B7,I7)</f>
        <v>3분기A1355</v>
      </c>
    </row>
    <row r="8" spans="2:11" x14ac:dyDescent="0.6">
      <c r="B8" s="1" t="s">
        <v>134</v>
      </c>
      <c r="C8" s="1" t="s">
        <v>135</v>
      </c>
      <c r="D8" s="1" t="s">
        <v>131</v>
      </c>
      <c r="E8" s="1" t="s">
        <v>115</v>
      </c>
      <c r="F8" s="1" t="s">
        <v>136</v>
      </c>
      <c r="G8" s="1">
        <v>100</v>
      </c>
      <c r="H8" s="1" t="s">
        <v>133</v>
      </c>
      <c r="I8" s="1" t="s">
        <v>118</v>
      </c>
      <c r="J8" s="4">
        <v>8000</v>
      </c>
      <c r="K8" s="26" t="str" cm="1">
        <f t="array" ref="K8">kp개화분기(B8,I8)</f>
        <v>2분기A2011</v>
      </c>
    </row>
    <row r="9" spans="2:11" x14ac:dyDescent="0.6">
      <c r="B9" s="1" t="s">
        <v>137</v>
      </c>
      <c r="C9" s="1" t="s">
        <v>138</v>
      </c>
      <c r="D9" s="1" t="s">
        <v>126</v>
      </c>
      <c r="E9" s="1" t="s">
        <v>115</v>
      </c>
      <c r="F9" s="1" t="s">
        <v>139</v>
      </c>
      <c r="G9" s="1">
        <v>100</v>
      </c>
      <c r="H9" s="1" t="s">
        <v>117</v>
      </c>
      <c r="I9" s="1" t="s">
        <v>128</v>
      </c>
      <c r="J9" s="4">
        <v>5000</v>
      </c>
      <c r="K9" s="26" t="str" cm="1">
        <f t="array" ref="K9">kp개화분기(B9,I9)</f>
        <v>3분기A3200</v>
      </c>
    </row>
    <row r="10" spans="2:11" x14ac:dyDescent="0.6">
      <c r="B10" s="1" t="s">
        <v>140</v>
      </c>
      <c r="C10" s="1" t="s">
        <v>141</v>
      </c>
      <c r="D10" s="1" t="s">
        <v>126</v>
      </c>
      <c r="E10" s="1" t="s">
        <v>115</v>
      </c>
      <c r="F10" s="1" t="s">
        <v>142</v>
      </c>
      <c r="G10" s="1">
        <v>100</v>
      </c>
      <c r="H10" s="1" t="s">
        <v>117</v>
      </c>
      <c r="I10" s="1" t="s">
        <v>123</v>
      </c>
      <c r="J10" s="4">
        <v>5500</v>
      </c>
      <c r="K10" s="26" t="str" cm="1">
        <f t="array" ref="K10">kp개화분기(B10,I10)</f>
        <v>3분기A3218</v>
      </c>
    </row>
    <row r="11" spans="2:11" x14ac:dyDescent="0.6">
      <c r="B11" s="1" t="s">
        <v>143</v>
      </c>
      <c r="C11" s="1" t="s">
        <v>144</v>
      </c>
      <c r="D11" s="1" t="s">
        <v>126</v>
      </c>
      <c r="E11" s="1" t="s">
        <v>115</v>
      </c>
      <c r="F11" s="1" t="s">
        <v>145</v>
      </c>
      <c r="G11" s="1">
        <v>1000</v>
      </c>
      <c r="H11" s="1" t="s">
        <v>117</v>
      </c>
      <c r="I11" s="1" t="s">
        <v>146</v>
      </c>
      <c r="J11" s="4">
        <v>60000</v>
      </c>
      <c r="K11" s="26" t="str" cm="1">
        <f t="array" ref="K11">kp개화분기(B11,I11)</f>
        <v>2분기A9022</v>
      </c>
    </row>
    <row r="12" spans="2:11" x14ac:dyDescent="0.6">
      <c r="B12" s="1" t="s">
        <v>147</v>
      </c>
      <c r="C12" s="1" t="s">
        <v>148</v>
      </c>
      <c r="D12" s="1" t="s">
        <v>126</v>
      </c>
      <c r="E12" s="1" t="s">
        <v>149</v>
      </c>
      <c r="F12" s="1" t="s">
        <v>150</v>
      </c>
      <c r="G12" s="1">
        <v>5</v>
      </c>
      <c r="H12" s="1" t="s">
        <v>151</v>
      </c>
      <c r="I12" s="1" t="s">
        <v>122</v>
      </c>
      <c r="J12" s="4">
        <v>6800</v>
      </c>
      <c r="K12" s="26" t="str" cm="1">
        <f t="array" ref="K12">kp개화분기(B12,I12)</f>
        <v>2분기B0001</v>
      </c>
    </row>
    <row r="13" spans="2:11" x14ac:dyDescent="0.6">
      <c r="B13" s="1" t="s">
        <v>152</v>
      </c>
      <c r="C13" s="1" t="s">
        <v>153</v>
      </c>
      <c r="D13" s="1" t="s">
        <v>131</v>
      </c>
      <c r="E13" s="1" t="s">
        <v>149</v>
      </c>
      <c r="F13" s="1" t="s">
        <v>154</v>
      </c>
      <c r="G13" s="1">
        <v>200</v>
      </c>
      <c r="H13" s="1" t="s">
        <v>155</v>
      </c>
      <c r="I13" s="1" t="s">
        <v>122</v>
      </c>
      <c r="J13" s="4">
        <v>50000</v>
      </c>
      <c r="K13" s="26" t="str" cm="1">
        <f t="array" ref="K13">kp개화분기(B13,I13)</f>
        <v>2분기B0012</v>
      </c>
    </row>
    <row r="14" spans="2:11" x14ac:dyDescent="0.6">
      <c r="B14" s="1" t="s">
        <v>156</v>
      </c>
      <c r="C14" s="1" t="s">
        <v>157</v>
      </c>
      <c r="D14" s="1" t="s">
        <v>126</v>
      </c>
      <c r="E14" s="1" t="s">
        <v>149</v>
      </c>
      <c r="F14" s="1" t="s">
        <v>158</v>
      </c>
      <c r="G14" s="1">
        <v>100</v>
      </c>
      <c r="H14" s="1" t="s">
        <v>151</v>
      </c>
      <c r="I14" s="1" t="s">
        <v>159</v>
      </c>
      <c r="J14" s="4">
        <v>4000</v>
      </c>
      <c r="K14" s="26" t="str" cm="1">
        <f t="array" ref="K14">kp개화분기(B14,I14)</f>
        <v>2분기B1355</v>
      </c>
    </row>
    <row r="15" spans="2:11" x14ac:dyDescent="0.6">
      <c r="B15" s="1" t="s">
        <v>160</v>
      </c>
      <c r="C15" s="1" t="s">
        <v>161</v>
      </c>
      <c r="D15" s="1" t="s">
        <v>126</v>
      </c>
      <c r="E15" s="1" t="s">
        <v>149</v>
      </c>
      <c r="F15" s="1" t="s">
        <v>162</v>
      </c>
      <c r="G15" s="1">
        <v>1000</v>
      </c>
      <c r="H15" s="1" t="s">
        <v>163</v>
      </c>
      <c r="I15" s="1" t="s">
        <v>133</v>
      </c>
      <c r="J15" s="4">
        <v>15000</v>
      </c>
      <c r="K15" s="26" t="str" cm="1">
        <f t="array" ref="K15">kp개화분기(B15,I15)</f>
        <v>2분기B2008</v>
      </c>
    </row>
    <row r="16" spans="2:11" x14ac:dyDescent="0.6">
      <c r="B16" s="1" t="s">
        <v>164</v>
      </c>
      <c r="C16" s="1" t="s">
        <v>165</v>
      </c>
      <c r="D16" s="1" t="s">
        <v>131</v>
      </c>
      <c r="E16" s="1" t="s">
        <v>149</v>
      </c>
      <c r="F16" s="1" t="s">
        <v>166</v>
      </c>
      <c r="G16" s="1">
        <v>1000</v>
      </c>
      <c r="H16" s="1" t="s">
        <v>151</v>
      </c>
      <c r="I16" s="1" t="s">
        <v>167</v>
      </c>
      <c r="J16" s="4">
        <v>8000</v>
      </c>
      <c r="K16" s="26" t="str" cm="1">
        <f t="array" ref="K16">kp개화분기(B16,I16)</f>
        <v>1분기B3255</v>
      </c>
    </row>
    <row r="17" spans="2:11" x14ac:dyDescent="0.6">
      <c r="B17" s="1" t="s">
        <v>168</v>
      </c>
      <c r="C17" s="1" t="s">
        <v>169</v>
      </c>
      <c r="D17" s="1" t="s">
        <v>126</v>
      </c>
      <c r="E17" s="1" t="s">
        <v>149</v>
      </c>
      <c r="F17" s="1" t="s">
        <v>170</v>
      </c>
      <c r="G17" s="1">
        <v>100</v>
      </c>
      <c r="H17" s="1" t="s">
        <v>171</v>
      </c>
      <c r="I17" s="1" t="s">
        <v>128</v>
      </c>
      <c r="J17" s="4">
        <v>1500</v>
      </c>
      <c r="K17" s="26" t="str" cm="1">
        <f t="array" ref="K17">kp개화분기(B17,I17)</f>
        <v>3분기B3500</v>
      </c>
    </row>
    <row r="18" spans="2:11" x14ac:dyDescent="0.6">
      <c r="B18" s="1" t="s">
        <v>172</v>
      </c>
      <c r="C18" s="1" t="s">
        <v>173</v>
      </c>
      <c r="D18" s="1" t="s">
        <v>114</v>
      </c>
      <c r="E18" s="1" t="s">
        <v>149</v>
      </c>
      <c r="F18" s="1" t="s">
        <v>174</v>
      </c>
      <c r="G18" s="1">
        <v>100</v>
      </c>
      <c r="H18" s="1" t="s">
        <v>117</v>
      </c>
      <c r="I18" s="1" t="s">
        <v>175</v>
      </c>
      <c r="J18" s="4">
        <v>4500</v>
      </c>
      <c r="K18" s="26" t="str" cm="1">
        <f t="array" ref="K18">kp개화분기(B18,I18)</f>
        <v>2분기B6211</v>
      </c>
    </row>
    <row r="19" spans="2:11" x14ac:dyDescent="0.6">
      <c r="B19" s="1" t="s">
        <v>176</v>
      </c>
      <c r="C19" s="1" t="s">
        <v>177</v>
      </c>
      <c r="D19" s="1" t="s">
        <v>126</v>
      </c>
      <c r="E19" s="1" t="s">
        <v>149</v>
      </c>
      <c r="F19" s="1" t="s">
        <v>116</v>
      </c>
      <c r="G19" s="1">
        <v>100</v>
      </c>
      <c r="H19" s="1" t="s">
        <v>133</v>
      </c>
      <c r="I19" s="1" t="s">
        <v>178</v>
      </c>
      <c r="J19" s="4">
        <v>4000</v>
      </c>
      <c r="K19" s="26" t="str" cm="1">
        <f t="array" ref="K19">kp개화분기(B19,I19)</f>
        <v>2분기B7011</v>
      </c>
    </row>
    <row r="20" spans="2:11" x14ac:dyDescent="0.6">
      <c r="B20" s="1" t="s">
        <v>179</v>
      </c>
      <c r="C20" s="1" t="s">
        <v>180</v>
      </c>
      <c r="D20" s="1" t="s">
        <v>181</v>
      </c>
      <c r="E20" s="1" t="s">
        <v>149</v>
      </c>
      <c r="F20" s="1" t="s">
        <v>182</v>
      </c>
      <c r="G20" s="1">
        <v>1000</v>
      </c>
      <c r="H20" s="1" t="s">
        <v>151</v>
      </c>
      <c r="I20" s="1" t="s">
        <v>133</v>
      </c>
      <c r="J20" s="4">
        <v>4500</v>
      </c>
      <c r="K20" s="26" t="str" cm="1">
        <f t="array" ref="K20">kp개화분기(B20,I20)</f>
        <v>2분기B9003</v>
      </c>
    </row>
    <row r="21" spans="2:11" x14ac:dyDescent="0.6">
      <c r="B21" s="1" t="s">
        <v>183</v>
      </c>
      <c r="C21" s="1" t="s">
        <v>184</v>
      </c>
      <c r="D21" s="1" t="s">
        <v>114</v>
      </c>
      <c r="E21" s="1" t="s">
        <v>185</v>
      </c>
      <c r="F21" s="1" t="s">
        <v>186</v>
      </c>
      <c r="G21" s="1">
        <v>100</v>
      </c>
      <c r="H21" s="1" t="s">
        <v>117</v>
      </c>
      <c r="I21" s="1" t="s">
        <v>128</v>
      </c>
      <c r="J21" s="4">
        <v>6500</v>
      </c>
      <c r="K21" s="26" t="str" cm="1">
        <f t="array" ref="K21">kp개화분기(B21,I21)</f>
        <v>3분기P0005</v>
      </c>
    </row>
    <row r="22" spans="2:11" x14ac:dyDescent="0.6">
      <c r="B22" s="1" t="s">
        <v>187</v>
      </c>
      <c r="C22" s="1" t="s">
        <v>188</v>
      </c>
      <c r="D22" s="1" t="s">
        <v>131</v>
      </c>
      <c r="E22" s="1" t="s">
        <v>185</v>
      </c>
      <c r="F22" s="1" t="s">
        <v>189</v>
      </c>
      <c r="G22" s="1">
        <v>100</v>
      </c>
      <c r="H22" s="1" t="s">
        <v>167</v>
      </c>
      <c r="I22" s="1" t="s">
        <v>163</v>
      </c>
      <c r="J22" s="4">
        <v>16000</v>
      </c>
      <c r="K22" s="26" t="str" cm="1">
        <f t="array" ref="K22">kp개화분기(B22,I22)</f>
        <v>3분기P0011</v>
      </c>
    </row>
    <row r="23" spans="2:11" x14ac:dyDescent="0.6">
      <c r="B23" s="1" t="s">
        <v>190</v>
      </c>
      <c r="C23" s="1" t="s">
        <v>191</v>
      </c>
      <c r="D23" s="1" t="s">
        <v>114</v>
      </c>
      <c r="E23" s="1" t="s">
        <v>185</v>
      </c>
      <c r="F23" s="1" t="s">
        <v>192</v>
      </c>
      <c r="G23" s="1">
        <v>10</v>
      </c>
      <c r="H23" s="1" t="s">
        <v>117</v>
      </c>
      <c r="I23" s="1" t="s">
        <v>193</v>
      </c>
      <c r="J23" s="4">
        <v>1300</v>
      </c>
      <c r="K23" s="26" t="str" cm="1">
        <f t="array" ref="K23">kp개화분기(B23,I23)</f>
        <v>2분기P2500</v>
      </c>
    </row>
    <row r="24" spans="2:11" x14ac:dyDescent="0.6">
      <c r="B24" s="1" t="s">
        <v>194</v>
      </c>
      <c r="C24" s="1" t="s">
        <v>195</v>
      </c>
      <c r="D24" s="1" t="s">
        <v>126</v>
      </c>
      <c r="E24" s="1" t="s">
        <v>185</v>
      </c>
      <c r="F24" s="1" t="s">
        <v>196</v>
      </c>
      <c r="G24" s="1">
        <v>100</v>
      </c>
      <c r="H24" s="1" t="s">
        <v>117</v>
      </c>
      <c r="I24" s="1" t="s">
        <v>128</v>
      </c>
      <c r="J24" s="4">
        <v>4800</v>
      </c>
      <c r="K24" s="26" t="str" cm="1">
        <f t="array" ref="K24">kp개화분기(B24,I24)</f>
        <v>3분기P3170</v>
      </c>
    </row>
    <row r="25" spans="2:11" x14ac:dyDescent="0.6">
      <c r="B25" s="1" t="s">
        <v>197</v>
      </c>
      <c r="C25" s="1" t="s">
        <v>198</v>
      </c>
      <c r="D25" s="1" t="s">
        <v>114</v>
      </c>
      <c r="E25" s="1" t="s">
        <v>185</v>
      </c>
      <c r="F25" s="1" t="s">
        <v>199</v>
      </c>
      <c r="G25" s="1">
        <v>10</v>
      </c>
      <c r="H25" s="1" t="s">
        <v>117</v>
      </c>
      <c r="I25" s="1" t="s">
        <v>155</v>
      </c>
      <c r="J25" s="4">
        <v>4500</v>
      </c>
      <c r="K25" s="26" t="str" cm="1">
        <f t="array" ref="K25">kp개화분기(B25,I25)</f>
        <v>3분기P6001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3:H20"/>
  <sheetViews>
    <sheetView workbookViewId="0"/>
  </sheetViews>
  <sheetFormatPr defaultRowHeight="16.899999999999999" x14ac:dyDescent="0.6"/>
  <cols>
    <col min="1" max="1" width="6.8125" bestFit="1" customWidth="1"/>
    <col min="2" max="2" width="10.0625" bestFit="1" customWidth="1"/>
    <col min="3" max="6" width="11.375" bestFit="1" customWidth="1"/>
    <col min="7" max="7" width="15.875" bestFit="1" customWidth="1"/>
    <col min="8" max="8" width="10.875" bestFit="1" customWidth="1"/>
  </cols>
  <sheetData>
    <row r="3" spans="1:8" x14ac:dyDescent="0.6">
      <c r="A3" s="48"/>
      <c r="B3" s="48"/>
      <c r="C3" s="49" t="s">
        <v>314</v>
      </c>
      <c r="D3" s="49" t="s">
        <v>329</v>
      </c>
      <c r="E3" s="48"/>
      <c r="F3" s="48"/>
      <c r="G3" s="48"/>
      <c r="H3" s="48"/>
    </row>
    <row r="4" spans="1:8" x14ac:dyDescent="0.6">
      <c r="A4" s="48"/>
      <c r="B4" s="48"/>
      <c r="C4" s="51" t="s">
        <v>317</v>
      </c>
      <c r="D4" s="50"/>
      <c r="E4" s="51" t="s">
        <v>316</v>
      </c>
      <c r="F4" s="50"/>
      <c r="G4" s="51" t="s">
        <v>332</v>
      </c>
      <c r="H4" s="51" t="s">
        <v>330</v>
      </c>
    </row>
    <row r="5" spans="1:8" x14ac:dyDescent="0.6">
      <c r="A5" s="49" t="s">
        <v>312</v>
      </c>
      <c r="B5" s="49" t="s">
        <v>313</v>
      </c>
      <c r="C5" s="52" t="s">
        <v>333</v>
      </c>
      <c r="D5" s="52" t="s">
        <v>331</v>
      </c>
      <c r="E5" s="52" t="s">
        <v>333</v>
      </c>
      <c r="F5" s="52" t="s">
        <v>331</v>
      </c>
      <c r="G5" s="50"/>
      <c r="H5" s="50"/>
    </row>
    <row r="6" spans="1:8" x14ac:dyDescent="0.6">
      <c r="A6" s="48">
        <v>1</v>
      </c>
      <c r="B6" s="48"/>
      <c r="C6" s="47">
        <v>10.3</v>
      </c>
      <c r="D6" s="46">
        <v>10</v>
      </c>
      <c r="E6" s="47">
        <v>5.5</v>
      </c>
      <c r="F6" s="46">
        <v>8</v>
      </c>
      <c r="G6" s="47">
        <v>8.1666666666666661</v>
      </c>
      <c r="H6" s="46">
        <v>18</v>
      </c>
    </row>
    <row r="7" spans="1:8" x14ac:dyDescent="0.6">
      <c r="A7" s="48"/>
      <c r="B7" s="48" t="s">
        <v>315</v>
      </c>
      <c r="C7" s="47">
        <v>8.3333333333333339</v>
      </c>
      <c r="D7" s="46">
        <v>3</v>
      </c>
      <c r="E7" s="47">
        <v>4.25</v>
      </c>
      <c r="F7" s="46">
        <v>4</v>
      </c>
      <c r="G7" s="47">
        <v>6</v>
      </c>
      <c r="H7" s="46">
        <v>7</v>
      </c>
    </row>
    <row r="8" spans="1:8" x14ac:dyDescent="0.6">
      <c r="A8" s="48"/>
      <c r="B8" s="48" t="s">
        <v>319</v>
      </c>
      <c r="C8" s="47">
        <v>10.6</v>
      </c>
      <c r="D8" s="46">
        <v>5</v>
      </c>
      <c r="E8" s="47" t="s">
        <v>334</v>
      </c>
      <c r="F8" s="46" t="s">
        <v>334</v>
      </c>
      <c r="G8" s="47">
        <v>10.6</v>
      </c>
      <c r="H8" s="46">
        <v>5</v>
      </c>
    </row>
    <row r="9" spans="1:8" x14ac:dyDescent="0.6">
      <c r="A9" s="48"/>
      <c r="B9" s="48" t="s">
        <v>318</v>
      </c>
      <c r="C9" s="47">
        <v>12.5</v>
      </c>
      <c r="D9" s="46">
        <v>2</v>
      </c>
      <c r="E9" s="47">
        <v>6.75</v>
      </c>
      <c r="F9" s="46">
        <v>4</v>
      </c>
      <c r="G9" s="47">
        <v>8.6666666666666661</v>
      </c>
      <c r="H9" s="46">
        <v>6</v>
      </c>
    </row>
    <row r="10" spans="1:8" x14ac:dyDescent="0.6">
      <c r="A10" s="48">
        <v>2</v>
      </c>
      <c r="B10" s="48"/>
      <c r="C10" s="47">
        <v>9.7058823529411757</v>
      </c>
      <c r="D10" s="46">
        <v>17</v>
      </c>
      <c r="E10" s="47">
        <v>6.833333333333333</v>
      </c>
      <c r="F10" s="46">
        <v>12</v>
      </c>
      <c r="G10" s="47">
        <v>8.5172413793103452</v>
      </c>
      <c r="H10" s="46">
        <v>29</v>
      </c>
    </row>
    <row r="11" spans="1:8" x14ac:dyDescent="0.6">
      <c r="A11" s="48"/>
      <c r="B11" s="48" t="s">
        <v>322</v>
      </c>
      <c r="C11" s="47">
        <v>7.25</v>
      </c>
      <c r="D11" s="46">
        <v>4</v>
      </c>
      <c r="E11" s="47">
        <v>1.3333333333333333</v>
      </c>
      <c r="F11" s="46">
        <v>3</v>
      </c>
      <c r="G11" s="47">
        <v>4.7142857142857144</v>
      </c>
      <c r="H11" s="46">
        <v>7</v>
      </c>
    </row>
    <row r="12" spans="1:8" x14ac:dyDescent="0.6">
      <c r="A12" s="48"/>
      <c r="B12" s="48" t="s">
        <v>320</v>
      </c>
      <c r="C12" s="47">
        <v>7.25</v>
      </c>
      <c r="D12" s="46">
        <v>4</v>
      </c>
      <c r="E12" s="47">
        <v>9</v>
      </c>
      <c r="F12" s="46">
        <v>3</v>
      </c>
      <c r="G12" s="47">
        <v>8</v>
      </c>
      <c r="H12" s="46">
        <v>7</v>
      </c>
    </row>
    <row r="13" spans="1:8" x14ac:dyDescent="0.6">
      <c r="A13" s="48"/>
      <c r="B13" s="48" t="s">
        <v>321</v>
      </c>
      <c r="C13" s="47">
        <v>13.333333333333334</v>
      </c>
      <c r="D13" s="46">
        <v>3</v>
      </c>
      <c r="E13" s="47">
        <v>6.25</v>
      </c>
      <c r="F13" s="46">
        <v>4</v>
      </c>
      <c r="G13" s="47">
        <v>9.2857142857142865</v>
      </c>
      <c r="H13" s="46">
        <v>7</v>
      </c>
    </row>
    <row r="14" spans="1:8" x14ac:dyDescent="0.6">
      <c r="A14" s="48"/>
      <c r="B14" s="48" t="s">
        <v>323</v>
      </c>
      <c r="C14" s="47">
        <v>11.166666666666666</v>
      </c>
      <c r="D14" s="46">
        <v>6</v>
      </c>
      <c r="E14" s="47">
        <v>13</v>
      </c>
      <c r="F14" s="46">
        <v>2</v>
      </c>
      <c r="G14" s="47">
        <v>11.625</v>
      </c>
      <c r="H14" s="46">
        <v>8</v>
      </c>
    </row>
    <row r="15" spans="1:8" x14ac:dyDescent="0.6">
      <c r="A15" s="48">
        <v>3</v>
      </c>
      <c r="B15" s="48"/>
      <c r="C15" s="47">
        <v>9.8333333333333339</v>
      </c>
      <c r="D15" s="46">
        <v>18</v>
      </c>
      <c r="E15" s="47">
        <v>8.9333333333333336</v>
      </c>
      <c r="F15" s="46">
        <v>15</v>
      </c>
      <c r="G15" s="47">
        <v>9.4242424242424239</v>
      </c>
      <c r="H15" s="46">
        <v>33</v>
      </c>
    </row>
    <row r="16" spans="1:8" x14ac:dyDescent="0.6">
      <c r="A16" s="48"/>
      <c r="B16" s="48" t="s">
        <v>326</v>
      </c>
      <c r="C16" s="47">
        <v>8</v>
      </c>
      <c r="D16" s="46">
        <v>5</v>
      </c>
      <c r="E16" s="47">
        <v>14</v>
      </c>
      <c r="F16" s="46">
        <v>2</v>
      </c>
      <c r="G16" s="47">
        <v>9.7142857142857135</v>
      </c>
      <c r="H16" s="46">
        <v>7</v>
      </c>
    </row>
    <row r="17" spans="1:8" x14ac:dyDescent="0.6">
      <c r="A17" s="48"/>
      <c r="B17" s="48" t="s">
        <v>327</v>
      </c>
      <c r="C17" s="47">
        <v>10.25</v>
      </c>
      <c r="D17" s="46">
        <v>4</v>
      </c>
      <c r="E17" s="47">
        <v>9.5</v>
      </c>
      <c r="F17" s="46">
        <v>6</v>
      </c>
      <c r="G17" s="47">
        <v>9.8000000000000007</v>
      </c>
      <c r="H17" s="46">
        <v>10</v>
      </c>
    </row>
    <row r="18" spans="1:8" x14ac:dyDescent="0.6">
      <c r="A18" s="48"/>
      <c r="B18" s="48" t="s">
        <v>324</v>
      </c>
      <c r="C18" s="47">
        <v>10.25</v>
      </c>
      <c r="D18" s="46">
        <v>4</v>
      </c>
      <c r="E18" s="47">
        <v>9</v>
      </c>
      <c r="F18" s="46">
        <v>4</v>
      </c>
      <c r="G18" s="47">
        <v>9.625</v>
      </c>
      <c r="H18" s="46">
        <v>8</v>
      </c>
    </row>
    <row r="19" spans="1:8" x14ac:dyDescent="0.6">
      <c r="A19" s="48"/>
      <c r="B19" s="48" t="s">
        <v>325</v>
      </c>
      <c r="C19" s="47">
        <v>11</v>
      </c>
      <c r="D19" s="46">
        <v>5</v>
      </c>
      <c r="E19" s="47">
        <v>4.333333333333333</v>
      </c>
      <c r="F19" s="46">
        <v>3</v>
      </c>
      <c r="G19" s="47">
        <v>8.5</v>
      </c>
      <c r="H19" s="46">
        <v>8</v>
      </c>
    </row>
    <row r="20" spans="1:8" x14ac:dyDescent="0.6">
      <c r="A20" s="48" t="s">
        <v>328</v>
      </c>
      <c r="B20" s="48"/>
      <c r="C20" s="47">
        <v>9.8888888888888893</v>
      </c>
      <c r="D20" s="46">
        <v>45</v>
      </c>
      <c r="E20" s="47">
        <v>7.4285714285714288</v>
      </c>
      <c r="F20" s="46">
        <v>35</v>
      </c>
      <c r="G20" s="47">
        <v>8.8125</v>
      </c>
      <c r="H20" s="46">
        <v>80</v>
      </c>
    </row>
  </sheetData>
  <mergeCells count="4">
    <mergeCell ref="C4:D4"/>
    <mergeCell ref="E4:F4"/>
    <mergeCell ref="G4:G5"/>
    <mergeCell ref="H4:H5"/>
  </mergeCells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2:F17"/>
  <sheetViews>
    <sheetView workbookViewId="0"/>
  </sheetViews>
  <sheetFormatPr defaultRowHeight="16.899999999999999" x14ac:dyDescent="0.6"/>
  <cols>
    <col min="1" max="1" width="18.4375" bestFit="1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7" width="7.5" bestFit="1" customWidth="1"/>
    <col min="8" max="8" width="14" bestFit="1" customWidth="1"/>
    <col min="9" max="9" width="12.0625" bestFit="1" customWidth="1"/>
    <col min="10" max="10" width="18.4375" bestFit="1" customWidth="1"/>
    <col min="11" max="11" width="16.5625" bestFit="1" customWidth="1"/>
  </cols>
  <sheetData>
    <row r="2" spans="1:6" x14ac:dyDescent="0.6">
      <c r="C2" s="45" t="s">
        <v>349</v>
      </c>
    </row>
    <row r="3" spans="1:6" x14ac:dyDescent="0.6">
      <c r="A3" s="45" t="s">
        <v>350</v>
      </c>
      <c r="B3" s="45" t="s">
        <v>329</v>
      </c>
      <c r="C3" t="s">
        <v>341</v>
      </c>
      <c r="D3" t="s">
        <v>342</v>
      </c>
      <c r="E3" t="s">
        <v>343</v>
      </c>
      <c r="F3" t="s">
        <v>344</v>
      </c>
    </row>
    <row r="4" spans="1:6" x14ac:dyDescent="0.6">
      <c r="A4" t="s">
        <v>336</v>
      </c>
      <c r="B4" t="s">
        <v>345</v>
      </c>
      <c r="C4" s="46">
        <v>191.10000000000002</v>
      </c>
      <c r="D4" s="46">
        <v>544</v>
      </c>
      <c r="E4" s="46">
        <v>37.9</v>
      </c>
      <c r="F4" s="46">
        <v>-1.4000000000000006</v>
      </c>
    </row>
    <row r="5" spans="1:6" x14ac:dyDescent="0.6">
      <c r="B5" t="s">
        <v>348</v>
      </c>
      <c r="C5" s="46">
        <v>642.20000000000005</v>
      </c>
      <c r="D5" s="46">
        <v>556</v>
      </c>
      <c r="E5" s="46">
        <v>151.9</v>
      </c>
      <c r="F5" s="46">
        <v>104.8</v>
      </c>
    </row>
    <row r="6" spans="1:6" x14ac:dyDescent="0.6">
      <c r="A6" t="s">
        <v>335</v>
      </c>
      <c r="B6" t="s">
        <v>345</v>
      </c>
      <c r="C6" s="46">
        <v>432.59999999999991</v>
      </c>
      <c r="D6" s="46">
        <v>750</v>
      </c>
      <c r="E6" s="46">
        <v>43.9</v>
      </c>
      <c r="F6" s="46">
        <v>-20.299999999999997</v>
      </c>
    </row>
    <row r="7" spans="1:6" x14ac:dyDescent="0.6">
      <c r="B7" t="s">
        <v>348</v>
      </c>
      <c r="C7" s="46">
        <v>961.7</v>
      </c>
      <c r="D7" s="46">
        <v>736</v>
      </c>
      <c r="E7" s="46">
        <v>195.60000000000002</v>
      </c>
      <c r="F7" s="46">
        <v>124.5</v>
      </c>
    </row>
    <row r="8" spans="1:6" x14ac:dyDescent="0.6">
      <c r="A8" t="s">
        <v>337</v>
      </c>
      <c r="B8" t="s">
        <v>345</v>
      </c>
      <c r="C8" s="46">
        <v>449.7</v>
      </c>
      <c r="D8" s="46">
        <v>837</v>
      </c>
      <c r="E8" s="46">
        <v>123.5</v>
      </c>
      <c r="F8" s="46">
        <v>54.2</v>
      </c>
    </row>
    <row r="9" spans="1:6" x14ac:dyDescent="0.6">
      <c r="B9" t="s">
        <v>348</v>
      </c>
      <c r="C9" s="46">
        <v>1306.9000000000001</v>
      </c>
      <c r="D9" s="46">
        <v>923</v>
      </c>
      <c r="E9" s="46">
        <v>273.39999999999998</v>
      </c>
      <c r="F9" s="46">
        <v>197</v>
      </c>
    </row>
    <row r="10" spans="1:6" x14ac:dyDescent="0.6">
      <c r="A10" t="s">
        <v>338</v>
      </c>
      <c r="B10" t="s">
        <v>345</v>
      </c>
      <c r="C10" s="46">
        <v>472.5</v>
      </c>
      <c r="D10" s="46">
        <v>987</v>
      </c>
      <c r="E10" s="46">
        <v>111.10000000000001</v>
      </c>
      <c r="F10" s="46">
        <v>39.5</v>
      </c>
    </row>
    <row r="11" spans="1:6" x14ac:dyDescent="0.6">
      <c r="B11" t="s">
        <v>348</v>
      </c>
      <c r="C11" s="46">
        <v>1182.0999999999999</v>
      </c>
      <c r="D11" s="46">
        <v>994</v>
      </c>
      <c r="E11" s="46">
        <v>267.2</v>
      </c>
      <c r="F11" s="46">
        <v>182.8</v>
      </c>
    </row>
    <row r="12" spans="1:6" x14ac:dyDescent="0.6">
      <c r="A12" t="s">
        <v>339</v>
      </c>
      <c r="B12" t="s">
        <v>345</v>
      </c>
      <c r="C12" s="46">
        <v>179.8</v>
      </c>
      <c r="D12" s="46">
        <v>191</v>
      </c>
      <c r="E12" s="46">
        <v>29.5</v>
      </c>
      <c r="F12" s="46">
        <v>21.3</v>
      </c>
    </row>
    <row r="13" spans="1:6" x14ac:dyDescent="0.6">
      <c r="B13" t="s">
        <v>348</v>
      </c>
      <c r="C13" s="46">
        <v>287.39999999999998</v>
      </c>
      <c r="D13" s="46">
        <v>195</v>
      </c>
      <c r="E13" s="46">
        <v>52.5</v>
      </c>
      <c r="F13" s="46">
        <v>41.5</v>
      </c>
    </row>
    <row r="14" spans="1:6" x14ac:dyDescent="0.6">
      <c r="A14" t="s">
        <v>340</v>
      </c>
      <c r="B14" t="s">
        <v>345</v>
      </c>
      <c r="C14" s="46">
        <v>328</v>
      </c>
      <c r="D14" s="46">
        <v>776</v>
      </c>
      <c r="E14" s="46">
        <v>63.5</v>
      </c>
      <c r="F14" s="46">
        <v>0</v>
      </c>
    </row>
    <row r="15" spans="1:6" x14ac:dyDescent="0.6">
      <c r="B15" t="s">
        <v>348</v>
      </c>
      <c r="C15" s="46">
        <v>890.59999999999991</v>
      </c>
      <c r="D15" s="46">
        <v>727</v>
      </c>
      <c r="E15" s="46">
        <v>216</v>
      </c>
      <c r="F15" s="46">
        <v>140.9</v>
      </c>
    </row>
    <row r="16" spans="1:6" x14ac:dyDescent="0.6">
      <c r="A16" t="s">
        <v>346</v>
      </c>
      <c r="C16" s="46">
        <v>2053.6999999999998</v>
      </c>
      <c r="D16" s="46">
        <v>4085</v>
      </c>
      <c r="E16" s="46">
        <v>409.4</v>
      </c>
      <c r="F16" s="46">
        <v>93.3</v>
      </c>
    </row>
    <row r="17" spans="1:6" x14ac:dyDescent="0.6">
      <c r="A17" t="s">
        <v>347</v>
      </c>
      <c r="C17" s="46">
        <v>5270.9</v>
      </c>
      <c r="D17" s="46">
        <v>4131</v>
      </c>
      <c r="E17" s="46">
        <v>1156.5999999999999</v>
      </c>
      <c r="F17" s="46">
        <v>791.5</v>
      </c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62FC0-0E28-4E0F-AC7B-7EA3F28E9CE0}">
  <dimension ref="A1:E7"/>
  <sheetViews>
    <sheetView workbookViewId="0">
      <selection activeCell="F3" sqref="F3"/>
    </sheetView>
  </sheetViews>
  <sheetFormatPr defaultRowHeight="16.899999999999999" x14ac:dyDescent="0.6"/>
  <cols>
    <col min="4" max="4" width="9.6875" customWidth="1"/>
  </cols>
  <sheetData>
    <row r="1" spans="1:5" x14ac:dyDescent="0.6">
      <c r="A1" t="s">
        <v>66</v>
      </c>
      <c r="B1" t="s">
        <v>222</v>
      </c>
      <c r="C1" t="s">
        <v>223</v>
      </c>
      <c r="D1" t="s">
        <v>224</v>
      </c>
      <c r="E1" t="s">
        <v>225</v>
      </c>
    </row>
    <row r="2" spans="1:5" x14ac:dyDescent="0.6">
      <c r="A2" t="s">
        <v>241</v>
      </c>
      <c r="B2" t="s">
        <v>232</v>
      </c>
      <c r="C2" s="53">
        <v>44386.664247685185</v>
      </c>
      <c r="D2" s="53">
        <v>44404.760416666664</v>
      </c>
      <c r="E2">
        <v>733</v>
      </c>
    </row>
    <row r="3" spans="1:5" x14ac:dyDescent="0.6">
      <c r="A3" t="s">
        <v>241</v>
      </c>
      <c r="B3" t="s">
        <v>232</v>
      </c>
      <c r="C3" s="53">
        <v>44389.56287037037</v>
      </c>
      <c r="D3" s="53">
        <v>44406.702777777777</v>
      </c>
      <c r="E3">
        <v>800</v>
      </c>
    </row>
    <row r="4" spans="1:5" x14ac:dyDescent="0.6">
      <c r="A4" t="s">
        <v>241</v>
      </c>
      <c r="B4" t="s">
        <v>232</v>
      </c>
      <c r="C4" s="53">
        <v>44389.546226851853</v>
      </c>
      <c r="D4" s="53">
        <v>44406.691666666666</v>
      </c>
      <c r="E4">
        <v>838</v>
      </c>
    </row>
    <row r="5" spans="1:5" x14ac:dyDescent="0.6">
      <c r="A5" t="s">
        <v>241</v>
      </c>
      <c r="B5" t="s">
        <v>232</v>
      </c>
      <c r="C5" s="53">
        <v>44392.838680555556</v>
      </c>
      <c r="D5" s="53">
        <v>44406.668055555558</v>
      </c>
      <c r="E5">
        <v>642</v>
      </c>
    </row>
    <row r="6" spans="1:5" x14ac:dyDescent="0.6">
      <c r="A6" t="s">
        <v>241</v>
      </c>
      <c r="B6" t="s">
        <v>232</v>
      </c>
      <c r="C6" s="53">
        <v>44390.558564814812</v>
      </c>
      <c r="D6" s="53">
        <v>44404.770138888889</v>
      </c>
      <c r="E6">
        <v>838</v>
      </c>
    </row>
    <row r="7" spans="1:5" x14ac:dyDescent="0.6">
      <c r="A7" t="s">
        <v>241</v>
      </c>
      <c r="B7" t="s">
        <v>232</v>
      </c>
      <c r="C7" s="53">
        <v>44386.666400462964</v>
      </c>
      <c r="D7" s="53">
        <v>44404.71597222222</v>
      </c>
      <c r="E7">
        <v>908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3:G18"/>
  <sheetViews>
    <sheetView workbookViewId="0">
      <selection activeCell="D6" sqref="D6"/>
    </sheetView>
  </sheetViews>
  <sheetFormatPr defaultRowHeight="16.899999999999999" x14ac:dyDescent="0.6"/>
  <cols>
    <col min="1" max="1" width="2.5625" customWidth="1"/>
    <col min="2" max="2" width="10.0625" bestFit="1" customWidth="1"/>
    <col min="3" max="3" width="11.8125" bestFit="1" customWidth="1"/>
    <col min="4" max="4" width="12.125" bestFit="1" customWidth="1"/>
    <col min="5" max="5" width="10.1875" bestFit="1" customWidth="1"/>
    <col min="6" max="6" width="12.125" bestFit="1" customWidth="1"/>
    <col min="7" max="10" width="14.0625" bestFit="1" customWidth="1"/>
    <col min="11" max="11" width="14.625" bestFit="1" customWidth="1"/>
    <col min="12" max="12" width="16.5625" bestFit="1" customWidth="1"/>
  </cols>
  <sheetData>
    <row r="3" spans="2:7" x14ac:dyDescent="0.6">
      <c r="B3" s="48"/>
      <c r="C3" s="48"/>
      <c r="D3" s="49" t="s">
        <v>66</v>
      </c>
      <c r="E3" s="48"/>
      <c r="F3" s="48"/>
      <c r="G3" s="48"/>
    </row>
    <row r="4" spans="2:7" x14ac:dyDescent="0.6">
      <c r="B4" s="49" t="s">
        <v>222</v>
      </c>
      <c r="C4" s="49" t="s">
        <v>329</v>
      </c>
      <c r="D4" s="52" t="s">
        <v>241</v>
      </c>
      <c r="E4" s="52" t="s">
        <v>238</v>
      </c>
      <c r="F4" s="52" t="s">
        <v>351</v>
      </c>
      <c r="G4" s="52" t="s">
        <v>228</v>
      </c>
    </row>
    <row r="5" spans="2:7" x14ac:dyDescent="0.6">
      <c r="B5" s="48" t="s">
        <v>232</v>
      </c>
      <c r="C5" s="48"/>
      <c r="D5" s="47"/>
      <c r="E5" s="47"/>
      <c r="F5" s="47"/>
      <c r="G5" s="47"/>
    </row>
    <row r="6" spans="2:7" x14ac:dyDescent="0.6">
      <c r="B6" s="48"/>
      <c r="C6" s="48" t="s">
        <v>355</v>
      </c>
      <c r="D6" s="47">
        <v>793.16666666666663</v>
      </c>
      <c r="E6" s="47">
        <v>796</v>
      </c>
      <c r="F6" s="47">
        <v>777.6</v>
      </c>
      <c r="G6" s="47">
        <v>706.3</v>
      </c>
    </row>
    <row r="7" spans="2:7" x14ac:dyDescent="0.6">
      <c r="B7" s="48"/>
      <c r="C7" s="48" t="s">
        <v>353</v>
      </c>
      <c r="D7" s="47">
        <v>47.59</v>
      </c>
      <c r="E7" s="47">
        <v>55.72</v>
      </c>
      <c r="F7" s="47">
        <v>38.880000000000003</v>
      </c>
      <c r="G7" s="47">
        <v>70.63</v>
      </c>
    </row>
    <row r="8" spans="2:7" x14ac:dyDescent="0.6">
      <c r="B8" s="48" t="s">
        <v>231</v>
      </c>
      <c r="C8" s="48"/>
      <c r="D8" s="47"/>
      <c r="E8" s="47"/>
      <c r="F8" s="47"/>
      <c r="G8" s="47"/>
    </row>
    <row r="9" spans="2:7" x14ac:dyDescent="0.6">
      <c r="B9" s="48"/>
      <c r="C9" s="48" t="s">
        <v>355</v>
      </c>
      <c r="D9" s="47">
        <v>853.22222222222217</v>
      </c>
      <c r="E9" s="47">
        <v>853.11111111111109</v>
      </c>
      <c r="F9" s="47">
        <v>922.66666666666663</v>
      </c>
      <c r="G9" s="47">
        <v>945</v>
      </c>
    </row>
    <row r="10" spans="2:7" x14ac:dyDescent="0.6">
      <c r="B10" s="48"/>
      <c r="C10" s="48" t="s">
        <v>353</v>
      </c>
      <c r="D10" s="47">
        <v>76.790000000000006</v>
      </c>
      <c r="E10" s="47">
        <v>76.78</v>
      </c>
      <c r="F10" s="47">
        <v>55.36</v>
      </c>
      <c r="G10" s="47">
        <v>94.5</v>
      </c>
    </row>
    <row r="11" spans="2:7" x14ac:dyDescent="0.6">
      <c r="B11" s="48" t="s">
        <v>229</v>
      </c>
      <c r="C11" s="48"/>
      <c r="D11" s="47"/>
      <c r="E11" s="47"/>
      <c r="F11" s="47"/>
      <c r="G11" s="47"/>
    </row>
    <row r="12" spans="2:7" x14ac:dyDescent="0.6">
      <c r="B12" s="48"/>
      <c r="C12" s="48" t="s">
        <v>355</v>
      </c>
      <c r="D12" s="47">
        <v>896.5</v>
      </c>
      <c r="E12" s="47">
        <v>845.125</v>
      </c>
      <c r="F12" s="47">
        <v>893</v>
      </c>
      <c r="G12" s="47">
        <v>785.875</v>
      </c>
    </row>
    <row r="13" spans="2:7" x14ac:dyDescent="0.6">
      <c r="B13" s="48"/>
      <c r="C13" s="48" t="s">
        <v>353</v>
      </c>
      <c r="D13" s="47">
        <v>17.93</v>
      </c>
      <c r="E13" s="47">
        <v>67.61</v>
      </c>
      <c r="F13" s="47">
        <v>8.93</v>
      </c>
      <c r="G13" s="47">
        <v>62.87</v>
      </c>
    </row>
    <row r="14" spans="2:7" x14ac:dyDescent="0.6">
      <c r="B14" s="48" t="s">
        <v>230</v>
      </c>
      <c r="C14" s="48"/>
      <c r="D14" s="47"/>
      <c r="E14" s="47"/>
      <c r="F14" s="47"/>
      <c r="G14" s="47"/>
    </row>
    <row r="15" spans="2:7" x14ac:dyDescent="0.6">
      <c r="B15" s="48"/>
      <c r="C15" s="48" t="s">
        <v>355</v>
      </c>
      <c r="D15" s="47" t="s">
        <v>356</v>
      </c>
      <c r="E15" s="47">
        <v>792</v>
      </c>
      <c r="F15" s="47">
        <v>687.5</v>
      </c>
      <c r="G15" s="47">
        <v>838</v>
      </c>
    </row>
    <row r="16" spans="2:7" x14ac:dyDescent="0.6">
      <c r="B16" s="48"/>
      <c r="C16" s="48" t="s">
        <v>353</v>
      </c>
      <c r="D16" s="47">
        <v>0</v>
      </c>
      <c r="E16" s="47">
        <v>23.76</v>
      </c>
      <c r="F16" s="47">
        <v>13.75</v>
      </c>
      <c r="G16" s="47">
        <v>8.3800000000000008</v>
      </c>
    </row>
    <row r="17" spans="2:7" x14ac:dyDescent="0.6">
      <c r="B17" s="48" t="s">
        <v>354</v>
      </c>
      <c r="C17" s="48"/>
      <c r="D17" s="47">
        <v>837.11764705882354</v>
      </c>
      <c r="E17" s="47">
        <v>829.14814814814815</v>
      </c>
      <c r="F17" s="47">
        <v>835.14285714285711</v>
      </c>
      <c r="G17" s="47">
        <v>815.10344827586209</v>
      </c>
    </row>
    <row r="18" spans="2:7" x14ac:dyDescent="0.6">
      <c r="B18" s="48" t="s">
        <v>352</v>
      </c>
      <c r="C18" s="48"/>
      <c r="D18" s="47">
        <v>142.31</v>
      </c>
      <c r="E18" s="47">
        <v>223.87</v>
      </c>
      <c r="F18" s="47">
        <v>116.92</v>
      </c>
      <c r="G18" s="47">
        <v>236.38</v>
      </c>
    </row>
  </sheetData>
  <phoneticPr fontId="3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4:J12"/>
  <sheetViews>
    <sheetView workbookViewId="0"/>
  </sheetViews>
  <sheetFormatPr defaultRowHeight="16.899999999999999" x14ac:dyDescent="0.6"/>
  <cols>
    <col min="1" max="1" width="10.6875" bestFit="1" customWidth="1"/>
    <col min="2" max="9" width="13.3125" bestFit="1" customWidth="1"/>
    <col min="10" max="10" width="12.75" customWidth="1"/>
  </cols>
  <sheetData>
    <row r="4" spans="2:10" x14ac:dyDescent="0.6">
      <c r="B4" s="48"/>
      <c r="C4" s="49" t="s">
        <v>357</v>
      </c>
      <c r="D4" s="49" t="s">
        <v>329</v>
      </c>
      <c r="E4" s="48"/>
      <c r="F4" s="48"/>
      <c r="G4" s="48"/>
      <c r="H4" s="48"/>
      <c r="I4" s="48"/>
      <c r="J4" s="48"/>
    </row>
    <row r="5" spans="2:10" x14ac:dyDescent="0.6">
      <c r="B5" s="48"/>
      <c r="C5" s="51" t="s">
        <v>358</v>
      </c>
      <c r="D5" s="50"/>
      <c r="E5" s="51" t="s">
        <v>359</v>
      </c>
      <c r="F5" s="50"/>
      <c r="G5" s="51" t="s">
        <v>360</v>
      </c>
      <c r="H5" s="50"/>
      <c r="I5" s="51" t="s">
        <v>361</v>
      </c>
      <c r="J5" s="50"/>
    </row>
    <row r="6" spans="2:10" ht="33.75" x14ac:dyDescent="0.6">
      <c r="B6" s="49" t="s">
        <v>362</v>
      </c>
      <c r="C6" s="52" t="s">
        <v>368</v>
      </c>
      <c r="D6" s="52" t="s">
        <v>369</v>
      </c>
      <c r="E6" s="52" t="s">
        <v>368</v>
      </c>
      <c r="F6" s="52" t="s">
        <v>369</v>
      </c>
      <c r="G6" s="52" t="s">
        <v>368</v>
      </c>
      <c r="H6" s="52" t="s">
        <v>369</v>
      </c>
      <c r="I6" s="52" t="s">
        <v>368</v>
      </c>
      <c r="J6" s="52" t="s">
        <v>369</v>
      </c>
    </row>
    <row r="7" spans="2:10" x14ac:dyDescent="0.6">
      <c r="B7" s="52" t="s">
        <v>363</v>
      </c>
      <c r="C7" s="55">
        <v>1588000</v>
      </c>
      <c r="D7" s="46">
        <v>6</v>
      </c>
      <c r="E7" s="55">
        <v>239000</v>
      </c>
      <c r="F7" s="46">
        <v>1</v>
      </c>
      <c r="G7" s="55">
        <v>239000</v>
      </c>
      <c r="H7" s="46">
        <v>1</v>
      </c>
      <c r="I7" s="55">
        <v>781000</v>
      </c>
      <c r="J7" s="46">
        <v>1</v>
      </c>
    </row>
    <row r="8" spans="2:10" x14ac:dyDescent="0.6">
      <c r="B8" s="52" t="s">
        <v>364</v>
      </c>
      <c r="C8" s="55">
        <v>3742000</v>
      </c>
      <c r="D8" s="46">
        <v>4</v>
      </c>
      <c r="E8" s="55">
        <v>1262000</v>
      </c>
      <c r="F8" s="46">
        <v>1</v>
      </c>
      <c r="G8" s="55">
        <v>3521230</v>
      </c>
      <c r="H8" s="46">
        <v>8</v>
      </c>
      <c r="I8" s="55">
        <v>2763000</v>
      </c>
      <c r="J8" s="46">
        <v>5</v>
      </c>
    </row>
    <row r="9" spans="2:10" x14ac:dyDescent="0.6">
      <c r="B9" s="52" t="s">
        <v>365</v>
      </c>
      <c r="C9" s="55">
        <v>859000</v>
      </c>
      <c r="D9" s="46">
        <v>2</v>
      </c>
      <c r="E9" s="55">
        <v>3697000</v>
      </c>
      <c r="F9" s="46">
        <v>9</v>
      </c>
      <c r="G9" s="55">
        <v>1419000</v>
      </c>
      <c r="H9" s="46">
        <v>4</v>
      </c>
      <c r="I9" s="55">
        <v>2828000</v>
      </c>
      <c r="J9" s="46">
        <v>4</v>
      </c>
    </row>
    <row r="10" spans="2:10" x14ac:dyDescent="0.6">
      <c r="B10" s="52" t="s">
        <v>366</v>
      </c>
      <c r="C10" s="55">
        <v>4717000</v>
      </c>
      <c r="D10" s="46">
        <v>6</v>
      </c>
      <c r="E10" s="55">
        <v>1552000</v>
      </c>
      <c r="F10" s="46">
        <v>7</v>
      </c>
      <c r="G10" s="55">
        <v>6903000</v>
      </c>
      <c r="H10" s="46">
        <v>5</v>
      </c>
      <c r="I10" s="55">
        <v>613000</v>
      </c>
      <c r="J10" s="46">
        <v>1</v>
      </c>
    </row>
    <row r="11" spans="2:10" x14ac:dyDescent="0.6">
      <c r="B11" s="52" t="s">
        <v>367</v>
      </c>
      <c r="C11" s="55" t="s">
        <v>334</v>
      </c>
      <c r="D11" s="46" t="s">
        <v>334</v>
      </c>
      <c r="E11" s="55">
        <v>1890000</v>
      </c>
      <c r="F11" s="46">
        <v>1</v>
      </c>
      <c r="G11" s="55" t="s">
        <v>334</v>
      </c>
      <c r="H11" s="46" t="s">
        <v>334</v>
      </c>
      <c r="I11" s="55">
        <v>1890000</v>
      </c>
      <c r="J11" s="46">
        <v>1</v>
      </c>
    </row>
    <row r="12" spans="2:10" x14ac:dyDescent="0.6">
      <c r="B12" s="52" t="s">
        <v>328</v>
      </c>
      <c r="C12" s="55">
        <v>10906000</v>
      </c>
      <c r="D12" s="46">
        <v>18</v>
      </c>
      <c r="E12" s="55">
        <v>8640000</v>
      </c>
      <c r="F12" s="46">
        <v>19</v>
      </c>
      <c r="G12" s="55">
        <v>12082230</v>
      </c>
      <c r="H12" s="46">
        <v>18</v>
      </c>
      <c r="I12" s="55">
        <v>8875000</v>
      </c>
      <c r="J12" s="46">
        <v>12</v>
      </c>
    </row>
  </sheetData>
  <mergeCells count="4">
    <mergeCell ref="C5:D5"/>
    <mergeCell ref="E5:F5"/>
    <mergeCell ref="G5:H5"/>
    <mergeCell ref="I5:J5"/>
  </mergeCells>
  <phoneticPr fontId="3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4:E16"/>
  <sheetViews>
    <sheetView tabSelected="1" workbookViewId="0"/>
  </sheetViews>
  <sheetFormatPr defaultRowHeight="16.899999999999999" x14ac:dyDescent="0.6"/>
  <cols>
    <col min="1" max="1" width="2.5625" customWidth="1"/>
    <col min="2" max="2" width="8.625" bestFit="1" customWidth="1"/>
    <col min="3" max="3" width="9.25" bestFit="1" customWidth="1"/>
    <col min="4" max="4" width="13.8125" bestFit="1" customWidth="1"/>
    <col min="5" max="5" width="12.75" bestFit="1" customWidth="1"/>
    <col min="6" max="12" width="13.8125" bestFit="1" customWidth="1"/>
  </cols>
  <sheetData>
    <row r="4" spans="2:5" x14ac:dyDescent="0.6">
      <c r="D4" s="45" t="s">
        <v>46</v>
      </c>
    </row>
    <row r="5" spans="2:5" x14ac:dyDescent="0.6">
      <c r="B5" s="45" t="s">
        <v>48</v>
      </c>
      <c r="C5" s="45" t="s">
        <v>329</v>
      </c>
      <c r="D5" t="s">
        <v>25</v>
      </c>
      <c r="E5" t="s">
        <v>33</v>
      </c>
    </row>
    <row r="6" spans="2:5" x14ac:dyDescent="0.6">
      <c r="B6" t="s">
        <v>43</v>
      </c>
      <c r="D6" s="54"/>
      <c r="E6" s="54"/>
    </row>
    <row r="7" spans="2:5" x14ac:dyDescent="0.6">
      <c r="C7" t="s">
        <v>368</v>
      </c>
      <c r="D7" s="54">
        <v>22936120</v>
      </c>
      <c r="E7" s="54"/>
    </row>
    <row r="8" spans="2:5" x14ac:dyDescent="0.6">
      <c r="C8" t="s">
        <v>370</v>
      </c>
      <c r="D8" s="54">
        <v>4587224</v>
      </c>
      <c r="E8" s="54"/>
    </row>
    <row r="9" spans="2:5" x14ac:dyDescent="0.6">
      <c r="B9" t="s">
        <v>59</v>
      </c>
      <c r="D9" s="54"/>
      <c r="E9" s="54"/>
    </row>
    <row r="10" spans="2:5" x14ac:dyDescent="0.6">
      <c r="C10" t="s">
        <v>368</v>
      </c>
      <c r="D10" s="54"/>
      <c r="E10" s="54">
        <v>1170000</v>
      </c>
    </row>
    <row r="11" spans="2:5" x14ac:dyDescent="0.6">
      <c r="C11" t="s">
        <v>370</v>
      </c>
      <c r="D11" s="54"/>
      <c r="E11" s="54">
        <v>292500</v>
      </c>
    </row>
    <row r="12" spans="2:5" x14ac:dyDescent="0.6">
      <c r="B12" t="s">
        <v>27</v>
      </c>
      <c r="D12" s="54"/>
      <c r="E12" s="54"/>
    </row>
    <row r="13" spans="2:5" x14ac:dyDescent="0.6">
      <c r="C13" t="s">
        <v>368</v>
      </c>
      <c r="D13" s="54">
        <v>7246780</v>
      </c>
      <c r="E13" s="54"/>
    </row>
    <row r="14" spans="2:5" x14ac:dyDescent="0.6">
      <c r="C14" t="s">
        <v>370</v>
      </c>
      <c r="D14" s="54">
        <v>805197.77777777775</v>
      </c>
      <c r="E14" s="54"/>
    </row>
    <row r="15" spans="2:5" x14ac:dyDescent="0.6">
      <c r="B15" t="s">
        <v>371</v>
      </c>
      <c r="D15" s="54">
        <v>30182900</v>
      </c>
      <c r="E15" s="54">
        <v>1170000</v>
      </c>
    </row>
    <row r="16" spans="2:5" x14ac:dyDescent="0.6">
      <c r="B16" t="s">
        <v>372</v>
      </c>
      <c r="D16" s="54">
        <v>2155921.4285714286</v>
      </c>
      <c r="E16" s="54">
        <v>292500</v>
      </c>
    </row>
  </sheetData>
  <phoneticPr fontId="3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25660-37A8-4A24-A6C0-7007C9202644}">
  <sheetPr codeName="Sheet17"/>
  <dimension ref="A1"/>
  <sheetViews>
    <sheetView workbookViewId="0"/>
  </sheetViews>
  <sheetFormatPr defaultRowHeight="16.899999999999999" x14ac:dyDescent="0.6"/>
  <sheetData/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98D061-C5DE-4D77-B82B-CFCEB4C4E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홈</vt:lpstr>
      <vt:lpstr>사용자정의함수1</vt:lpstr>
      <vt:lpstr>사용자정의함수2</vt:lpstr>
      <vt:lpstr>사용자정의함수3</vt:lpstr>
      <vt:lpstr>사용자정의함수4</vt:lpstr>
      <vt:lpstr>사용자정의함수5</vt:lpstr>
      <vt:lpstr>사용자정의함수6</vt:lpstr>
      <vt:lpstr>사용자정의함수7</vt:lpstr>
      <vt:lpstr>사용자정의함수8</vt:lpstr>
      <vt:lpstr>사용자정의함수9</vt:lpstr>
      <vt:lpstr>사용자정의함수10</vt:lpstr>
      <vt:lpstr>피벗테이블1</vt:lpstr>
      <vt:lpstr>피벗테이블2</vt:lpstr>
      <vt:lpstr>Sheet6</vt:lpstr>
      <vt:lpstr>피벗테이블3</vt:lpstr>
      <vt:lpstr>피벗테이블4</vt:lpstr>
      <vt:lpstr>피벗테이블5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2023-09-29T15:32:57Z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aa00b7cf-2755-4436-a1b6-0b7babdfe718</vt:lpwstr>
  </property>
</Properties>
</file>