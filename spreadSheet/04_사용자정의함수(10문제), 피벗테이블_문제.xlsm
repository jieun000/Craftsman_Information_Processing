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database\04_사용자정의함수(10문제), 피벗테이블(5문제)\"/>
    </mc:Choice>
  </mc:AlternateContent>
  <xr:revisionPtr revIDLastSave="0" documentId="13_ncr:1_{AF83A052-E60C-41D2-9E3B-5CDD0E8F801A}" xr6:coauthVersionLast="47" xr6:coauthVersionMax="47" xr10:uidLastSave="{00000000-0000-0000-0000-000000000000}"/>
  <bookViews>
    <workbookView xWindow="-98" yWindow="-98" windowWidth="21795" windowHeight="12975" tabRatio="888" firstSheet="10" activeTab="16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81" r:id="rId12"/>
    <sheet name="피벗테이블2" sheetId="80" r:id="rId13"/>
    <sheet name="Sheet1" sheetId="82" r:id="rId14"/>
    <sheet name="피벗테이블3" sheetId="79" r:id="rId15"/>
    <sheet name="피벗테이블4" sheetId="78" r:id="rId16"/>
    <sheet name="피벗테이블5" sheetId="77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pivotCaches>
    <pivotCache cacheId="39" r:id="rId21"/>
    <pivotCache cacheId="43" r:id="rId22"/>
    <pivotCache cacheId="94" r:id="rId23"/>
    <pivotCache cacheId="95" r:id="rId24"/>
    <pivotCache cacheId="119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기풍전자판매현황" name="기풍전자판매현황" connection="기풍전자판매현황"/>
          <x15:modelTable id="소득공제" name="소득공제" connection="소득공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37" l="1" a="1"/>
  <c r="K14" i="37" a="1"/>
  <c r="K22" i="37" a="1"/>
  <c r="K7" i="37" a="1"/>
  <c r="K15" i="37" a="1"/>
  <c r="K23" i="37" a="1"/>
  <c r="K8" i="37" a="1"/>
  <c r="K16" i="37" a="1"/>
  <c r="K24" i="37" a="1"/>
  <c r="K9" i="37" a="1"/>
  <c r="K17" i="37" a="1"/>
  <c r="K25" i="37" a="1"/>
  <c r="K10" i="37" a="1"/>
  <c r="K18" i="37" a="1"/>
  <c r="K11" i="37" a="1"/>
  <c r="K19" i="37" a="1"/>
  <c r="K12" i="37" a="1"/>
  <c r="K20" i="37" a="1"/>
  <c r="K5" i="37" a="1"/>
  <c r="K13" i="37" a="1"/>
  <c r="K21" i="37" a="1"/>
  <c r="K4" i="37" a="1"/>
  <c r="I5" i="67" a="1"/>
  <c r="I13" i="67" a="1"/>
  <c r="I21" i="67" a="1"/>
  <c r="I29" i="67" a="1"/>
  <c r="I37" i="67" a="1"/>
  <c r="I9" i="67" a="1"/>
  <c r="I10" i="67" a="1"/>
  <c r="I11" i="67" a="1"/>
  <c r="I28" i="67" a="1"/>
  <c r="I22" i="67" a="1"/>
  <c r="I38" i="67" a="1"/>
  <c r="I17" i="67" a="1"/>
  <c r="I18" i="67" a="1"/>
  <c r="I12" i="67" a="1"/>
  <c r="I6" i="67" a="1"/>
  <c r="I14" i="67" a="1"/>
  <c r="I30" i="67" a="1"/>
  <c r="I40" i="67" a="1"/>
  <c r="I15" i="67" a="1"/>
  <c r="I23" i="67" a="1"/>
  <c r="I31" i="67" a="1"/>
  <c r="I16" i="67" a="1"/>
  <c r="I25" i="67" a="1"/>
  <c r="I19" i="67" a="1"/>
  <c r="I7" i="67" a="1"/>
  <c r="I39" i="67" a="1"/>
  <c r="I24" i="67" a="1"/>
  <c r="I32" i="67" a="1"/>
  <c r="I33" i="67" a="1"/>
  <c r="I26" i="67" a="1"/>
  <c r="I35" i="67" a="1"/>
  <c r="I36" i="67" a="1"/>
  <c r="I8" i="67" a="1"/>
  <c r="I34" i="67" a="1"/>
  <c r="I27" i="67" a="1"/>
  <c r="I20" i="67" a="1"/>
  <c r="I4" i="67" a="1"/>
  <c r="I6" i="40" a="1"/>
  <c r="I14" i="40" a="1"/>
  <c r="I22" i="40" a="1"/>
  <c r="I30" i="40" a="1"/>
  <c r="I38" i="40" a="1"/>
  <c r="I7" i="40" a="1"/>
  <c r="I15" i="40" a="1"/>
  <c r="I23" i="40" a="1"/>
  <c r="I31" i="40" a="1"/>
  <c r="I39" i="40" a="1"/>
  <c r="I8" i="40" a="1"/>
  <c r="I32" i="40" a="1"/>
  <c r="I40" i="40" a="1"/>
  <c r="I9" i="40" a="1"/>
  <c r="I17" i="40" a="1"/>
  <c r="I25" i="40" a="1"/>
  <c r="I10" i="40" a="1"/>
  <c r="I18" i="40" a="1"/>
  <c r="I26" i="40" a="1"/>
  <c r="I34" i="40" a="1"/>
  <c r="I11" i="40" a="1"/>
  <c r="I19" i="40" a="1"/>
  <c r="I35" i="40" a="1"/>
  <c r="I12" i="40" a="1"/>
  <c r="I29" i="40" a="1"/>
  <c r="I16" i="40" a="1"/>
  <c r="I27" i="40" a="1"/>
  <c r="I36" i="40" a="1"/>
  <c r="I21" i="40" a="1"/>
  <c r="I37" i="40" a="1"/>
  <c r="I24" i="40" a="1"/>
  <c r="I20" i="40" a="1"/>
  <c r="I13" i="40" a="1"/>
  <c r="I33" i="40" a="1"/>
  <c r="I28" i="40" a="1"/>
  <c r="I5" i="40" a="1"/>
  <c r="I4" i="40" a="1"/>
  <c r="J5" i="38" a="1"/>
  <c r="J13" i="38" a="1"/>
  <c r="J21" i="38" a="1"/>
  <c r="J29" i="38" a="1"/>
  <c r="J37" i="38" a="1"/>
  <c r="J38" i="38" a="1"/>
  <c r="J15" i="38" a="1"/>
  <c r="J31" i="38" a="1"/>
  <c r="J24" i="38" a="1"/>
  <c r="J40" i="38" a="1"/>
  <c r="J9" i="38" a="1"/>
  <c r="J18" i="38" a="1"/>
  <c r="J11" i="38" a="1"/>
  <c r="J12" i="38" a="1"/>
  <c r="J6" i="38" a="1"/>
  <c r="J22" i="38" a="1"/>
  <c r="J30" i="38" a="1"/>
  <c r="J23" i="38" a="1"/>
  <c r="J39" i="38" a="1"/>
  <c r="J16" i="38" a="1"/>
  <c r="J32" i="38" a="1"/>
  <c r="J17" i="38" a="1"/>
  <c r="J33" i="38" a="1"/>
  <c r="J10" i="38" a="1"/>
  <c r="J19" i="38" a="1"/>
  <c r="J28" i="38" a="1"/>
  <c r="J14" i="38" a="1"/>
  <c r="J34" i="38" a="1"/>
  <c r="J27" i="38" a="1"/>
  <c r="J36" i="38" a="1"/>
  <c r="J7" i="38" a="1"/>
  <c r="J8" i="38" a="1"/>
  <c r="J25" i="38" a="1"/>
  <c r="J26" i="38" a="1"/>
  <c r="J20" i="38" a="1"/>
  <c r="J35" i="38" a="1"/>
  <c r="J4" i="38" a="1"/>
  <c r="I5" i="36" a="1"/>
  <c r="I13" i="36" a="1"/>
  <c r="I28" i="36" a="1"/>
  <c r="I6" i="36" a="1"/>
  <c r="I14" i="36" a="1"/>
  <c r="I22" i="36" a="1"/>
  <c r="I30" i="36" a="1"/>
  <c r="I7" i="36" a="1"/>
  <c r="I15" i="36" a="1"/>
  <c r="I23" i="36" a="1"/>
  <c r="I31" i="36" a="1"/>
  <c r="I16" i="36" a="1"/>
  <c r="I24" i="36" a="1"/>
  <c r="I32" i="36" a="1"/>
  <c r="I9" i="36" a="1"/>
  <c r="I17" i="36" a="1"/>
  <c r="I33" i="36" a="1"/>
  <c r="I10" i="36" a="1"/>
  <c r="I18" i="36" a="1"/>
  <c r="I26" i="36" a="1"/>
  <c r="I19" i="36" a="1"/>
  <c r="I27" i="36" a="1"/>
  <c r="I20" i="36" a="1"/>
  <c r="I29" i="36" a="1"/>
  <c r="I8" i="36" a="1"/>
  <c r="I11" i="36" a="1"/>
  <c r="I12" i="36" a="1"/>
  <c r="I21" i="36" a="1"/>
  <c r="I25" i="36" a="1"/>
  <c r="I4" i="36" a="1"/>
  <c r="K5" i="66" a="1"/>
  <c r="K13" i="66" a="1"/>
  <c r="K21" i="66" a="1"/>
  <c r="K29" i="66" a="1"/>
  <c r="K6" i="66" a="1"/>
  <c r="K14" i="66" a="1"/>
  <c r="K22" i="66" a="1"/>
  <c r="K30" i="66" a="1"/>
  <c r="K7" i="66" a="1"/>
  <c r="K15" i="66" a="1"/>
  <c r="K23" i="66" a="1"/>
  <c r="K31" i="66" a="1"/>
  <c r="K8" i="66" a="1"/>
  <c r="K24" i="66" a="1"/>
  <c r="K32" i="66" a="1"/>
  <c r="K9" i="66" a="1"/>
  <c r="K17" i="66" a="1"/>
  <c r="K25" i="66" a="1"/>
  <c r="K10" i="66" a="1"/>
  <c r="K18" i="66" a="1"/>
  <c r="K26" i="66" a="1"/>
  <c r="K11" i="66" a="1"/>
  <c r="K19" i="66" a="1"/>
  <c r="K27" i="66" a="1"/>
  <c r="K12" i="66" a="1"/>
  <c r="K20" i="66" a="1"/>
  <c r="K33" i="66" a="1"/>
  <c r="K16" i="66" a="1"/>
  <c r="K28" i="66" a="1"/>
  <c r="K4" i="66" a="1"/>
  <c r="K5" i="39" a="1"/>
  <c r="K13" i="39" a="1"/>
  <c r="K21" i="39" a="1"/>
  <c r="K29" i="39" a="1"/>
  <c r="K20" i="39" a="1"/>
  <c r="K6" i="39" a="1"/>
  <c r="K22" i="39" a="1"/>
  <c r="K30" i="39" a="1"/>
  <c r="K7" i="39" a="1"/>
  <c r="K15" i="39" a="1"/>
  <c r="K23" i="39" a="1"/>
  <c r="K31" i="39" a="1"/>
  <c r="K8" i="39" a="1"/>
  <c r="K16" i="39" a="1"/>
  <c r="K24" i="39" a="1"/>
  <c r="K32" i="39" a="1"/>
  <c r="K9" i="39" a="1"/>
  <c r="K25" i="39" a="1"/>
  <c r="K10" i="39" a="1"/>
  <c r="K26" i="39" a="1"/>
  <c r="K11" i="39" a="1"/>
  <c r="K27" i="39" a="1"/>
  <c r="K12" i="39" a="1"/>
  <c r="K14" i="39" a="1"/>
  <c r="K17" i="39" a="1"/>
  <c r="K33" i="39" a="1"/>
  <c r="K18" i="39" a="1"/>
  <c r="K19" i="39" a="1"/>
  <c r="K28" i="39" a="1"/>
  <c r="K4" i="39" a="1"/>
  <c r="J6" i="33" a="1"/>
  <c r="J14" i="33" a="1"/>
  <c r="J22" i="33" a="1"/>
  <c r="J30" i="33" a="1"/>
  <c r="J38" i="33" a="1"/>
  <c r="J25" i="33" a="1"/>
  <c r="J11" i="33" a="1"/>
  <c r="J20" i="33" a="1"/>
  <c r="J21" i="33" a="1"/>
  <c r="J7" i="33" a="1"/>
  <c r="J15" i="33" a="1"/>
  <c r="J23" i="33" a="1"/>
  <c r="J31" i="33" a="1"/>
  <c r="J39" i="33" a="1"/>
  <c r="J8" i="33" a="1"/>
  <c r="J16" i="33" a="1"/>
  <c r="J24" i="33" a="1"/>
  <c r="J32" i="33" a="1"/>
  <c r="J40" i="33" a="1"/>
  <c r="J9" i="33" a="1"/>
  <c r="J33" i="33" a="1"/>
  <c r="J41" i="33" a="1"/>
  <c r="J10" i="33" a="1"/>
  <c r="J26" i="33" a="1"/>
  <c r="J42" i="33" a="1"/>
  <c r="J27" i="33" a="1"/>
  <c r="J28" i="33" a="1"/>
  <c r="J5" i="33" a="1"/>
  <c r="J29" i="33" a="1"/>
  <c r="J17" i="33" a="1"/>
  <c r="J18" i="33" a="1"/>
  <c r="J34" i="33" a="1"/>
  <c r="J19" i="33" a="1"/>
  <c r="J35" i="33" a="1"/>
  <c r="J12" i="33" a="1"/>
  <c r="J36" i="33" a="1"/>
  <c r="J13" i="33" a="1"/>
  <c r="J37" i="33" a="1"/>
  <c r="J4" i="33" a="1"/>
  <c r="H6" i="32" a="1"/>
  <c r="H14" i="32" a="1"/>
  <c r="H22" i="32" a="1"/>
  <c r="H30" i="32" a="1"/>
  <c r="H38" i="32" a="1"/>
  <c r="H7" i="32" a="1"/>
  <c r="H15" i="32" a="1"/>
  <c r="H23" i="32" a="1"/>
  <c r="H31" i="32" a="1"/>
  <c r="H39" i="32" a="1"/>
  <c r="H8" i="32" a="1"/>
  <c r="H16" i="32" a="1"/>
  <c r="H24" i="32" a="1"/>
  <c r="H32" i="32" a="1"/>
  <c r="H17" i="32" a="1"/>
  <c r="H25" i="32" a="1"/>
  <c r="H33" i="32" a="1"/>
  <c r="H10" i="32" a="1"/>
  <c r="H18" i="32" a="1"/>
  <c r="H26" i="32" a="1"/>
  <c r="H34" i="32" a="1"/>
  <c r="H19" i="32" a="1"/>
  <c r="H27" i="32" a="1"/>
  <c r="H35" i="32" a="1"/>
  <c r="H12" i="32" a="1"/>
  <c r="H20" i="32" a="1"/>
  <c r="H28" i="32" a="1"/>
  <c r="H36" i="32" a="1"/>
  <c r="H5" i="32" a="1"/>
  <c r="H13" i="32" a="1"/>
  <c r="H21" i="32" a="1"/>
  <c r="H29" i="32" a="1"/>
  <c r="H11" i="32" a="1"/>
  <c r="H9" i="32" a="1"/>
  <c r="H37" i="32" a="1"/>
  <c r="H4" i="32" a="1"/>
  <c r="K21" i="37" l="1"/>
  <c r="K13" i="37"/>
  <c r="K5" i="37"/>
  <c r="K20" i="37"/>
  <c r="K12" i="37"/>
  <c r="K19" i="37"/>
  <c r="K11" i="37"/>
  <c r="K18" i="37"/>
  <c r="K10" i="37"/>
  <c r="K25" i="37"/>
  <c r="K17" i="37"/>
  <c r="K9" i="37"/>
  <c r="K24" i="37"/>
  <c r="K16" i="37"/>
  <c r="K8" i="37"/>
  <c r="K23" i="37"/>
  <c r="K15" i="37"/>
  <c r="K7" i="37"/>
  <c r="K22" i="37"/>
  <c r="K14" i="37"/>
  <c r="K6" i="37"/>
  <c r="K4" i="37"/>
  <c r="I20" i="67"/>
  <c r="I27" i="67"/>
  <c r="I34" i="67"/>
  <c r="I8" i="67"/>
  <c r="I36" i="67"/>
  <c r="I35" i="67"/>
  <c r="I26" i="67"/>
  <c r="I33" i="67"/>
  <c r="I32" i="67"/>
  <c r="I24" i="67"/>
  <c r="I39" i="67"/>
  <c r="I7" i="67"/>
  <c r="I19" i="67"/>
  <c r="I25" i="67"/>
  <c r="I16" i="67"/>
  <c r="I31" i="67"/>
  <c r="I23" i="67"/>
  <c r="I15" i="67"/>
  <c r="I40" i="67"/>
  <c r="I30" i="67"/>
  <c r="I14" i="67"/>
  <c r="I6" i="67"/>
  <c r="I12" i="67"/>
  <c r="I18" i="67"/>
  <c r="I17" i="67"/>
  <c r="I38" i="67"/>
  <c r="I22" i="67"/>
  <c r="I28" i="67"/>
  <c r="I11" i="67"/>
  <c r="I10" i="67"/>
  <c r="I9" i="67"/>
  <c r="I37" i="67"/>
  <c r="I29" i="67"/>
  <c r="I21" i="67"/>
  <c r="I13" i="67"/>
  <c r="I5" i="67"/>
  <c r="I4" i="67"/>
  <c r="I5" i="40"/>
  <c r="I28" i="40"/>
  <c r="I33" i="40"/>
  <c r="I13" i="40"/>
  <c r="I20" i="40"/>
  <c r="I24" i="40"/>
  <c r="I37" i="40"/>
  <c r="I21" i="40"/>
  <c r="I36" i="40"/>
  <c r="I27" i="40"/>
  <c r="I16" i="40"/>
  <c r="I29" i="40"/>
  <c r="I12" i="40"/>
  <c r="I35" i="40"/>
  <c r="I19" i="40"/>
  <c r="I11" i="40"/>
  <c r="I34" i="40"/>
  <c r="I26" i="40"/>
  <c r="I18" i="40"/>
  <c r="I10" i="40"/>
  <c r="I25" i="40"/>
  <c r="I17" i="40"/>
  <c r="I9" i="40"/>
  <c r="I40" i="40"/>
  <c r="I32" i="40"/>
  <c r="I8" i="40"/>
  <c r="I39" i="40"/>
  <c r="I31" i="40"/>
  <c r="I23" i="40"/>
  <c r="I15" i="40"/>
  <c r="I7" i="40"/>
  <c r="I38" i="40"/>
  <c r="I30" i="40"/>
  <c r="I22" i="40"/>
  <c r="I14" i="40"/>
  <c r="I6" i="40"/>
  <c r="I4" i="40"/>
  <c r="J35" i="38"/>
  <c r="J20" i="38"/>
  <c r="J26" i="38"/>
  <c r="J25" i="38"/>
  <c r="J8" i="38"/>
  <c r="J7" i="38"/>
  <c r="J36" i="38"/>
  <c r="J27" i="38"/>
  <c r="J34" i="38"/>
  <c r="J14" i="38"/>
  <c r="J28" i="38"/>
  <c r="J19" i="38"/>
  <c r="J10" i="38"/>
  <c r="J33" i="38"/>
  <c r="J17" i="38"/>
  <c r="J32" i="38"/>
  <c r="J16" i="38"/>
  <c r="J39" i="38"/>
  <c r="J23" i="38"/>
  <c r="J30" i="38"/>
  <c r="J22" i="38"/>
  <c r="J6" i="38"/>
  <c r="J12" i="38"/>
  <c r="J11" i="38"/>
  <c r="J18" i="38"/>
  <c r="J9" i="38"/>
  <c r="J40" i="38"/>
  <c r="J24" i="38"/>
  <c r="J31" i="38"/>
  <c r="J15" i="38"/>
  <c r="J38" i="38"/>
  <c r="J37" i="38"/>
  <c r="J29" i="38"/>
  <c r="J21" i="38"/>
  <c r="J13" i="38"/>
  <c r="J5" i="38"/>
  <c r="J4" i="38"/>
  <c r="I25" i="36"/>
  <c r="I21" i="36"/>
  <c r="I12" i="36"/>
  <c r="I11" i="36"/>
  <c r="I8" i="36"/>
  <c r="I29" i="36"/>
  <c r="I20" i="36"/>
  <c r="I27" i="36"/>
  <c r="I19" i="36"/>
  <c r="I26" i="36"/>
  <c r="I18" i="36"/>
  <c r="I10" i="36"/>
  <c r="I33" i="36"/>
  <c r="I17" i="36"/>
  <c r="I9" i="36"/>
  <c r="I32" i="36"/>
  <c r="I24" i="36"/>
  <c r="I16" i="36"/>
  <c r="I31" i="36"/>
  <c r="I23" i="36"/>
  <c r="I15" i="36"/>
  <c r="I7" i="36"/>
  <c r="I30" i="36"/>
  <c r="I22" i="36"/>
  <c r="I14" i="36"/>
  <c r="I6" i="36"/>
  <c r="I28" i="36"/>
  <c r="I13" i="36"/>
  <c r="I5" i="36"/>
  <c r="I4" i="36"/>
  <c r="K28" i="66"/>
  <c r="K16" i="66"/>
  <c r="K33" i="66"/>
  <c r="K20" i="66"/>
  <c r="K12" i="66"/>
  <c r="K27" i="66"/>
  <c r="K19" i="66"/>
  <c r="K11" i="66"/>
  <c r="K26" i="66"/>
  <c r="K18" i="66"/>
  <c r="K10" i="66"/>
  <c r="K25" i="66"/>
  <c r="K17" i="66"/>
  <c r="K9" i="66"/>
  <c r="K32" i="66"/>
  <c r="K24" i="66"/>
  <c r="K8" i="66"/>
  <c r="K31" i="66"/>
  <c r="K23" i="66"/>
  <c r="K15" i="66"/>
  <c r="K7" i="66"/>
  <c r="K30" i="66"/>
  <c r="K22" i="66"/>
  <c r="K14" i="66"/>
  <c r="K6" i="66"/>
  <c r="K29" i="66"/>
  <c r="K21" i="66"/>
  <c r="K13" i="66"/>
  <c r="K5" i="66"/>
  <c r="K4" i="66"/>
  <c r="K28" i="39"/>
  <c r="K19" i="39"/>
  <c r="K18" i="39"/>
  <c r="K33" i="39"/>
  <c r="K17" i="39"/>
  <c r="K14" i="39"/>
  <c r="K12" i="39"/>
  <c r="K27" i="39"/>
  <c r="K11" i="39"/>
  <c r="K26" i="39"/>
  <c r="K10" i="39"/>
  <c r="K25" i="39"/>
  <c r="K9" i="39"/>
  <c r="K32" i="39"/>
  <c r="K24" i="39"/>
  <c r="K16" i="39"/>
  <c r="K8" i="39"/>
  <c r="K31" i="39"/>
  <c r="K23" i="39"/>
  <c r="K15" i="39"/>
  <c r="K7" i="39"/>
  <c r="K30" i="39"/>
  <c r="K22" i="39"/>
  <c r="K6" i="39"/>
  <c r="K20" i="39"/>
  <c r="K29" i="39"/>
  <c r="K21" i="39"/>
  <c r="K13" i="39"/>
  <c r="K5" i="39"/>
  <c r="K4" i="39"/>
  <c r="J37" i="33"/>
  <c r="J13" i="33"/>
  <c r="J36" i="33"/>
  <c r="J12" i="33"/>
  <c r="J35" i="33"/>
  <c r="J19" i="33"/>
  <c r="J34" i="33"/>
  <c r="J18" i="33"/>
  <c r="J17" i="33"/>
  <c r="J29" i="33"/>
  <c r="J5" i="33"/>
  <c r="J28" i="33"/>
  <c r="J27" i="33"/>
  <c r="J42" i="33"/>
  <c r="J26" i="33"/>
  <c r="J10" i="33"/>
  <c r="J41" i="33"/>
  <c r="J33" i="33"/>
  <c r="J9" i="33"/>
  <c r="J40" i="33"/>
  <c r="J32" i="33"/>
  <c r="J24" i="33"/>
  <c r="J16" i="33"/>
  <c r="J8" i="33"/>
  <c r="J39" i="33"/>
  <c r="J31" i="33"/>
  <c r="J23" i="33"/>
  <c r="J15" i="33"/>
  <c r="J7" i="33"/>
  <c r="J21" i="33"/>
  <c r="J20" i="33"/>
  <c r="J11" i="33"/>
  <c r="J25" i="33"/>
  <c r="J38" i="33"/>
  <c r="J30" i="33"/>
  <c r="J22" i="33"/>
  <c r="J14" i="33"/>
  <c r="J6" i="33"/>
  <c r="J4" i="33"/>
  <c r="H37" i="32"/>
  <c r="H9" i="32"/>
  <c r="H11" i="32"/>
  <c r="H29" i="32"/>
  <c r="H21" i="32"/>
  <c r="H13" i="32"/>
  <c r="H5" i="32"/>
  <c r="H36" i="32"/>
  <c r="H28" i="32"/>
  <c r="H20" i="32"/>
  <c r="H12" i="32"/>
  <c r="H35" i="32"/>
  <c r="H27" i="32"/>
  <c r="H19" i="32"/>
  <c r="H34" i="32"/>
  <c r="H26" i="32"/>
  <c r="H18" i="32"/>
  <c r="H10" i="32"/>
  <c r="H33" i="32"/>
  <c r="H25" i="32"/>
  <c r="H17" i="32"/>
  <c r="H32" i="32"/>
  <c r="H24" i="32"/>
  <c r="H16" i="32"/>
  <c r="H8" i="32"/>
  <c r="H39" i="32"/>
  <c r="H31" i="32"/>
  <c r="H23" i="32"/>
  <c r="H15" i="32"/>
  <c r="H7" i="32"/>
  <c r="H38" i="32"/>
  <c r="H30" i="32"/>
  <c r="H22" i="32"/>
  <c r="H14" i="32"/>
  <c r="H6" i="32"/>
  <c r="H4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5D68E4-CF47-4515-BB9F-5B6E037C7362}" name="MS Access Database_Query" type="1" refreshedVersion="8" background="1">
    <dbPr connection="DSN=MS Access Database;DBQ=C:\Users\mondi\Desktop\database\04_사용자정의함수(10문제), 피벗테이블(5문제)\외부데이터\생활기상정보.accdb;DefaultDir=C:\Users\mondi\Desktop\database\04_사용자정의함수(10문제), 피벗테이블(5문제)\외부데이터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2" xr16:uid="{8AE5B5CE-1845-4BD1-B27B-34532DAD0A31}" name="MS Access Database_Query1" type="1" refreshedVersion="8" background="1">
    <dbPr connection="DSN=MS Access Database;DBQ=C:\Users\mondi\Desktop\database\04_사용자정의함수(10문제), 피벗테이블(5문제)\외부데이터\기풍대학오피스점수.accdb;DefaultDir=C:\Users\mondi\Desktop\database\04_사용자정의함수(10문제), 피벗테이블(5문제)\외부데이터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기풍대학오피스점수 기풍대학오피스점수"/>
  </connection>
  <connection id="3" xr16:uid="{C58BBAC1-C079-4DCA-B3E8-CAEA5AFA58F7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AD76D8AE-6671-41C8-9B17-80A7F97F74E7}" name="기풍전자판매현황" type="103" refreshedVersion="8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Users\mondi\Desktop\database\04_사용자정의함수(10문제), 피벗테이블(5문제)\외부데이터\기풍전자판매현황.csv" comma="1">
            <textFields count="5"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5" xr16:uid="{E08A2C44-BAF9-43D6-937E-40A86B788677}" name="소득공제" type="103" refreshedVersion="8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Users\mondi\Desktop\database\04_사용자정의함수(10문제), 피벗테이블(5문제)\외부데이터\소득공제.txt">
            <textFields count="6"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6" xr16:uid="{86D87C17-0C30-45F1-9B76-903FA63E46C7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database\04_사용자정의함수(10문제), 피벗테이블(5문제)\외부데이터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<sst xmlns="http://schemas.openxmlformats.org/spreadsheetml/2006/main" count="1562" uniqueCount="373">
  <si>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</si>
  <si>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</si>
  <si>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</si>
  <si>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</si>
  <si>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</si>
  <si>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</si>
  <si>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</si>
  <si>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</si>
  <si>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</si>
  <si>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</si>
  <si>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</si>
  <si>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</si>
  <si>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</si>
  <si>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</si>
  <si>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</si>
  <si>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</si>
  <si>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</si>
  <si>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</si>
  <si>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</si>
  <si>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</si>
  <si>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</si>
  <si>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</si>
  <si>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</si>
  <si>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</si>
  <si>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</si>
  <si>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</si>
  <si>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</si>
  <si>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</si>
  <si>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</si>
  <si>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</si>
  <si>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</si>
  <si>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</si>
  <si>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</si>
  <si>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</si>
  <si>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</si>
  <si>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</si>
  <si>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</si>
  <si>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</si>
  <si>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</si>
  <si>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</si>
  <si>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</si>
  <si>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</si>
  <si>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</si>
  <si>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</si>
  <si>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</si>
  <si>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</si>
  <si>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</si>
  <si>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</si>
  <si>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</si>
  <si>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</si>
  <si>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</si>
  <si>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</si>
  <si>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</si>
  <si>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</si>
  <si>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</si>
  <si>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</si>
  <si>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</si>
  <si>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</si>
  <si>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</si>
  <si>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</si>
  <si>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</si>
  <si>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</si>
  <si>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</si>
  <si>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</si>
  <si>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</si>
  <si>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</si>
  <si>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</si>
  <si>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</si>
  <si>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</si>
  <si>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</si>
  <si>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</si>
  <si>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</si>
  <si>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</si>
  <si>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</si>
  <si>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</si>
  <si>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</si>
  <si>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</si>
  <si>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</si>
  <si>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</si>
  <si>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</si>
  <si>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</si>
  <si>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</si>
  <si>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</si>
  <si>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</si>
  <si>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</si>
  <si>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</si>
  <si>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</si>
  <si>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</si>
  <si>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</si>
  <si>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</si>
  <si>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</si>
  <si>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</si>
  <si>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</si>
  <si>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</si>
  <si>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</si>
  <si>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</si>
  <si>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</si>
  <si>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</si>
  <si>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</si>
  <si>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</si>
  <si>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</si>
  <si>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</si>
  <si>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</si>
  <si>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</si>
  <si>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</si>
  <si>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</si>
  <si>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</si>
  <si>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</si>
  <si>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</si>
  <si>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</si>
  <si>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</si>
  <si>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</si>
  <si>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</si>
  <si>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</si>
  <si>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</si>
  <si>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</si>
  <si>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</si>
  <si>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</si>
  <si>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</si>
  <si>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</si>
  <si>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</si>
  <si>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</si>
  <si>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</si>
  <si>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</si>
  <si>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</si>
  <si>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</si>
  <si>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</si>
  <si>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</si>
  <si>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</si>
  <si>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</si>
  <si>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</si>
  <si>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</si>
  <si>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</si>
  <si>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</si>
  <si>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</si>
  <si>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</si>
  <si>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</si>
  <si>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</si>
  <si>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</si>
  <si>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</si>
  <si>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</si>
  <si>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</si>
  <si>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</si>
  <si>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</si>
  <si>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</si>
  <si>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</si>
  <si>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</si>
  <si>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</si>
  <si>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</si>
  <si>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</si>
  <si>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</si>
  <si>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</si>
  <si>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</si>
  <si>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</si>
  <si>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</si>
  <si>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</si>
  <si>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</si>
  <si>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</si>
  <si>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</si>
  <si>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</si>
  <si>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</si>
  <si>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</si>
  <si>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</si>
  <si>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</si>
  <si>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</si>
  <si>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</si>
  <si>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</si>
  <si>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</si>
  <si>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</si>
  <si>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</si>
  <si>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</si>
  <si>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</si>
  <si>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</si>
  <si>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</si>
  <si>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</si>
  <si>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</si>
  <si>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</si>
  <si>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</si>
  <si>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</si>
  <si>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</si>
  <si>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</si>
  <si>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</si>
  <si>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</si>
  <si>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</si>
  <si>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</si>
  <si>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</si>
  <si>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</si>
  <si>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</si>
  <si>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</si>
  <si>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</si>
  <si>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</si>
  <si>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</si>
  <si>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</si>
  <si>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</si>
  <si>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</si>
  <si>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</si>
  <si>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</si>
  <si>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</si>
  <si>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</si>
  <si>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</si>
  <si>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</si>
  <si>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</si>
  <si>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</si>
  <si>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</si>
  <si>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</si>
  <si>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</si>
  <si>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</si>
  <si>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</si>
  <si>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</si>
  <si>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</si>
  <si>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</si>
  <si>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</si>
  <si>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</si>
  <si>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</si>
  <si>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</si>
  <si>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</si>
  <si>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</si>
  <si>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</si>
  <si>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</si>
  <si>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</si>
  <si>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</si>
  <si>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</si>
  <si>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</si>
  <si>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</si>
  <si>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</si>
  <si>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</si>
  <si>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</si>
  <si>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</si>
  <si>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</si>
  <si>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</si>
  <si>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</si>
  <si>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</si>
  <si>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</si>
  <si>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</si>
  <si>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</si>
  <si>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</si>
  <si>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</si>
  <si>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</si>
  <si>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</si>
  <si>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</si>
  <si>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</si>
  <si>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</si>
  <si>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</si>
  <si>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</si>
  <si>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</si>
  <si>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</si>
  <si>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</si>
  <si>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</si>
  <si>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</si>
  <si>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</si>
  <si>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</si>
  <si>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</si>
  <si>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</si>
  <si>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</si>
  <si>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</si>
  <si>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</si>
  <si>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</si>
  <si>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</si>
  <si>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</si>
  <si>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</si>
  <si>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</si>
  <si>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</si>
  <si>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</si>
  <si>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</si>
  <si>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</si>
  <si>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</si>
  <si>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</si>
  <si>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</si>
  <si>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</si>
  <si>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</si>
  <si>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</si>
  <si>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</si>
  <si>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</si>
  <si>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</si>
  <si>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</si>
  <si>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</si>
  <si>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</si>
  <si>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</si>
  <si>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</si>
  <si>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</si>
  <si>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</si>
  <si>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</si>
  <si>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</si>
  <si>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</si>
  <si>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</si>
  <si>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</si>
  <si>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</si>
  <si>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</si>
  <si>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</si>
  <si>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</si>
  <si>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</si>
  <si>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</si>
  <si>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</si>
  <si>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</si>
  <si>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</si>
  <si>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</si>
  <si>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</si>
  <si>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</si>
  <si>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</si>
  <si>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</si>
  <si>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</si>
  <si>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</si>
  <si>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</si>
  <si>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</si>
  <si>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</si>
  <si>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</si>
  <si>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</si>
  <si>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</si>
  <si>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</si>
  <si>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</si>
  <si>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</si>
  <si>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</si>
  <si>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</si>
  <si>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</si>
  <si>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</si>
  <si>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</si>
  <si>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</si>
  <si>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</si>
  <si>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</si>
  <si>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</si>
  <si>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믿음반</t>
  </si>
  <si>
    <t>소망반</t>
  </si>
  <si>
    <t>온유반</t>
  </si>
  <si>
    <t>절제반</t>
  </si>
  <si>
    <t>남</t>
  </si>
  <si>
    <t>여</t>
  </si>
  <si>
    <t>평균: 출석수</t>
  </si>
  <si>
    <t>전체 평균: 출석수</t>
  </si>
  <si>
    <t>전체 학생수</t>
  </si>
  <si>
    <t>학생수</t>
  </si>
  <si>
    <t>성별</t>
  </si>
  <si>
    <t>값</t>
  </si>
  <si>
    <t>학년</t>
  </si>
  <si>
    <t>반</t>
  </si>
  <si>
    <t>*</t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</si>
  <si>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</si>
  <si>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</si>
  <si>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</si>
  <si>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</si>
  <si>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</si>
  <si>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</si>
  <si>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</si>
  <si>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</si>
  <si>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</si>
  <si>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</si>
  <si>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합계 : 겨울기상</t>
  </si>
  <si>
    <t>전체 합계 : 겨울기상</t>
  </si>
  <si>
    <t>전체 합계 : 봄기상</t>
  </si>
  <si>
    <t>합계 : 봄기상</t>
  </si>
  <si>
    <t>기상</t>
  </si>
  <si>
    <t>지역</t>
  </si>
  <si>
    <t>컴퓨터공학과</t>
  </si>
  <si>
    <t>평균 : 점수</t>
  </si>
  <si>
    <t>전체 평균 : 점수</t>
  </si>
  <si>
    <t>전체 합계 : 포인트</t>
  </si>
  <si>
    <t>합계 : 포인트</t>
  </si>
  <si>
    <t>★★★</t>
  </si>
  <si>
    <t>TV</t>
  </si>
  <si>
    <t>냉장고</t>
  </si>
  <si>
    <t>노트북</t>
  </si>
  <si>
    <t>세탁기</t>
  </si>
  <si>
    <t>청소기</t>
  </si>
  <si>
    <t>이체</t>
  </si>
  <si>
    <t>카드</t>
  </si>
  <si>
    <t>페이</t>
  </si>
  <si>
    <t>현금</t>
  </si>
  <si>
    <t>합계: 금액</t>
  </si>
  <si>
    <t>전체 합계: 금액</t>
  </si>
  <si>
    <t>합계: 판매대수</t>
  </si>
  <si>
    <t>결제방법</t>
  </si>
  <si>
    <t>상품명</t>
  </si>
  <si>
    <t>전체 평균: 금액</t>
  </si>
  <si>
    <t>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</si>
</sst>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0_ 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9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3" borderId="2" xfId="5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5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6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vertical="center" wrapText="1"/>
    </xf>
    <xf numFmtId="3" fontId="5" fillId="4" borderId="6" xfId="0" applyNumberFormat="1" applyFont="1" applyFill="1" applyBorder="1" applyAlignment="1">
      <alignment horizontal="right" vertical="center" wrapText="1"/>
    </xf>
    <xf numFmtId="0" fontId="5" fillId="4" borderId="3" xfId="6" applyFont="1" applyFill="1" applyBorder="1" applyAlignment="1">
      <alignment vertical="center" wrapText="1"/>
    </xf>
    <xf numFmtId="3" fontId="5" fillId="4" borderId="5" xfId="6" applyNumberFormat="1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vertical="center" wrapText="1"/>
    </xf>
    <xf numFmtId="3" fontId="5" fillId="4" borderId="5" xfId="0" applyNumberFormat="1" applyFont="1" applyFill="1" applyBorder="1" applyAlignment="1">
      <alignment horizontal="right" vertical="center" wrapText="1"/>
    </xf>
    <xf numFmtId="3" fontId="6" fillId="0" borderId="1" xfId="9" applyNumberFormat="1" applyFont="1" applyBorder="1">
      <alignment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3" borderId="7" xfId="5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3" borderId="7" xfId="5" applyBorder="1" applyAlignment="1">
      <alignment horizontal="center"/>
    </xf>
    <xf numFmtId="0" fontId="2" fillId="3" borderId="2" xfId="5" applyBorder="1" applyAlignment="1">
      <alignment horizontal="center" vertical="center"/>
    </xf>
    <xf numFmtId="0" fontId="2" fillId="3" borderId="7" xfId="5" applyBorder="1" applyAlignment="1">
      <alignment horizontal="center" vertical="center"/>
    </xf>
    <xf numFmtId="0" fontId="2" fillId="2" borderId="7" xfId="2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>
      <alignment vertical="center"/>
    </xf>
    <xf numFmtId="41" fontId="0" fillId="0" borderId="0" xfId="0" applyNumberFormat="1">
      <alignment vertical="center"/>
    </xf>
    <xf numFmtId="42" fontId="0" fillId="0" borderId="0" xfId="0" applyNumberFormat="1">
      <alignment vertical="center"/>
    </xf>
  </cellXfs>
  <cellStyles count="10">
    <cellStyle name="강조색1" xfId="2" builtinId="29"/>
    <cellStyle name="강조색2" xfId="5" builtinId="33"/>
    <cellStyle name="백분율 2" xfId="7" xr:uid="{00000000-0005-0000-0000-000002000000}"/>
    <cellStyle name="쉼표 [0]" xfId="1" builtinId="6"/>
    <cellStyle name="쉼표 [0] 2" xfId="4" xr:uid="{00000000-0005-0000-0000-000004000000}"/>
    <cellStyle name="쉼표 [0] 3" xfId="9" xr:uid="{00000000-0005-0000-0000-000005000000}"/>
    <cellStyle name="제목 5" xfId="8" xr:uid="{00000000-0005-0000-0000-000006000000}"/>
    <cellStyle name="표준" xfId="0" builtinId="0"/>
    <cellStyle name="표준 2" xfId="3" xr:uid="{00000000-0005-0000-0000-000008000000}"/>
    <cellStyle name="표준 2 2" xfId="6" xr:uid="{00000000-0005-0000-0000-000009000000}"/>
  </cellStyles>
  <dxfs count="2"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092.746063657411" backgroundQuery="1" createdVersion="8" refreshedVersion="8" minRefreshableVersion="3" recordCount="88" xr:uid="{282E9B02-C947-4539-962F-C3DFDCC52B27}">
  <cacheSource type="external" connectionId="1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 +'1월' +'2월'" databaseField="0"/>
    <cacheField name="봄기상" numFmtId="0" formula="'3월' 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092.749561226854" backgroundQuery="1" createdVersion="8" refreshedVersion="8" minRefreshableVersion="3" recordCount="87" xr:uid="{5B06A5F3-2543-4997-848D-FEEAB6DF5FBF}">
  <cacheSource type="external" connectionId="2"/>
  <cacheFields count="6"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과목" numFmtId="0" sqlType="-9">
      <sharedItems count="4">
        <s v="워드"/>
        <s v="파워포인트"/>
        <s v="엑셀"/>
        <s v="액세스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/>
    </cacheField>
    <cacheField name="점수" numFmtId="0" sqlType="4">
      <sharedItems containsSemiMixedTypes="0" containsString="0" containsNumber="1" containsInteger="1" minValue="345" maxValue="1000"/>
    </cacheField>
    <cacheField name="포인트" numFmtId="0" formula="점수 /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092.743937384257" backgroundQuery="1" createdVersion="8" refreshedVersion="8" minRefreshableVersion="3" recordCount="0" supportSubquery="1" supportAdvancedDrill="1" xr:uid="{F4BA21D9-B372-46D1-99E4-5F4536E3C4F7}">
  <cacheSource type="external" connectionId="3"/>
  <cacheFields count="5">
    <cacheField name="[출석부관리].[학년].[학년]" caption="학년" numFmtId="0" hierarchy="8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9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11" level="1">
      <sharedItems count="2">
        <s v="남"/>
        <s v="여"/>
      </sharedItems>
    </cacheField>
    <cacheField name="[Measures].[평균: 출석수]" caption="평균: 출석수" numFmtId="0" hierarchy="18" level="32767"/>
    <cacheField name="[Measures].[개수: 이름]" caption="개수: 이름" numFmtId="0" hierarchy="19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092.754409374997" backgroundQuery="1" createdVersion="8" refreshedVersion="8" minRefreshableVersion="3" recordCount="0" supportSubquery="1" supportAdvancedDrill="1" xr:uid="{9C0E7082-9700-4AD4-A866-EB85B3A99FB7}">
  <cacheSource type="external" connectionId="3"/>
  <cacheFields count="4"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기풍전자판매현황].[결제방법].[결제방법]" caption="결제방법" numFmtId="0" hierarchy="3" level="1">
      <sharedItems count="4">
        <s v="이체"/>
        <s v="카드"/>
        <s v="페이"/>
        <s v="현금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092.757070370368" backgroundQuery="1" createdVersion="8" refreshedVersion="8" minRefreshableVersion="3" recordCount="0" supportSubquery="1" supportAdvancedDrill="1" xr:uid="{A836BB7D-7FB3-42A8-B73E-7F34973EBC23}">
  <cacheSource type="external" connectionId="3"/>
  <cacheFields count="4">
    <cacheField name="[소득공제].[법인명].[법인명]" caption="법인명" numFmtId="0" hierarchy="6" level="1">
      <sharedItems count="3">
        <s v="미래카드"/>
        <s v="사단법인"/>
        <s v="상공카드"/>
      </sharedItems>
    </cacheField>
    <cacheField name="[소득공제].[소득공제].[소득공제]" caption="소득공제" numFmtId="0" hierarchy="5" level="1">
      <sharedItems count="2">
        <s v="신용카드"/>
        <s v="지정기부금"/>
      </sharedItems>
    </cacheField>
    <cacheField name="[Measures].[합계: 금액 2]" caption="합계: 금액 2" numFmtId="0" hierarchy="22" level="32767"/>
    <cacheField name="[Measures].[평균: 금액]" caption="평균: 금액" numFmtId="0" hierarchy="23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0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d v="2021-07-13T00:00:00"/>
    <d v="2021-07-31T00:00:00"/>
    <n v="936"/>
  </r>
  <r>
    <x v="0"/>
    <x v="1"/>
    <d v="2021-07-12T00:00:00"/>
    <d v="2021-07-30T00:00:00"/>
    <n v="838"/>
  </r>
  <r>
    <x v="0"/>
    <x v="2"/>
    <d v="2021-07-12T13:06:25"/>
    <d v="2021-07-20T15:53:00"/>
    <n v="975"/>
  </r>
  <r>
    <x v="0"/>
    <x v="3"/>
    <d v="2021-07-13T13:42:54"/>
    <d v="2021-07-27T16:58:00"/>
    <n v="379"/>
  </r>
  <r>
    <x v="0"/>
    <x v="0"/>
    <d v="2021-07-15T00:00:00"/>
    <d v="2021-07-31T00:00:00"/>
    <n v="893"/>
  </r>
  <r>
    <x v="0"/>
    <x v="3"/>
    <d v="2021-07-15T18:30:49"/>
    <d v="2021-07-29T16:02:00"/>
    <n v="800"/>
  </r>
  <r>
    <x v="0"/>
    <x v="2"/>
    <d v="2021-07-16T09:22:46"/>
    <d v="2021-07-22T15:28:00"/>
    <n v="975"/>
  </r>
  <r>
    <x v="0"/>
    <x v="3"/>
    <d v="2021-07-16T11:38:14"/>
    <d v="2021-07-29T16:02:00"/>
    <n v="350"/>
  </r>
  <r>
    <x v="1"/>
    <x v="2"/>
    <d v="2021-07-12T13:34:45"/>
    <d v="2021-07-22T15:28:00"/>
    <n v="979"/>
  </r>
  <r>
    <x v="1"/>
    <x v="3"/>
    <d v="2021-07-16T09:25:22"/>
    <d v="2021-07-29T16:47:00"/>
    <n v="862"/>
  </r>
  <r>
    <x v="2"/>
    <x v="2"/>
    <d v="2021-07-12T13:29:56"/>
    <d v="2021-07-22T15:28:00"/>
    <n v="893"/>
  </r>
  <r>
    <x v="2"/>
    <x v="3"/>
    <d v="2021-07-09T15:59:37"/>
    <d v="2021-07-27T17:11:00"/>
    <n v="908"/>
  </r>
  <r>
    <x v="2"/>
    <x v="2"/>
    <d v="2021-07-12T13:29:50"/>
    <d v="2021-07-22T16:08:00"/>
    <n v="675"/>
  </r>
  <r>
    <x v="1"/>
    <x v="0"/>
    <d v="2021-07-09T00:00:00"/>
    <d v="2021-07-31T00:00:00"/>
    <n v="925"/>
  </r>
  <r>
    <x v="0"/>
    <x v="0"/>
    <d v="2021-07-13T00:00:00"/>
    <d v="2021-07-31T00:00:00"/>
    <n v="567"/>
  </r>
  <r>
    <x v="0"/>
    <x v="2"/>
    <d v="2021-07-12T13:13:49"/>
    <d v="2021-07-20T15:55:00"/>
    <n v="975"/>
  </r>
  <r>
    <x v="0"/>
    <x v="3"/>
    <d v="2021-07-13T14:15:34"/>
    <d v="2021-07-27T17:09:00"/>
    <n v="540"/>
  </r>
  <r>
    <x v="1"/>
    <x v="2"/>
    <d v="2021-07-13T09:54:40"/>
    <d v="2021-07-22T15:28:00"/>
    <n v="567"/>
  </r>
  <r>
    <x v="1"/>
    <x v="3"/>
    <d v="2021-07-13T13:24:04"/>
    <d v="2021-07-29T16:45:00"/>
    <n v="769"/>
  </r>
  <r>
    <x v="1"/>
    <x v="0"/>
    <d v="2021-07-13T00:00:00"/>
    <d v="2021-07-31T00:00:00"/>
    <n v="936"/>
  </r>
  <r>
    <x v="2"/>
    <x v="3"/>
    <d v="2021-07-13T13:24:20"/>
    <d v="2021-07-27T18:29:00"/>
    <n v="838"/>
  </r>
  <r>
    <x v="2"/>
    <x v="2"/>
    <d v="2021-07-12T13:13:13"/>
    <d v="2021-07-20T16:27:00"/>
    <n v="957"/>
  </r>
  <r>
    <x v="2"/>
    <x v="0"/>
    <d v="2021-07-13T00:00:00"/>
    <d v="2021-07-31T00:00:00"/>
    <n v="936"/>
  </r>
  <r>
    <x v="0"/>
    <x v="0"/>
    <d v="2021-07-09T00:00:00"/>
    <d v="2021-07-31T00:00:00"/>
    <n v="975"/>
  </r>
  <r>
    <x v="0"/>
    <x v="3"/>
    <d v="2021-07-09T19:34:40"/>
    <d v="2021-07-29T16:01:00"/>
    <n v="800"/>
  </r>
  <r>
    <x v="0"/>
    <x v="2"/>
    <d v="2021-07-13T15:32:57"/>
    <d v="2021-07-22T15:28:00"/>
    <n v="1000"/>
  </r>
  <r>
    <x v="1"/>
    <x v="1"/>
    <d v="2021-07-14T00:00:00"/>
    <d v="2021-07-30T00:00:00"/>
    <n v="838"/>
  </r>
  <r>
    <x v="1"/>
    <x v="3"/>
    <d v="2021-07-09T15:57:54"/>
    <d v="2021-07-27T18:04:00"/>
    <n v="767"/>
  </r>
  <r>
    <x v="1"/>
    <x v="0"/>
    <d v="2021-07-09T00:00:00"/>
    <d v="2021-07-31T00:00:00"/>
    <n v="893"/>
  </r>
  <r>
    <x v="1"/>
    <x v="2"/>
    <d v="2021-07-14T16:38:30"/>
    <d v="2021-07-20T16:36:00"/>
    <n v="850"/>
  </r>
  <r>
    <x v="2"/>
    <x v="3"/>
    <d v="2021-07-15T20:07:42"/>
    <d v="2021-07-29T16:02:00"/>
    <n v="642"/>
  </r>
  <r>
    <x v="2"/>
    <x v="2"/>
    <d v="2021-07-12T13:42:39"/>
    <d v="2021-07-22T15:28:00"/>
    <n v="950"/>
  </r>
  <r>
    <x v="1"/>
    <x v="0"/>
    <d v="2021-07-12T00:00:00"/>
    <d v="2021-07-31T00:00:00"/>
    <n v="345"/>
  </r>
  <r>
    <x v="0"/>
    <x v="2"/>
    <d v="2021-07-13T13:14:58"/>
    <d v="2021-07-22T15:28:00"/>
    <n v="871"/>
  </r>
  <r>
    <x v="0"/>
    <x v="2"/>
    <d v="2021-07-09T19:27:11"/>
    <d v="2021-07-22T15:53:00"/>
    <n v="914"/>
  </r>
  <r>
    <x v="0"/>
    <x v="3"/>
    <d v="2021-07-09T17:17:48"/>
    <d v="2021-07-27T16:55:00"/>
    <n v="642"/>
  </r>
  <r>
    <x v="1"/>
    <x v="2"/>
    <d v="2021-07-13T14:15:34"/>
    <d v="2021-07-22T15:59:00"/>
    <n v="975"/>
  </r>
  <r>
    <x v="1"/>
    <x v="0"/>
    <d v="2021-07-13T00:00:00"/>
    <d v="2021-07-31T00:00:00"/>
    <n v="1000"/>
  </r>
  <r>
    <x v="1"/>
    <x v="3"/>
    <d v="2021-07-13T12:48:17"/>
    <d v="2021-07-29T16:47:00"/>
    <n v="733"/>
  </r>
  <r>
    <x v="3"/>
    <x v="2"/>
    <d v="2021-07-12T09:31:08"/>
    <d v="2021-07-22T15:28:00"/>
    <n v="975"/>
  </r>
  <r>
    <x v="0"/>
    <x v="2"/>
    <d v="2021-07-17T00:00:00"/>
    <d v="2021-07-22T15:28:00"/>
    <n v="975"/>
  </r>
  <r>
    <x v="3"/>
    <x v="2"/>
    <d v="2021-07-15T20:07:42"/>
    <d v="2021-07-22T16:04:00"/>
    <n v="957"/>
  </r>
  <r>
    <x v="3"/>
    <x v="3"/>
    <d v="2021-07-12T13:33:55"/>
    <d v="2021-07-29T16:03:00"/>
    <n v="815"/>
  </r>
  <r>
    <x v="3"/>
    <x v="0"/>
    <d v="2021-07-13T00:00:00"/>
    <d v="2021-07-31T00:00:00"/>
    <n v="893"/>
  </r>
  <r>
    <x v="3"/>
    <x v="3"/>
    <d v="2021-07-09T16:01:01"/>
    <d v="2021-07-27T17:59:00"/>
    <n v="650"/>
  </r>
  <r>
    <x v="3"/>
    <x v="1"/>
    <d v="2021-07-09T00:00:00"/>
    <d v="2021-07-30T00:00:00"/>
    <n v="733"/>
  </r>
  <r>
    <x v="3"/>
    <x v="2"/>
    <d v="2021-07-09T15:59:30"/>
    <d v="2021-07-20T16:18:00"/>
    <n v="914"/>
  </r>
  <r>
    <x v="3"/>
    <x v="3"/>
    <d v="2021-07-12T13:05:14"/>
    <d v="2021-07-29T16:57:00"/>
    <n v="723"/>
  </r>
  <r>
    <x v="3"/>
    <x v="2"/>
    <d v="2021-07-09T16:08:30"/>
    <d v="2021-07-22T15:28:00"/>
    <n v="829"/>
  </r>
  <r>
    <x v="1"/>
    <x v="3"/>
    <d v="2021-07-12T13:33:25"/>
    <d v="2021-07-29T17:49:00"/>
    <n v="770"/>
  </r>
  <r>
    <x v="1"/>
    <x v="2"/>
    <d v="2021-07-09T16:01:01"/>
    <d v="2021-07-20T15:58:00"/>
    <n v="914"/>
  </r>
  <r>
    <x v="1"/>
    <x v="0"/>
    <d v="2021-07-09T00:00:00"/>
    <d v="2021-07-31T00:00:00"/>
    <n v="925"/>
  </r>
  <r>
    <x v="1"/>
    <x v="3"/>
    <d v="2021-07-09T16:02:24"/>
    <d v="2021-07-27T17:35:00"/>
    <n v="833"/>
  </r>
  <r>
    <x v="1"/>
    <x v="1"/>
    <d v="2021-07-09T00:00:00"/>
    <d v="2021-07-30T00:00:00"/>
    <n v="723"/>
  </r>
  <r>
    <x v="2"/>
    <x v="2"/>
    <d v="2021-07-12T13:30:32"/>
    <d v="2021-07-22T15:28:00"/>
    <n v="914"/>
  </r>
  <r>
    <x v="2"/>
    <x v="3"/>
    <d v="2021-07-12T13:06:34"/>
    <d v="2021-07-29T16:36:00"/>
    <n v="838"/>
  </r>
  <r>
    <x v="0"/>
    <x v="3"/>
    <d v="2021-07-09T16:28:04"/>
    <d v="2021-07-27T18:17:00"/>
    <n v="815"/>
  </r>
  <r>
    <x v="0"/>
    <x v="0"/>
    <d v="2021-07-09T00:00:00"/>
    <d v="2021-07-31T00:00:00"/>
    <n v="880"/>
  </r>
  <r>
    <x v="0"/>
    <x v="2"/>
    <d v="2021-07-12T09:31:08"/>
    <d v="2021-07-22T15:28:00"/>
    <n v="893"/>
  </r>
  <r>
    <x v="0"/>
    <x v="0"/>
    <d v="2021-07-13T00:00:00"/>
    <d v="2021-07-31T00:00:00"/>
    <n v="936"/>
  </r>
  <r>
    <x v="1"/>
    <x v="2"/>
    <d v="2021-07-12T15:48:12"/>
    <d v="2021-07-22T15:28:00"/>
    <n v="893"/>
  </r>
  <r>
    <x v="1"/>
    <x v="3"/>
    <d v="2021-07-12T13:06:25"/>
    <d v="2021-07-29T16:01:00"/>
    <n v="838"/>
  </r>
  <r>
    <x v="2"/>
    <x v="0"/>
    <d v="2021-07-09T00:00:00"/>
    <d v="2021-07-31T00:00:00"/>
    <n v="857"/>
  </r>
  <r>
    <x v="2"/>
    <x v="2"/>
    <d v="2021-07-09T16:16:40"/>
    <d v="2021-07-22T15:28:00"/>
    <n v="533"/>
  </r>
  <r>
    <x v="2"/>
    <x v="3"/>
    <d v="2021-07-12T13:30:32"/>
    <d v="2021-07-29T16:52:00"/>
    <n v="800"/>
  </r>
  <r>
    <x v="2"/>
    <x v="2"/>
    <d v="2021-07-09T15:56:31"/>
    <d v="2021-07-22T15:50:00"/>
    <n v="950"/>
  </r>
  <r>
    <x v="1"/>
    <x v="2"/>
    <d v="2021-07-16T09:24:42"/>
    <d v="2021-07-22T16:11:00"/>
    <n v="825"/>
  </r>
  <r>
    <x v="1"/>
    <x v="0"/>
    <d v="2021-07-09T00:00:00"/>
    <d v="2021-07-31T00:00:00"/>
    <n v="914"/>
  </r>
  <r>
    <x v="1"/>
    <x v="1"/>
    <d v="2021-07-09T00:00:00"/>
    <d v="2021-07-30T00:00:00"/>
    <n v="815"/>
  </r>
  <r>
    <x v="1"/>
    <x v="2"/>
    <d v="2021-07-09T15:59:37"/>
    <d v="2021-07-20T16:19:00"/>
    <n v="975"/>
  </r>
  <r>
    <x v="0"/>
    <x v="2"/>
    <d v="2021-07-13T14:44:50"/>
    <d v="2021-07-22T16:09:00"/>
    <n v="936"/>
  </r>
  <r>
    <x v="0"/>
    <x v="3"/>
    <d v="2021-07-12T13:34:45"/>
    <d v="2021-07-27T17:32:00"/>
    <n v="885"/>
  </r>
  <r>
    <x v="0"/>
    <x v="3"/>
    <d v="2021-07-16T11:37:27"/>
    <d v="2021-07-27T17:33:00"/>
    <n v="990"/>
  </r>
  <r>
    <x v="0"/>
    <x v="0"/>
    <d v="2021-07-16T00:00:00"/>
    <d v="2021-07-31T00:00:00"/>
    <n v="533"/>
  </r>
  <r>
    <x v="1"/>
    <x v="0"/>
    <d v="2021-07-09T00:00:00"/>
    <d v="2021-07-31T00:00:00"/>
    <n v="823"/>
  </r>
  <r>
    <x v="1"/>
    <x v="2"/>
    <d v="2021-07-12T13:05:10"/>
    <d v="2021-07-22T15:28:00"/>
    <n v="700"/>
  </r>
  <r>
    <x v="3"/>
    <x v="2"/>
    <d v="2021-07-12T13:05:22"/>
    <d v="2021-07-20T15:53:00"/>
    <n v="936"/>
  </r>
  <r>
    <x v="3"/>
    <x v="1"/>
    <d v="2021-07-12T00:00:00"/>
    <d v="2021-07-30T00:00:00"/>
    <n v="642"/>
  </r>
  <r>
    <x v="3"/>
    <x v="3"/>
    <d v="2021-07-12T13:28:22"/>
    <d v="2021-07-27T16:56:00"/>
    <n v="900"/>
  </r>
  <r>
    <x v="2"/>
    <x v="3"/>
    <d v="2021-07-09T15:56:31"/>
    <d v="2021-07-27T18:15:00"/>
    <n v="733"/>
  </r>
  <r>
    <x v="2"/>
    <x v="2"/>
    <d v="2021-07-15T18:30:49"/>
    <d v="2021-07-22T15:28:00"/>
    <n v="893"/>
  </r>
  <r>
    <x v="2"/>
    <x v="2"/>
    <d v="2021-07-09T16:28:04"/>
    <d v="2021-07-22T16:06:00"/>
    <n v="914"/>
  </r>
  <r>
    <x v="3"/>
    <x v="3"/>
    <d v="2021-07-13T15:34:21"/>
    <d v="2021-07-27T17:49:00"/>
    <n v="800"/>
  </r>
  <r>
    <x v="3"/>
    <x v="2"/>
    <d v="2021-07-09T17:22:48"/>
    <d v="2021-07-22T15:28:00"/>
    <n v="925"/>
  </r>
  <r>
    <x v="0"/>
    <x v="2"/>
    <d v="2021-07-13T17:49:07"/>
    <d v="2021-07-22T15:28:00"/>
    <n v="936"/>
  </r>
  <r>
    <x v="0"/>
    <x v="3"/>
    <d v="2021-07-13T13:14:58"/>
    <d v="2021-07-29T16:02:00"/>
    <n v="862"/>
  </r>
  <r>
    <x v="0"/>
    <x v="0"/>
    <d v="2021-07-13T00:00:00"/>
    <d v="2021-07-31T00:00:00"/>
    <n v="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20B06A-9B91-41EC-AFAB-E4CB220E7939}" name="피벗 테이블1" cacheId="94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dataField="1" compact="0" showAll="0" defaultSubtotal="0"/>
    <pivotField dataField="1" compact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1" baseItem="2" numFmtId="178"/>
    <dataField name="학생수" fld="4" subtotal="count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2">
    <colHierarchyUsage hierarchyUsage="1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8C0494-4C22-4D7C-AFA7-6C4C8135B3D9}" name="피벗 테이블2" cacheId="39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E89AD-7257-4BE2-A0FA-4DB5AD5D04FE}" name="피벗 테이블3" cacheId="43" dataOnRows="1" applyNumberFormats="0" applyBorderFormats="0" applyFontFormats="0" applyPatternFormats="0" applyAlignmentFormats="0" applyWidthHeightFormats="1" dataCaption="값" missingCaption="★★★" updatedVersion="8" minRefreshableVersion="3" useAutoFormatting="1" colGrandTotals="0" itemPrintTitles="1" mergeItem="1" createdVersion="8" indent="0" compact="0" outline="1" outlineData="1" compactData="0" multipleFieldFilters="0" fieldListSortAscending="1">
  <location ref="B3:G18" firstHeaderRow="1" firstDataRow="2" firstDataCol="2"/>
  <pivotFields count="6">
    <pivotField axis="axisCol" compact="0" showAll="0">
      <items count="5">
        <item x="2"/>
        <item x="1"/>
        <item x="3"/>
        <item x="0"/>
        <item t="default"/>
      </items>
    </pivotField>
    <pivotField axis="axisRow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dataField="1" compact="0" dragToRow="0" dragToCol="0" dragToPage="0" showAll="0" defaultSubtota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평균 : 점수" fld="4" subtotal="average" baseField="1" baseItem="0" numFmtId="178"/>
    <dataField name="합계 : 포인트" fld="5" baseField="1" baseItem="0" numFmtId="178"/>
  </dataFields>
  <pivotTableStyleInfo name="PivotStyleMedium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B01A1-EB00-4E3F-A912-24133F4F4D14}" name="피벗 테이블4" cacheId="95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compactData="0" multipleFieldFilters="0">
  <location ref="B4:J12" firstHeaderRow="1" firstDataRow="3" firstDataCol="1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0" baseItem="0" numFmtId="41"/>
    <dataField name="합계: 판매대수" fld="3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D846C-23BC-41E1-99CC-C014AF1E0782}" name="피벗 테이블5" cacheId="119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outline="1" outlineData="1" compactData="0" multipleFieldFilters="0">
  <location ref="B4:E16" firstHeaderRow="1" firstDataRow="2" firstDataCol="2"/>
  <pivotFields count="4">
    <pivotField axis="axisRow" compact="0" allDrilled="1" showAll="0" dataSourceSort="1" defaultSubtotal="0" defaultAttributeDrillState="1">
      <items count="3">
        <item s="1" x="0"/>
        <item s="1" x="1"/>
        <item s="1" x="2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dataField="1" compact="0" showAll="0" defaultSubtotal="0"/>
    <pivotField dataField="1" compact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2" baseField="0" baseItem="0" numFmtId="42"/>
    <dataField name="평균: 금액" fld="3" subtotal="average" baseField="0" baseItem="0" numFmtId="42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평균: 금액"/>
  </pivotHierarchies>
  <pivotTableStyleInfo name="PivotStyleMedium13" showRowHeaders="1" showColHeaders="1" showRowStripes="0" showColStripes="1" showLastColumn="1"/>
  <rowHierarchiesUsage count="2">
    <rowHierarchyUsage hierarchyUsage="6"/>
    <rowHierarchyUsage hierarchyUsage="-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778C7A-A408-4488-A26A-F2DCF7760374}" name="표1" displayName="표1" ref="A1:E7" totalsRowShown="0">
  <autoFilter ref="A1:E7" xr:uid="{72778C7A-A408-4488-A26A-F2DCF7760374}"/>
  <tableColumns count="5">
    <tableColumn id="1" xr3:uid="{307A92A4-75C8-474F-AF6B-6093855F2C91}" name="학과"/>
    <tableColumn id="2" xr3:uid="{0A046E54-4764-4FE1-8734-E698AEB1ABCF}" name="과목"/>
    <tableColumn id="3" xr3:uid="{84B1AC53-E44A-4661-A84A-E890F1D5E230}" name="접수일" dataDxfId="1"/>
    <tableColumn id="4" xr3:uid="{EF4DD7F0-F972-4672-8BC7-9D2D7EE3FE22}" name="시험날짜" dataDxfId="0"/>
    <tableColumn id="5" xr3:uid="{4D435226-AACE-49C8-AE41-A28C6F2AD038}" name="점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6" sqref="B26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I1" sqref="I1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 cm="1">
        <f t="array" ref="H4">fn가입상태(F4,G4)</f>
        <v>휴면보험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 cm="1">
        <f t="array" ref="H5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 cm="1">
        <f t="array" ref="H6">fn가입상태(F6,G6)</f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 cm="1">
        <f t="array" ref="H7">fn가입상태(F7,G7)</f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 cm="1">
        <f t="array" ref="H8">fn가입상태(F8,G8)</f>
        <v>1개월 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 cm="1">
        <f t="array" ref="H9">fn가입상태(F9,G9)</f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 cm="1">
        <f t="array" ref="H10">fn가입상태(F10,G10)</f>
        <v>1개월 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 cm="1">
        <f t="array" ref="H11">fn가입상태(F11,G11)</f>
        <v>1개월 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 cm="1">
        <f t="array" ref="H12">fn가입상태(F12,G12)</f>
        <v>1개월 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 cm="1">
        <f t="array" ref="H13">fn가입상태(F13,G13)</f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 cm="1">
        <f t="array" ref="H14">fn가입상태(F14,G14)</f>
        <v>2개월 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 cm="1">
        <f t="array" ref="H15">fn가입상태(F15,G15)</f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 cm="1">
        <f t="array" ref="H16">fn가입상태(F16,G16)</f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 cm="1">
        <f t="array" ref="H17">fn가입상태(F17,G17)</f>
        <v>2개월 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 cm="1">
        <f t="array" ref="H18">fn가입상태(F18,G18)</f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 cm="1">
        <f t="array" ref="H19">fn가입상태(F19,G19)</f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 cm="1">
        <f t="array" ref="H20">fn가입상태(F20,G20)</f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 cm="1">
        <f t="array" ref="H21">fn가입상태(F21,G21)</f>
        <v>1개월 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 cm="1">
        <f t="array" ref="H22">fn가입상태(F22,G22)</f>
        <v>2개월 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 cm="1">
        <f t="array" ref="H23">fn가입상태(F23,G23)</f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 cm="1">
        <f t="array" ref="H24">fn가입상태(F24,G24)</f>
        <v>2개월 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 cm="1">
        <f t="array" ref="H25">fn가입상태(F25,G25)</f>
        <v>2개월 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 cm="1">
        <f t="array" ref="H26">fn가입상태(F26,G26)</f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 cm="1">
        <f t="array" ref="H27">fn가입상태(F27,G27)</f>
        <v>1개월 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 cm="1">
        <f t="array" ref="H28">fn가입상태(F28,G28)</f>
        <v>1개월 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 cm="1">
        <f t="array" ref="H29">fn가입상태(F29,G29)</f>
        <v>2개월 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 cm="1">
        <f t="array" ref="H30">fn가입상태(F30,G30)</f>
        <v>2개월 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 cm="1">
        <f t="array" ref="H31">fn가입상태(F31,G31)</f>
        <v>1개월 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 cm="1">
        <f t="array" ref="H32">fn가입상태(F32,G32)</f>
        <v>1개월 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 cm="1">
        <f t="array" ref="H33">fn가입상태(F33,G33)</f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 cm="1">
        <f t="array" ref="H34">fn가입상태(F34,G34)</f>
        <v>2개월 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 cm="1">
        <f t="array" ref="H35">fn가입상태(F35,G35)</f>
        <v>1개월 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 cm="1">
        <f t="array" ref="H36">fn가입상태(F36,G36)</f>
        <v>2개월 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 cm="1">
        <f t="array" ref="H37">fn가입상태(F37,G37)</f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 cm="1">
        <f t="array" ref="H38">fn가입상태(F38,G38)</f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 cm="1">
        <f t="array" ref="H39">fn가입상태(F39,G39)</f>
        <v>1개월 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  <col min="10" max="10" width="10.0625" bestFit="1" customWidth="1"/>
  </cols>
  <sheetData>
    <row r="2" spans="2:10" x14ac:dyDescent="0.6">
      <c r="B2" s="29" t="s">
        <v>273</v>
      </c>
    </row>
    <row r="3" spans="2:10" x14ac:dyDescent="0.6">
      <c r="B3" s="44" t="s">
        <v>45</v>
      </c>
      <c r="C3" s="44" t="s">
        <v>19</v>
      </c>
      <c r="D3" s="44" t="s">
        <v>20</v>
      </c>
      <c r="E3" s="44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3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7" cm="1">
        <f t="array" ref="J4"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7" cm="1">
        <f t="array" ref="J5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7" cm="1">
        <f t="array" ref="J6">fn의료비보조(C6,E6,I6)</f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7" cm="1">
        <f t="array" ref="J7">fn의료비보조(C7,E7,I7)</f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7" cm="1">
        <f t="array" ref="J8">fn의료비보조(C8,E8,I8)</f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7" cm="1">
        <f t="array" ref="J9">fn의료비보조(C9,E9,I9)</f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7" cm="1">
        <f t="array" ref="J10">fn의료비보조(C10,E10,I10)</f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7" cm="1">
        <f t="array" ref="J11">fn의료비보조(C11,E11,I11)</f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7" cm="1">
        <f t="array" ref="J12">fn의료비보조(C12,E12,I12)</f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7" cm="1">
        <f t="array" ref="J13">fn의료비보조(C13,E13,I13)</f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7" cm="1">
        <f t="array" ref="J14">fn의료비보조(C14,E14,I14)</f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7" cm="1">
        <f t="array" ref="J15">fn의료비보조(C15,E15,I15)</f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7" cm="1">
        <f t="array" ref="J16">fn의료비보조(C16,E16,I16)</f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7" cm="1">
        <f t="array" ref="J17">fn의료비보조(C17,E17,I17)</f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7" cm="1">
        <f t="array" ref="J18">fn의료비보조(C18,E18,I18)</f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7" cm="1">
        <f t="array" ref="J19">fn의료비보조(C19,E19,I19)</f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7" cm="1">
        <f t="array" ref="J20">fn의료비보조(C20,E20,I20)</f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7" cm="1">
        <f t="array" ref="J21">fn의료비보조(C21,E21,I21)</f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7" cm="1">
        <f t="array" ref="J22">fn의료비보조(C22,E22,I22)</f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7" cm="1">
        <f t="array" ref="J23">fn의료비보조(C23,E23,I23)</f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7" cm="1">
        <f t="array" ref="J24">fn의료비보조(C24,E24,I24)</f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7" cm="1">
        <f t="array" ref="J25">fn의료비보조(C25,E25,I25)</f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7" cm="1">
        <f t="array" ref="J26">fn의료비보조(C26,E26,I26)</f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7" cm="1">
        <f t="array" ref="J27">fn의료비보조(C27,E27,I27)</f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7" cm="1">
        <f t="array" ref="J28">fn의료비보조(C28,E28,I28)</f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7" cm="1">
        <f t="array" ref="J29">fn의료비보조(C29,E29,I29)</f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7" cm="1">
        <f t="array" ref="J30">fn의료비보조(C30,E30,I30)</f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7" cm="1">
        <f t="array" ref="J31">fn의료비보조(C31,E31,I31)</f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7" cm="1">
        <f t="array" ref="J32">fn의료비보조(C32,E32,I32)</f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7" cm="1">
        <f t="array" ref="J33">fn의료비보조(C33,E33,I33)</f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7" cm="1">
        <f t="array" ref="J34">fn의료비보조(C34,E34,I34)</f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7" cm="1">
        <f t="array" ref="J35">fn의료비보조(C35,E35,I35)</f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7" cm="1">
        <f t="array" ref="J36">fn의료비보조(C36,E36,I36)</f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7" cm="1">
        <f t="array" ref="J37">fn의료비보조(C37,E37,I37)</f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7" cm="1">
        <f t="array" ref="J38">fn의료비보조(C38,E38,I38)</f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7" cm="1">
        <f t="array" ref="J39">fn의료비보조(C39,E39,I39)</f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7" cm="1">
        <f t="array" ref="J40">fn의료비보조(C40,E40,I40)</f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7" cm="1">
        <f t="array" ref="J41">fn의료비보조(C41,E41,I41)</f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7" cm="1">
        <f t="array" ref="J42">fn의료비보조(C42,E42,I42)</f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cm="1">
        <f t="array" ref="K5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cm="1">
        <f t="array" ref="K6">fn결과(H6,I6,J6)</f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fn결과(H7,I7,J7)</f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fn결과(H8,I8,J8)</f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cm="1">
        <f t="array" ref="K9">fn결과(H9,I9,J9)</f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fn결과(H10,I10,J10)</f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fn결과(H11,I11,J11)</f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fn결과(H12,I12,J12)</f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fn결과(H13,I13,J13)</f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cm="1">
        <f t="array" ref="K14">fn결과(H14,I14,J14)</f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fn결과(H15,I15,J15)</f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fn결과(H16,I16,J16)</f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fn결과(H17,I17,J17)</f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fn결과(H18,I18,J18)</f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fn결과(H19,I19,J19)</f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cm="1">
        <f t="array" ref="K20">fn결과(H20,I20,J20)</f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fn결과(H21,I21,J21)</f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cm="1">
        <f t="array" ref="K22">fn결과(H22,I22,J22)</f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cm="1">
        <f t="array" ref="K23">fn결과(H23,I23,J23)</f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cm="1">
        <f t="array" ref="K24">fn결과(H24,I24,J24)</f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cm="1">
        <f t="array" ref="K25">fn결과(H25,I25,J25)</f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fn결과(H26,I26,J26)</f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cm="1">
        <f t="array" ref="K27">fn결과(H27,I27,J27)</f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cm="1">
        <f t="array" ref="K28">fn결과(H28,I28,J28)</f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cm="1">
        <f t="array" ref="K29">fn결과(H29,I29,J29)</f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cm="1">
        <f t="array" ref="K30">fn결과(H30,I30,J30)</f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cm="1">
        <f t="array" ref="K31">fn결과(H31,I31,J31)</f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cm="1">
        <f t="array" ref="K32">fn결과(H32,I32,J32)</f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fn결과(H33,I33,J33)</f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 cm="1">
        <f t="array" ref="K5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 cm="1">
        <f t="array" ref="K6">fn판정(H6,I6,J6)</f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fn판정(H7,I7,J7)</f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fn판정(H8,I8,J8)</f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 cm="1">
        <f t="array" ref="K9">fn판정(H9,I9,J9)</f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fn판정(H10,I10,J10)</f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fn판정(H11,I11,J11)</f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fn판정(H12,I12,J12)</f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fn판정(H13,I13,J13)</f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 cm="1">
        <f t="array" ref="K14">fn판정(H14,I14,J14)</f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fn판정(H15,I15,J15)</f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fn판정(H16,I16,J16)</f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fn판정(H17,I17,J17)</f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fn판정(H18,I18,J18)</f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fn판정(H19,I19,J19)</f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 cm="1">
        <f t="array" ref="K20">fn판정(H20,I20,J20)</f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fn판정(H21,I21,J21)</f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 cm="1">
        <f t="array" ref="K22">fn판정(H22,I22,J22)</f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 cm="1">
        <f t="array" ref="K23">fn판정(H23,I23,J23)</f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 cm="1">
        <f t="array" ref="K24">fn판정(H24,I24,J24)</f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 cm="1">
        <f t="array" ref="K25">fn판정(H25,I25,J25)</f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fn판정(H26,I26,J26)</f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 cm="1">
        <f t="array" ref="K27">fn판정(H27,I27,J27)</f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 cm="1">
        <f t="array" ref="K28">fn판정(H28,I28,J28)</f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 cm="1">
        <f t="array" ref="K29">fn판정(H29,I29,J29)</f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 cm="1">
        <f t="array" ref="K30">fn판정(H30,I30,J30)</f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 cm="1">
        <f t="array" ref="K31">fn판정(H31,I31,J31)</f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 cm="1">
        <f t="array" ref="K32">fn판정(H32,I32,J32)</f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fn판정(H33,I33,J33)</f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0" t="s">
        <v>63</v>
      </c>
      <c r="C3" s="40" t="s">
        <v>64</v>
      </c>
      <c r="D3" s="40" t="s">
        <v>65</v>
      </c>
      <c r="E3" s="40" t="s">
        <v>3</v>
      </c>
      <c r="F3" s="40" t="s">
        <v>66</v>
      </c>
      <c r="G3" s="40" t="s">
        <v>67</v>
      </c>
      <c r="H3" s="40" t="s">
        <v>68</v>
      </c>
      <c r="I3" s="41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 cm="1">
        <f t="array" ref="I4"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 cm="1">
        <f t="array" ref="I5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 cm="1">
        <f t="array" ref="I6">fn평가(D6)</f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 cm="1">
        <f t="array" ref="I7">fn평가(D7)</f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 cm="1">
        <f t="array" ref="I8">fn평가(D8)</f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 cm="1">
        <f t="array" ref="I9">fn평가(D9)</f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 cm="1">
        <f t="array" ref="I10">fn평가(D10)</f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 cm="1">
        <f t="array" ref="I11">fn평가(D11)</f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 cm="1">
        <f t="array" ref="I12">fn평가(D12)</f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 cm="1">
        <f t="array" ref="I13">fn평가(D13)</f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 cm="1">
        <f t="array" ref="I14">fn평가(D14)</f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 cm="1">
        <f t="array" ref="I15">fn평가(D15)</f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 cm="1">
        <f t="array" ref="I16">fn평가(D16)</f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 cm="1">
        <f t="array" ref="I17">fn평가(D17)</f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 cm="1">
        <f t="array" ref="I18">fn평가(D18)</f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 cm="1">
        <f t="array" ref="I20">fn평가(D20)</f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 cm="1">
        <f t="array" ref="I21">fn평가(D21)</f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 cm="1">
        <f t="array" ref="I22">fn평가(D22)</f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 cm="1">
        <f t="array" ref="I23">fn평가(D23)</f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 cm="1">
        <f t="array" ref="I24">fn평가(D24)</f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 cm="1">
        <f t="array" ref="I25">fn평가(D25)</f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 cm="1">
        <f t="array" ref="I26">fn평가(D26)</f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 cm="1">
        <f t="array" ref="I27">fn평가(D27)</f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 cm="1">
        <f t="array" ref="I28">fn평가(D28)</f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 cm="1">
        <f t="array" ref="I29">fn평가(D29)</f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 cm="1">
        <f t="array" ref="I30">fn평가(D30)</f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 cm="1">
        <f t="array" ref="I31">fn평가(D31)</f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 cm="1">
        <f t="array" ref="I32">fn평가(D32)</f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 cm="1">
        <f t="array" ref="I33">fn평가(D33)</f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3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 cm="1">
        <f t="array" ref="J4"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 cm="1">
        <f t="array" ref="J5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 cm="1">
        <f t="array" ref="J6">kp비고(H6,I6)</f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 cm="1">
        <f t="array" ref="J7">kp비고(H7,I7)</f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 cm="1">
        <f t="array" ref="J8">kp비고(H8,I8)</f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 cm="1">
        <f t="array" ref="J9">kp비고(H9,I9)</f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 cm="1">
        <f t="array" ref="J10">kp비고(H10,I10)</f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 cm="1">
        <f t="array" ref="J11">kp비고(H11,I11)</f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 cm="1">
        <f t="array" ref="J12">kp비고(H12,I12)</f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 cm="1">
        <f t="array" ref="J13">kp비고(H13,I13)</f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 cm="1">
        <f t="array" ref="J14">kp비고(H14,I14)</f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 cm="1">
        <f t="array" ref="J15">kp비고(H15,I15)</f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 cm="1">
        <f t="array" ref="J16">kp비고(H16,I16)</f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 cm="1">
        <f t="array" ref="J17">kp비고(H17,I17)</f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 cm="1">
        <f t="array" ref="J18">kp비고(H18,I18)</f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 cm="1">
        <f t="array" ref="J19">kp비고(H19,I19)</f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 cm="1">
        <f t="array" ref="J20">kp비고(H20,I20)</f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 cm="1">
        <f t="array" ref="J21">kp비고(H21,I21)</f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 cm="1">
        <f t="array" ref="J22">kp비고(H22,I22)</f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 cm="1">
        <f t="array" ref="J23">kp비고(H23,I23)</f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 cm="1">
        <f t="array" ref="J24">kp비고(H24,I24)</f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 cm="1">
        <f t="array" ref="J25">kp비고(H25,I25)</f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 cm="1">
        <f t="array" ref="J26">kp비고(H26,I26)</f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 cm="1">
        <f t="array" ref="J27">kp비고(H27,I27)</f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 cm="1">
        <f t="array" ref="J28">kp비고(H28,I28)</f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 cm="1">
        <f t="array" ref="J29">kp비고(H29,I29)</f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 cm="1">
        <f t="array" ref="J30">kp비고(H30,I30)</f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 cm="1">
        <f t="array" ref="J31">kp비고(H31,I31)</f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 cm="1">
        <f t="array" ref="J32">kp비고(H32,I32)</f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 cm="1">
        <f t="array" ref="J33">kp비고(H33,I33)</f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 cm="1">
        <f t="array" ref="J34">kp비고(H34,I34)</f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 cm="1">
        <f t="array" ref="J35">kp비고(H35,I35)</f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 cm="1">
        <f t="array" ref="J36">kp비고(H36,I36)</f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 cm="1">
        <f t="array" ref="J37">kp비고(H37,I37)</f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 cm="1">
        <f t="array" ref="J38">kp비고(H38,I38)</f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 cm="1">
        <f t="array" ref="J39">kp비고(H39,I39)</f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 cm="1">
        <f t="array" ref="J40">kp비고(H40,I40)</f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J1" sqref="J1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kp평가(H6)</f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kp평가(H7)</f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kp평가(H8)</f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kp평가(H9)</f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kp평가(H10)</f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kp평가(H11)</f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kp평가(H12)</f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kp평가(H13)</f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kp평가(H14)</f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kp평가(H15)</f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 cm="1">
        <f t="array" ref="I16">kp평가(H16)</f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kp평가(H17)</f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kp평가(H18)</f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kp평가(H19)</f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kp평가(H20)</f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kp평가(H21)</f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 cm="1">
        <f t="array" ref="I22">kp평가(H22)</f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kp평가(H23)</f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kp평가(H24)</f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 cm="1">
        <f t="array" ref="I25">kp평가(H25)</f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kp평가(H26)</f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kp평가(H27)</f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kp평가(H28)</f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kp평가(H29)</f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kp평가(H30)</f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 cm="1">
        <f t="array" ref="I31">kp평가(H31)</f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 cm="1">
        <f t="array" ref="I32">kp평가(H32)</f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kp평가(H33)</f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kp평가(H34)</f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kp평가(H35)</f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kp평가(H36)</f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 cm="1">
        <f t="array" ref="I37">kp평가(H37)</f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kp평가(H38)</f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 cm="1">
        <f t="array" ref="I39">kp평가(H39)</f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kp평가(H40)</f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kp점수차트(H6)</f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kp점수차트(H7)</f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kp점수차트(H8)</f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kp점수차트(H9)</f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kp점수차트(H10)</f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kp점수차트(H11)</f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kp점수차트(H12)</f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kp점수차트(H13)</f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kp점수차트(H14)</f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kp점수차트(H15)</f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 cm="1">
        <f t="array" ref="I16">kp점수차트(H16)</f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kp점수차트(H17)</f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kp점수차트(H18)</f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kp점수차트(H19)</f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kp점수차트(H20)</f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kp점수차트(H21)</f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 cm="1">
        <f t="array" ref="I22">kp점수차트(H22)</f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kp점수차트(H23)</f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kp점수차트(H24)</f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 cm="1">
        <f t="array" ref="I25">kp점수차트(H25)</f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kp점수차트(H26)</f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kp점수차트(H27)</f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kp점수차트(H28)</f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kp점수차트(H29)</f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kp점수차트(H30)</f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 cm="1">
        <f t="array" ref="I31">kp점수차트(H31)</f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 cm="1">
        <f t="array" ref="I32">kp점수차트(H32)</f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kp점수차트(H33)</f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kp점수차트(H34)</f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kp점수차트(H35)</f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kp점수차트(H36)</f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 cm="1">
        <f t="array" ref="I37">kp점수차트(H37)</f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kp점수차트(H38)</f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 cm="1">
        <f t="array" ref="I39">kp점수차트(H39)</f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kp점수차트(H40)</f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L2" sqref="L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kp파종분기(B6,H6)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kp파종분기(B7,H7)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kp파종분기(B8,H8)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kp파종분기(B9,H9)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kp파종분기(B10,H10)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kp파종분기(B11,H11)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kp파종분기(B12,H12)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kp파종분기(B13,H13)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kp파종분기(B14,H14)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kp파종분기(B15,H15)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kp파종분기(B16,H16)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kp파종분기(B17,H17)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kp파종분기(B18,H18)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kp파종분기(B19,H19)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kp파종분기(B20,H20)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kp파종분기(B21,H21)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kp파종분기(B22,H22)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kp파종분기(B23,H23)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kp파종분기(B24,H24)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kp파종분기(B25,H25)</f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zoomScale="115" zoomScaleNormal="115" workbookViewId="0">
      <selection activeCell="K4" sqref="K4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/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/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/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/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/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/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/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/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/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/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/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/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/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/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/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/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/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/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/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/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/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3:H20"/>
  <sheetViews>
    <sheetView workbookViewId="0">
      <selection activeCell="I2" sqref="I2"/>
    </sheetView>
  </sheetViews>
  <sheetFormatPr defaultRowHeight="16.899999999999999" x14ac:dyDescent="0.6"/>
  <cols>
    <col min="1" max="1" width="14.6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 x14ac:dyDescent="0.6">
      <c r="A3" s="48"/>
      <c r="B3" s="48"/>
      <c r="C3" s="49" t="s">
        <v>330</v>
      </c>
      <c r="D3" s="49" t="s">
        <v>331</v>
      </c>
      <c r="E3" s="48"/>
      <c r="F3" s="48"/>
      <c r="G3" s="48"/>
      <c r="H3" s="48"/>
    </row>
    <row r="4" spans="1:8" x14ac:dyDescent="0.6">
      <c r="A4" s="48"/>
      <c r="B4" s="48"/>
      <c r="C4" s="51" t="s">
        <v>324</v>
      </c>
      <c r="D4" s="50"/>
      <c r="E4" s="51" t="s">
        <v>325</v>
      </c>
      <c r="F4" s="50"/>
      <c r="G4" s="51" t="s">
        <v>327</v>
      </c>
      <c r="H4" s="51" t="s">
        <v>328</v>
      </c>
    </row>
    <row r="5" spans="1:8" x14ac:dyDescent="0.6">
      <c r="A5" s="49" t="s">
        <v>332</v>
      </c>
      <c r="B5" s="49" t="s">
        <v>333</v>
      </c>
      <c r="C5" s="52" t="s">
        <v>326</v>
      </c>
      <c r="D5" s="52" t="s">
        <v>329</v>
      </c>
      <c r="E5" s="52" t="s">
        <v>326</v>
      </c>
      <c r="F5" s="52" t="s">
        <v>329</v>
      </c>
      <c r="G5" s="50"/>
      <c r="H5" s="50"/>
    </row>
    <row r="6" spans="1:8" x14ac:dyDescent="0.6">
      <c r="A6" s="48">
        <v>1</v>
      </c>
      <c r="B6" s="48"/>
      <c r="C6" s="47"/>
      <c r="D6" s="46"/>
      <c r="E6" s="47"/>
      <c r="F6" s="46"/>
      <c r="G6" s="47"/>
      <c r="H6" s="46"/>
    </row>
    <row r="7" spans="1:8" x14ac:dyDescent="0.6">
      <c r="A7" s="48"/>
      <c r="B7" s="48" t="s">
        <v>313</v>
      </c>
      <c r="C7" s="47">
        <v>8.3333333333333339</v>
      </c>
      <c r="D7" s="46">
        <v>3</v>
      </c>
      <c r="E7" s="47">
        <v>4.25</v>
      </c>
      <c r="F7" s="46">
        <v>4</v>
      </c>
      <c r="G7" s="47">
        <v>6</v>
      </c>
      <c r="H7" s="46">
        <v>7</v>
      </c>
    </row>
    <row r="8" spans="1:8" x14ac:dyDescent="0.6">
      <c r="A8" s="48"/>
      <c r="B8" s="48" t="s">
        <v>314</v>
      </c>
      <c r="C8" s="47">
        <v>10.6</v>
      </c>
      <c r="D8" s="46">
        <v>5</v>
      </c>
      <c r="E8" s="47" t="s">
        <v>334</v>
      </c>
      <c r="F8" s="46" t="s">
        <v>334</v>
      </c>
      <c r="G8" s="47">
        <v>10.6</v>
      </c>
      <c r="H8" s="46">
        <v>5</v>
      </c>
    </row>
    <row r="9" spans="1:8" x14ac:dyDescent="0.6">
      <c r="A9" s="48"/>
      <c r="B9" s="48" t="s">
        <v>315</v>
      </c>
      <c r="C9" s="47">
        <v>12.5</v>
      </c>
      <c r="D9" s="46">
        <v>2</v>
      </c>
      <c r="E9" s="47">
        <v>6.75</v>
      </c>
      <c r="F9" s="46">
        <v>4</v>
      </c>
      <c r="G9" s="47">
        <v>8.6666666666666661</v>
      </c>
      <c r="H9" s="46">
        <v>6</v>
      </c>
    </row>
    <row r="10" spans="1:8" x14ac:dyDescent="0.6">
      <c r="A10" s="48">
        <v>2</v>
      </c>
      <c r="B10" s="48"/>
      <c r="C10" s="47"/>
      <c r="D10" s="46"/>
      <c r="E10" s="47"/>
      <c r="F10" s="46"/>
      <c r="G10" s="47"/>
      <c r="H10" s="46"/>
    </row>
    <row r="11" spans="1:8" x14ac:dyDescent="0.6">
      <c r="A11" s="48"/>
      <c r="B11" s="48" t="s">
        <v>316</v>
      </c>
      <c r="C11" s="47">
        <v>7.25</v>
      </c>
      <c r="D11" s="46">
        <v>4</v>
      </c>
      <c r="E11" s="47">
        <v>1.3333333333333333</v>
      </c>
      <c r="F11" s="46">
        <v>3</v>
      </c>
      <c r="G11" s="47">
        <v>4.7142857142857144</v>
      </c>
      <c r="H11" s="46">
        <v>7</v>
      </c>
    </row>
    <row r="12" spans="1:8" x14ac:dyDescent="0.6">
      <c r="A12" s="48"/>
      <c r="B12" s="48" t="s">
        <v>317</v>
      </c>
      <c r="C12" s="47">
        <v>7.25</v>
      </c>
      <c r="D12" s="46">
        <v>4</v>
      </c>
      <c r="E12" s="47">
        <v>9</v>
      </c>
      <c r="F12" s="46">
        <v>3</v>
      </c>
      <c r="G12" s="47">
        <v>8</v>
      </c>
      <c r="H12" s="46">
        <v>7</v>
      </c>
    </row>
    <row r="13" spans="1:8" x14ac:dyDescent="0.6">
      <c r="A13" s="48"/>
      <c r="B13" s="48" t="s">
        <v>318</v>
      </c>
      <c r="C13" s="47">
        <v>13.333333333333334</v>
      </c>
      <c r="D13" s="46">
        <v>3</v>
      </c>
      <c r="E13" s="47">
        <v>6.25</v>
      </c>
      <c r="F13" s="46">
        <v>4</v>
      </c>
      <c r="G13" s="47">
        <v>9.2857142857142865</v>
      </c>
      <c r="H13" s="46">
        <v>7</v>
      </c>
    </row>
    <row r="14" spans="1:8" x14ac:dyDescent="0.6">
      <c r="A14" s="48"/>
      <c r="B14" s="48" t="s">
        <v>319</v>
      </c>
      <c r="C14" s="47">
        <v>11.166666666666666</v>
      </c>
      <c r="D14" s="46">
        <v>6</v>
      </c>
      <c r="E14" s="47">
        <v>13</v>
      </c>
      <c r="F14" s="46">
        <v>2</v>
      </c>
      <c r="G14" s="47">
        <v>11.625</v>
      </c>
      <c r="H14" s="46">
        <v>8</v>
      </c>
    </row>
    <row r="15" spans="1:8" x14ac:dyDescent="0.6">
      <c r="A15" s="48">
        <v>3</v>
      </c>
      <c r="B15" s="48"/>
      <c r="C15" s="47"/>
      <c r="D15" s="46"/>
      <c r="E15" s="47"/>
      <c r="F15" s="46"/>
      <c r="G15" s="47"/>
      <c r="H15" s="46"/>
    </row>
    <row r="16" spans="1:8" x14ac:dyDescent="0.6">
      <c r="A16" s="48"/>
      <c r="B16" s="48" t="s">
        <v>320</v>
      </c>
      <c r="C16" s="47">
        <v>8</v>
      </c>
      <c r="D16" s="46">
        <v>5</v>
      </c>
      <c r="E16" s="47">
        <v>14</v>
      </c>
      <c r="F16" s="46">
        <v>2</v>
      </c>
      <c r="G16" s="47">
        <v>9.7142857142857135</v>
      </c>
      <c r="H16" s="46">
        <v>7</v>
      </c>
    </row>
    <row r="17" spans="1:8" x14ac:dyDescent="0.6">
      <c r="A17" s="48"/>
      <c r="B17" s="48" t="s">
        <v>321</v>
      </c>
      <c r="C17" s="47">
        <v>10.25</v>
      </c>
      <c r="D17" s="46">
        <v>4</v>
      </c>
      <c r="E17" s="47">
        <v>9.5</v>
      </c>
      <c r="F17" s="46">
        <v>6</v>
      </c>
      <c r="G17" s="47">
        <v>9.8000000000000007</v>
      </c>
      <c r="H17" s="46">
        <v>10</v>
      </c>
    </row>
    <row r="18" spans="1:8" x14ac:dyDescent="0.6">
      <c r="A18" s="48"/>
      <c r="B18" s="48" t="s">
        <v>322</v>
      </c>
      <c r="C18" s="47">
        <v>10.25</v>
      </c>
      <c r="D18" s="46">
        <v>4</v>
      </c>
      <c r="E18" s="47">
        <v>9</v>
      </c>
      <c r="F18" s="46">
        <v>4</v>
      </c>
      <c r="G18" s="47">
        <v>9.625</v>
      </c>
      <c r="H18" s="46">
        <v>8</v>
      </c>
    </row>
    <row r="19" spans="1:8" x14ac:dyDescent="0.6">
      <c r="A19" s="48"/>
      <c r="B19" s="48" t="s">
        <v>323</v>
      </c>
      <c r="C19" s="47">
        <v>11</v>
      </c>
      <c r="D19" s="46">
        <v>5</v>
      </c>
      <c r="E19" s="47">
        <v>4.333333333333333</v>
      </c>
      <c r="F19" s="46">
        <v>3</v>
      </c>
      <c r="G19" s="47">
        <v>8.5</v>
      </c>
      <c r="H19" s="46">
        <v>8</v>
      </c>
    </row>
    <row r="20" spans="1:8" x14ac:dyDescent="0.6">
      <c r="A20" s="48" t="s">
        <v>312</v>
      </c>
      <c r="B20" s="48"/>
      <c r="C20" s="47">
        <v>9.8888888888888893</v>
      </c>
      <c r="D20" s="46">
        <v>45</v>
      </c>
      <c r="E20" s="47">
        <v>7.4285714285714288</v>
      </c>
      <c r="F20" s="46">
        <v>35</v>
      </c>
      <c r="G20" s="47">
        <v>8.8125</v>
      </c>
      <c r="H20" s="46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F17"/>
  <sheetViews>
    <sheetView workbookViewId="0">
      <selection activeCell="G1" sqref="G1"/>
    </sheetView>
  </sheetViews>
  <sheetFormatPr defaultRowHeight="16.899999999999999" x14ac:dyDescent="0.6"/>
  <cols>
    <col min="1" max="1" width="18.437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7" width="7.5" bestFit="1" customWidth="1"/>
    <col min="8" max="8" width="14" bestFit="1" customWidth="1"/>
    <col min="9" max="9" width="12.0625" bestFit="1" customWidth="1"/>
    <col min="10" max="10" width="18.4375" bestFit="1" customWidth="1"/>
    <col min="11" max="11" width="16.5625" bestFit="1" customWidth="1"/>
  </cols>
  <sheetData>
    <row r="2" spans="1:6" x14ac:dyDescent="0.6">
      <c r="C2" s="45" t="s">
        <v>349</v>
      </c>
    </row>
    <row r="3" spans="1:6" x14ac:dyDescent="0.6">
      <c r="A3" s="45" t="s">
        <v>350</v>
      </c>
      <c r="B3" s="45" t="s">
        <v>331</v>
      </c>
      <c r="C3" t="s">
        <v>341</v>
      </c>
      <c r="D3" t="s">
        <v>342</v>
      </c>
      <c r="E3" t="s">
        <v>343</v>
      </c>
      <c r="F3" t="s">
        <v>344</v>
      </c>
    </row>
    <row r="4" spans="1:6" x14ac:dyDescent="0.6">
      <c r="A4" t="s">
        <v>335</v>
      </c>
      <c r="B4" t="s">
        <v>345</v>
      </c>
      <c r="C4" s="46">
        <v>432.59999999999991</v>
      </c>
      <c r="D4" s="46">
        <v>750</v>
      </c>
      <c r="E4" s="46">
        <v>43.9</v>
      </c>
      <c r="F4" s="46">
        <v>-20.299999999999997</v>
      </c>
    </row>
    <row r="5" spans="1:6" x14ac:dyDescent="0.6">
      <c r="B5" t="s">
        <v>348</v>
      </c>
      <c r="C5" s="46">
        <v>961.7</v>
      </c>
      <c r="D5" s="46">
        <v>736</v>
      </c>
      <c r="E5" s="46">
        <v>195.60000000000002</v>
      </c>
      <c r="F5" s="46">
        <v>124.5</v>
      </c>
    </row>
    <row r="6" spans="1:6" x14ac:dyDescent="0.6">
      <c r="A6" t="s">
        <v>336</v>
      </c>
      <c r="B6" t="s">
        <v>345</v>
      </c>
      <c r="C6" s="46">
        <v>191.10000000000002</v>
      </c>
      <c r="D6" s="46">
        <v>544</v>
      </c>
      <c r="E6" s="46">
        <v>37.9</v>
      </c>
      <c r="F6" s="46">
        <v>-1.4000000000000006</v>
      </c>
    </row>
    <row r="7" spans="1:6" x14ac:dyDescent="0.6">
      <c r="B7" t="s">
        <v>348</v>
      </c>
      <c r="C7" s="46">
        <v>642.20000000000005</v>
      </c>
      <c r="D7" s="46">
        <v>556</v>
      </c>
      <c r="E7" s="46">
        <v>151.9</v>
      </c>
      <c r="F7" s="46">
        <v>104.8</v>
      </c>
    </row>
    <row r="8" spans="1:6" x14ac:dyDescent="0.6">
      <c r="A8" t="s">
        <v>337</v>
      </c>
      <c r="B8" t="s">
        <v>345</v>
      </c>
      <c r="C8" s="46">
        <v>449.7</v>
      </c>
      <c r="D8" s="46">
        <v>837</v>
      </c>
      <c r="E8" s="46">
        <v>123.5</v>
      </c>
      <c r="F8" s="46">
        <v>54.2</v>
      </c>
    </row>
    <row r="9" spans="1:6" x14ac:dyDescent="0.6">
      <c r="B9" t="s">
        <v>348</v>
      </c>
      <c r="C9" s="46">
        <v>1306.9000000000001</v>
      </c>
      <c r="D9" s="46">
        <v>923</v>
      </c>
      <c r="E9" s="46">
        <v>273.39999999999998</v>
      </c>
      <c r="F9" s="46">
        <v>197</v>
      </c>
    </row>
    <row r="10" spans="1:6" x14ac:dyDescent="0.6">
      <c r="A10" t="s">
        <v>338</v>
      </c>
      <c r="B10" t="s">
        <v>345</v>
      </c>
      <c r="C10" s="46">
        <v>472.5</v>
      </c>
      <c r="D10" s="46">
        <v>987</v>
      </c>
      <c r="E10" s="46">
        <v>111.10000000000001</v>
      </c>
      <c r="F10" s="46">
        <v>39.5</v>
      </c>
    </row>
    <row r="11" spans="1:6" x14ac:dyDescent="0.6">
      <c r="B11" t="s">
        <v>348</v>
      </c>
      <c r="C11" s="46">
        <v>1182.0999999999999</v>
      </c>
      <c r="D11" s="46">
        <v>994</v>
      </c>
      <c r="E11" s="46">
        <v>267.2</v>
      </c>
      <c r="F11" s="46">
        <v>182.8</v>
      </c>
    </row>
    <row r="12" spans="1:6" x14ac:dyDescent="0.6">
      <c r="A12" t="s">
        <v>339</v>
      </c>
      <c r="B12" t="s">
        <v>345</v>
      </c>
      <c r="C12" s="46">
        <v>179.8</v>
      </c>
      <c r="D12" s="46">
        <v>191</v>
      </c>
      <c r="E12" s="46">
        <v>29.5</v>
      </c>
      <c r="F12" s="46">
        <v>21.3</v>
      </c>
    </row>
    <row r="13" spans="1:6" x14ac:dyDescent="0.6">
      <c r="B13" t="s">
        <v>348</v>
      </c>
      <c r="C13" s="46">
        <v>287.39999999999998</v>
      </c>
      <c r="D13" s="46">
        <v>195</v>
      </c>
      <c r="E13" s="46">
        <v>52.5</v>
      </c>
      <c r="F13" s="46">
        <v>41.5</v>
      </c>
    </row>
    <row r="14" spans="1:6" x14ac:dyDescent="0.6">
      <c r="A14" t="s">
        <v>340</v>
      </c>
      <c r="B14" t="s">
        <v>345</v>
      </c>
      <c r="C14" s="46">
        <v>328</v>
      </c>
      <c r="D14" s="46">
        <v>776</v>
      </c>
      <c r="E14" s="46">
        <v>63.5</v>
      </c>
      <c r="F14" s="46">
        <v>0</v>
      </c>
    </row>
    <row r="15" spans="1:6" x14ac:dyDescent="0.6">
      <c r="B15" t="s">
        <v>348</v>
      </c>
      <c r="C15" s="46">
        <v>890.59999999999991</v>
      </c>
      <c r="D15" s="46">
        <v>727</v>
      </c>
      <c r="E15" s="46">
        <v>216</v>
      </c>
      <c r="F15" s="46">
        <v>140.9</v>
      </c>
    </row>
    <row r="16" spans="1:6" x14ac:dyDescent="0.6">
      <c r="A16" t="s">
        <v>346</v>
      </c>
      <c r="C16" s="46">
        <v>2053.6999999999998</v>
      </c>
      <c r="D16" s="46">
        <v>4085</v>
      </c>
      <c r="E16" s="46">
        <v>409.4</v>
      </c>
      <c r="F16" s="46">
        <v>93.3</v>
      </c>
    </row>
    <row r="17" spans="1:6" x14ac:dyDescent="0.6">
      <c r="A17" t="s">
        <v>347</v>
      </c>
      <c r="C17" s="46">
        <v>5270.9000000000005</v>
      </c>
      <c r="D17" s="46">
        <v>4131</v>
      </c>
      <c r="E17" s="46">
        <v>1156.5999999999999</v>
      </c>
      <c r="F17" s="46">
        <v>791.5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8E0C-180C-4706-8956-685585B4AA4D}">
  <dimension ref="A1:E7"/>
  <sheetViews>
    <sheetView workbookViewId="0">
      <selection activeCell="G8" sqref="G8"/>
    </sheetView>
  </sheetViews>
  <sheetFormatPr defaultRowHeight="16.899999999999999" x14ac:dyDescent="0.6"/>
  <cols>
    <col min="3" max="4" width="15.8125" bestFit="1" customWidth="1"/>
  </cols>
  <sheetData>
    <row r="1" spans="1:5" x14ac:dyDescent="0.6">
      <c r="A1" t="s">
        <v>66</v>
      </c>
      <c r="B1" t="s">
        <v>222</v>
      </c>
      <c r="C1" t="s">
        <v>223</v>
      </c>
      <c r="D1" t="s">
        <v>224</v>
      </c>
      <c r="E1" t="s">
        <v>225</v>
      </c>
    </row>
    <row r="2" spans="1:5" x14ac:dyDescent="0.6">
      <c r="A2" t="s">
        <v>241</v>
      </c>
      <c r="B2" t="s">
        <v>232</v>
      </c>
      <c r="C2" s="53">
        <v>44386.664247685185</v>
      </c>
      <c r="D2" s="53">
        <v>44404.760416666664</v>
      </c>
      <c r="E2">
        <v>733</v>
      </c>
    </row>
    <row r="3" spans="1:5" x14ac:dyDescent="0.6">
      <c r="A3" t="s">
        <v>241</v>
      </c>
      <c r="B3" t="s">
        <v>232</v>
      </c>
      <c r="C3" s="53">
        <v>44389.56287037037</v>
      </c>
      <c r="D3" s="53">
        <v>44406.702777777777</v>
      </c>
      <c r="E3">
        <v>800</v>
      </c>
    </row>
    <row r="4" spans="1:5" x14ac:dyDescent="0.6">
      <c r="A4" t="s">
        <v>241</v>
      </c>
      <c r="B4" t="s">
        <v>232</v>
      </c>
      <c r="C4" s="53">
        <v>44389.546226851853</v>
      </c>
      <c r="D4" s="53">
        <v>44406.691666666666</v>
      </c>
      <c r="E4">
        <v>838</v>
      </c>
    </row>
    <row r="5" spans="1:5" x14ac:dyDescent="0.6">
      <c r="A5" t="s">
        <v>241</v>
      </c>
      <c r="B5" t="s">
        <v>232</v>
      </c>
      <c r="C5" s="53">
        <v>44392.838680555556</v>
      </c>
      <c r="D5" s="53">
        <v>44406.668055555558</v>
      </c>
      <c r="E5">
        <v>642</v>
      </c>
    </row>
    <row r="6" spans="1:5" x14ac:dyDescent="0.6">
      <c r="A6" t="s">
        <v>241</v>
      </c>
      <c r="B6" t="s">
        <v>232</v>
      </c>
      <c r="C6" s="53">
        <v>44390.558564814812</v>
      </c>
      <c r="D6" s="53">
        <v>44404.770138888889</v>
      </c>
      <c r="E6">
        <v>838</v>
      </c>
    </row>
    <row r="7" spans="1:5" x14ac:dyDescent="0.6">
      <c r="A7" t="s">
        <v>241</v>
      </c>
      <c r="B7" t="s">
        <v>232</v>
      </c>
      <c r="C7" s="53">
        <v>44386.666400462964</v>
      </c>
      <c r="D7" s="53">
        <v>44404.71597222222</v>
      </c>
      <c r="E7">
        <v>908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3:G18"/>
  <sheetViews>
    <sheetView workbookViewId="0">
      <selection activeCell="D6" sqref="D6"/>
    </sheetView>
  </sheetViews>
  <sheetFormatPr defaultRowHeight="16.899999999999999" x14ac:dyDescent="0.6"/>
  <cols>
    <col min="1" max="1" width="2.5625" customWidth="1"/>
    <col min="2" max="2" width="16.5625" bestFit="1" customWidth="1"/>
    <col min="3" max="3" width="11.8125" bestFit="1" customWidth="1"/>
    <col min="4" max="4" width="12.125" bestFit="1" customWidth="1"/>
    <col min="5" max="5" width="10.1875" bestFit="1" customWidth="1"/>
    <col min="6" max="6" width="12.125" bestFit="1" customWidth="1"/>
    <col min="7" max="7" width="14.0625" bestFit="1" customWidth="1"/>
    <col min="8" max="8" width="6.5625" bestFit="1" customWidth="1"/>
    <col min="9" max="9" width="14.0625" bestFit="1" customWidth="1"/>
    <col min="10" max="10" width="12.0625" bestFit="1" customWidth="1"/>
    <col min="11" max="11" width="14.625" bestFit="1" customWidth="1"/>
    <col min="12" max="12" width="16.5625" bestFit="1" customWidth="1"/>
  </cols>
  <sheetData>
    <row r="3" spans="2:7" x14ac:dyDescent="0.6">
      <c r="B3" s="48"/>
      <c r="C3" s="48"/>
      <c r="D3" s="49" t="s">
        <v>66</v>
      </c>
      <c r="E3" s="48"/>
      <c r="F3" s="48"/>
      <c r="G3" s="48"/>
    </row>
    <row r="4" spans="2:7" x14ac:dyDescent="0.6">
      <c r="B4" s="49" t="s">
        <v>222</v>
      </c>
      <c r="C4" s="49" t="s">
        <v>331</v>
      </c>
      <c r="D4" s="52" t="s">
        <v>241</v>
      </c>
      <c r="E4" s="52" t="s">
        <v>238</v>
      </c>
      <c r="F4" s="52" t="s">
        <v>351</v>
      </c>
      <c r="G4" s="52" t="s">
        <v>228</v>
      </c>
    </row>
    <row r="5" spans="2:7" x14ac:dyDescent="0.6">
      <c r="B5" s="48" t="s">
        <v>232</v>
      </c>
      <c r="C5" s="48"/>
      <c r="D5" s="47"/>
      <c r="E5" s="47"/>
      <c r="F5" s="47"/>
      <c r="G5" s="47"/>
    </row>
    <row r="6" spans="2:7" x14ac:dyDescent="0.6">
      <c r="B6" s="48"/>
      <c r="C6" s="48" t="s">
        <v>352</v>
      </c>
      <c r="D6" s="47">
        <v>793.16666666666663</v>
      </c>
      <c r="E6" s="47">
        <v>796</v>
      </c>
      <c r="F6" s="47">
        <v>777.6</v>
      </c>
      <c r="G6" s="47">
        <v>706.3</v>
      </c>
    </row>
    <row r="7" spans="2:7" x14ac:dyDescent="0.6">
      <c r="B7" s="48"/>
      <c r="C7" s="48" t="s">
        <v>355</v>
      </c>
      <c r="D7" s="47">
        <v>47.59</v>
      </c>
      <c r="E7" s="47">
        <v>55.72</v>
      </c>
      <c r="F7" s="47">
        <v>38.880000000000003</v>
      </c>
      <c r="G7" s="47">
        <v>70.63</v>
      </c>
    </row>
    <row r="8" spans="2:7" x14ac:dyDescent="0.6">
      <c r="B8" s="48" t="s">
        <v>231</v>
      </c>
      <c r="C8" s="48"/>
      <c r="D8" s="47"/>
      <c r="E8" s="47"/>
      <c r="F8" s="47"/>
      <c r="G8" s="47"/>
    </row>
    <row r="9" spans="2:7" x14ac:dyDescent="0.6">
      <c r="B9" s="48"/>
      <c r="C9" s="48" t="s">
        <v>352</v>
      </c>
      <c r="D9" s="47">
        <v>853.22222222222217</v>
      </c>
      <c r="E9" s="47">
        <v>853.11111111111109</v>
      </c>
      <c r="F9" s="47">
        <v>922.66666666666663</v>
      </c>
      <c r="G9" s="47">
        <v>945</v>
      </c>
    </row>
    <row r="10" spans="2:7" x14ac:dyDescent="0.6">
      <c r="B10" s="48"/>
      <c r="C10" s="48" t="s">
        <v>355</v>
      </c>
      <c r="D10" s="47">
        <v>76.790000000000006</v>
      </c>
      <c r="E10" s="47">
        <v>76.78</v>
      </c>
      <c r="F10" s="47">
        <v>55.36</v>
      </c>
      <c r="G10" s="47">
        <v>94.5</v>
      </c>
    </row>
    <row r="11" spans="2:7" x14ac:dyDescent="0.6">
      <c r="B11" s="48" t="s">
        <v>229</v>
      </c>
      <c r="C11" s="48"/>
      <c r="D11" s="47"/>
      <c r="E11" s="47"/>
      <c r="F11" s="47"/>
      <c r="G11" s="47"/>
    </row>
    <row r="12" spans="2:7" x14ac:dyDescent="0.6">
      <c r="B12" s="48"/>
      <c r="C12" s="48" t="s">
        <v>352</v>
      </c>
      <c r="D12" s="47">
        <v>896.5</v>
      </c>
      <c r="E12" s="47">
        <v>845.125</v>
      </c>
      <c r="F12" s="47">
        <v>893</v>
      </c>
      <c r="G12" s="47">
        <v>785.875</v>
      </c>
    </row>
    <row r="13" spans="2:7" x14ac:dyDescent="0.6">
      <c r="B13" s="48"/>
      <c r="C13" s="48" t="s">
        <v>355</v>
      </c>
      <c r="D13" s="47">
        <v>17.93</v>
      </c>
      <c r="E13" s="47">
        <v>67.61</v>
      </c>
      <c r="F13" s="47">
        <v>8.93</v>
      </c>
      <c r="G13" s="47">
        <v>62.87</v>
      </c>
    </row>
    <row r="14" spans="2:7" x14ac:dyDescent="0.6">
      <c r="B14" s="48" t="s">
        <v>230</v>
      </c>
      <c r="C14" s="48"/>
      <c r="D14" s="47"/>
      <c r="E14" s="47"/>
      <c r="F14" s="47"/>
      <c r="G14" s="47"/>
    </row>
    <row r="15" spans="2:7" x14ac:dyDescent="0.6">
      <c r="B15" s="48"/>
      <c r="C15" s="48" t="s">
        <v>352</v>
      </c>
      <c r="D15" s="47" t="s">
        <v>356</v>
      </c>
      <c r="E15" s="47">
        <v>792</v>
      </c>
      <c r="F15" s="47">
        <v>687.5</v>
      </c>
      <c r="G15" s="47">
        <v>838</v>
      </c>
    </row>
    <row r="16" spans="2:7" x14ac:dyDescent="0.6">
      <c r="B16" s="48"/>
      <c r="C16" s="48" t="s">
        <v>355</v>
      </c>
      <c r="D16" s="47">
        <v>0</v>
      </c>
      <c r="E16" s="47">
        <v>23.76</v>
      </c>
      <c r="F16" s="47">
        <v>13.75</v>
      </c>
      <c r="G16" s="47">
        <v>8.3800000000000008</v>
      </c>
    </row>
    <row r="17" spans="2:7" x14ac:dyDescent="0.6">
      <c r="B17" s="48" t="s">
        <v>353</v>
      </c>
      <c r="C17" s="48"/>
      <c r="D17" s="47">
        <v>837.11764705882354</v>
      </c>
      <c r="E17" s="47">
        <v>829.14814814814815</v>
      </c>
      <c r="F17" s="47">
        <v>835.14285714285711</v>
      </c>
      <c r="G17" s="47">
        <v>815.10344827586209</v>
      </c>
    </row>
    <row r="18" spans="2:7" x14ac:dyDescent="0.6">
      <c r="B18" s="48" t="s">
        <v>354</v>
      </c>
      <c r="C18" s="48"/>
      <c r="D18" s="47">
        <v>142.31</v>
      </c>
      <c r="E18" s="47">
        <v>223.87</v>
      </c>
      <c r="F18" s="47">
        <v>116.92</v>
      </c>
      <c r="G18" s="47">
        <v>236.38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4:J12"/>
  <sheetViews>
    <sheetView workbookViewId="0">
      <selection activeCell="H8" sqref="H8"/>
    </sheetView>
  </sheetViews>
  <sheetFormatPr defaultRowHeight="16.899999999999999" x14ac:dyDescent="0.6"/>
  <cols>
    <col min="1" max="1" width="2.5625" customWidth="1"/>
    <col min="2" max="2" width="10.6875" bestFit="1" customWidth="1"/>
    <col min="3" max="10" width="13.3125" bestFit="1" customWidth="1"/>
    <col min="11" max="11" width="14" bestFit="1" customWidth="1"/>
    <col min="12" max="12" width="17.8125" bestFit="1" customWidth="1"/>
  </cols>
  <sheetData>
    <row r="4" spans="2:10" x14ac:dyDescent="0.6">
      <c r="B4" s="48"/>
      <c r="C4" s="49" t="s">
        <v>369</v>
      </c>
      <c r="D4" s="49" t="s">
        <v>331</v>
      </c>
      <c r="E4" s="48"/>
      <c r="F4" s="48"/>
      <c r="G4" s="48"/>
      <c r="H4" s="48"/>
      <c r="I4" s="48"/>
      <c r="J4" s="48"/>
    </row>
    <row r="5" spans="2:10" x14ac:dyDescent="0.6">
      <c r="B5" s="48"/>
      <c r="C5" s="51" t="s">
        <v>362</v>
      </c>
      <c r="D5" s="50"/>
      <c r="E5" s="51" t="s">
        <v>363</v>
      </c>
      <c r="F5" s="50"/>
      <c r="G5" s="51" t="s">
        <v>364</v>
      </c>
      <c r="H5" s="50"/>
      <c r="I5" s="51" t="s">
        <v>365</v>
      </c>
      <c r="J5" s="50"/>
    </row>
    <row r="6" spans="2:10" x14ac:dyDescent="0.6">
      <c r="B6" s="49" t="s">
        <v>370</v>
      </c>
      <c r="C6" s="52" t="s">
        <v>366</v>
      </c>
      <c r="D6" s="52" t="s">
        <v>368</v>
      </c>
      <c r="E6" s="52" t="s">
        <v>366</v>
      </c>
      <c r="F6" s="52" t="s">
        <v>368</v>
      </c>
      <c r="G6" s="52" t="s">
        <v>366</v>
      </c>
      <c r="H6" s="52" t="s">
        <v>368</v>
      </c>
      <c r="I6" s="52" t="s">
        <v>366</v>
      </c>
      <c r="J6" s="52" t="s">
        <v>368</v>
      </c>
    </row>
    <row r="7" spans="2:10" x14ac:dyDescent="0.6">
      <c r="B7" s="52" t="s">
        <v>357</v>
      </c>
      <c r="C7" s="54">
        <v>1588000</v>
      </c>
      <c r="D7" s="46">
        <v>6</v>
      </c>
      <c r="E7" s="54">
        <v>239000</v>
      </c>
      <c r="F7" s="46">
        <v>1</v>
      </c>
      <c r="G7" s="54">
        <v>239000</v>
      </c>
      <c r="H7" s="46">
        <v>1</v>
      </c>
      <c r="I7" s="54">
        <v>781000</v>
      </c>
      <c r="J7" s="46">
        <v>1</v>
      </c>
    </row>
    <row r="8" spans="2:10" x14ac:dyDescent="0.6">
      <c r="B8" s="52" t="s">
        <v>358</v>
      </c>
      <c r="C8" s="54">
        <v>3742000</v>
      </c>
      <c r="D8" s="46">
        <v>4</v>
      </c>
      <c r="E8" s="54">
        <v>1262000</v>
      </c>
      <c r="F8" s="46">
        <v>1</v>
      </c>
      <c r="G8" s="54">
        <v>3521230</v>
      </c>
      <c r="H8" s="46">
        <v>8</v>
      </c>
      <c r="I8" s="54">
        <v>2763000</v>
      </c>
      <c r="J8" s="46">
        <v>5</v>
      </c>
    </row>
    <row r="9" spans="2:10" x14ac:dyDescent="0.6">
      <c r="B9" s="52" t="s">
        <v>359</v>
      </c>
      <c r="C9" s="54">
        <v>859000</v>
      </c>
      <c r="D9" s="46">
        <v>2</v>
      </c>
      <c r="E9" s="54">
        <v>3697000</v>
      </c>
      <c r="F9" s="46">
        <v>9</v>
      </c>
      <c r="G9" s="54">
        <v>1419000</v>
      </c>
      <c r="H9" s="46">
        <v>4</v>
      </c>
      <c r="I9" s="54">
        <v>2828000</v>
      </c>
      <c r="J9" s="46">
        <v>4</v>
      </c>
    </row>
    <row r="10" spans="2:10" x14ac:dyDescent="0.6">
      <c r="B10" s="52" t="s">
        <v>360</v>
      </c>
      <c r="C10" s="54">
        <v>4717000</v>
      </c>
      <c r="D10" s="46">
        <v>6</v>
      </c>
      <c r="E10" s="54">
        <v>1552000</v>
      </c>
      <c r="F10" s="46">
        <v>7</v>
      </c>
      <c r="G10" s="54">
        <v>6903000</v>
      </c>
      <c r="H10" s="46">
        <v>5</v>
      </c>
      <c r="I10" s="54">
        <v>613000</v>
      </c>
      <c r="J10" s="46">
        <v>1</v>
      </c>
    </row>
    <row r="11" spans="2:10" x14ac:dyDescent="0.6">
      <c r="B11" s="52" t="s">
        <v>361</v>
      </c>
      <c r="C11" s="54" t="s">
        <v>334</v>
      </c>
      <c r="D11" s="46" t="s">
        <v>334</v>
      </c>
      <c r="E11" s="54">
        <v>1890000</v>
      </c>
      <c r="F11" s="46">
        <v>1</v>
      </c>
      <c r="G11" s="54" t="s">
        <v>334</v>
      </c>
      <c r="H11" s="46" t="s">
        <v>334</v>
      </c>
      <c r="I11" s="54">
        <v>1890000</v>
      </c>
      <c r="J11" s="46">
        <v>1</v>
      </c>
    </row>
    <row r="12" spans="2:10" x14ac:dyDescent="0.6">
      <c r="B12" s="52" t="s">
        <v>312</v>
      </c>
      <c r="C12" s="54">
        <v>10906000</v>
      </c>
      <c r="D12" s="46">
        <v>18</v>
      </c>
      <c r="E12" s="54">
        <v>8640000</v>
      </c>
      <c r="F12" s="46">
        <v>19</v>
      </c>
      <c r="G12" s="54">
        <v>12082230</v>
      </c>
      <c r="H12" s="46">
        <v>18</v>
      </c>
      <c r="I12" s="54">
        <v>8875000</v>
      </c>
      <c r="J12" s="46">
        <v>12</v>
      </c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4:E16"/>
  <sheetViews>
    <sheetView tabSelected="1" workbookViewId="0">
      <selection activeCell="F2" sqref="F2"/>
    </sheetView>
  </sheetViews>
  <sheetFormatPr defaultRowHeight="16.899999999999999" x14ac:dyDescent="0.6"/>
  <cols>
    <col min="1" max="1" width="2.5625" customWidth="1"/>
    <col min="2" max="2" width="14" bestFit="1" customWidth="1"/>
    <col min="3" max="3" width="9.25" bestFit="1" customWidth="1"/>
    <col min="4" max="4" width="13.8125" bestFit="1" customWidth="1"/>
    <col min="5" max="6" width="12.75" bestFit="1" customWidth="1"/>
    <col min="7" max="8" width="11.0625" bestFit="1" customWidth="1"/>
    <col min="9" max="9" width="13" bestFit="1" customWidth="1"/>
    <col min="10" max="10" width="9.5" bestFit="1" customWidth="1"/>
    <col min="11" max="11" width="10.1875" bestFit="1" customWidth="1"/>
    <col min="12" max="12" width="9.5" bestFit="1" customWidth="1"/>
    <col min="13" max="14" width="14" bestFit="1" customWidth="1"/>
  </cols>
  <sheetData>
    <row r="4" spans="2:5" x14ac:dyDescent="0.6">
      <c r="D4" s="45" t="s">
        <v>46</v>
      </c>
    </row>
    <row r="5" spans="2:5" x14ac:dyDescent="0.6">
      <c r="B5" s="45" t="s">
        <v>48</v>
      </c>
      <c r="C5" s="45" t="s">
        <v>331</v>
      </c>
      <c r="D5" t="s">
        <v>25</v>
      </c>
      <c r="E5" t="s">
        <v>33</v>
      </c>
    </row>
    <row r="6" spans="2:5" x14ac:dyDescent="0.6">
      <c r="B6" t="s">
        <v>43</v>
      </c>
      <c r="D6" s="55"/>
      <c r="E6" s="55"/>
    </row>
    <row r="7" spans="2:5" x14ac:dyDescent="0.6">
      <c r="C7" t="s">
        <v>366</v>
      </c>
      <c r="D7" s="55">
        <v>22936120</v>
      </c>
      <c r="E7" s="55"/>
    </row>
    <row r="8" spans="2:5" x14ac:dyDescent="0.6">
      <c r="C8" t="s">
        <v>372</v>
      </c>
      <c r="D8" s="55">
        <v>4587224</v>
      </c>
      <c r="E8" s="55"/>
    </row>
    <row r="9" spans="2:5" x14ac:dyDescent="0.6">
      <c r="B9" t="s">
        <v>59</v>
      </c>
      <c r="D9" s="55"/>
      <c r="E9" s="55"/>
    </row>
    <row r="10" spans="2:5" x14ac:dyDescent="0.6">
      <c r="C10" t="s">
        <v>366</v>
      </c>
      <c r="D10" s="55"/>
      <c r="E10" s="55">
        <v>1170000</v>
      </c>
    </row>
    <row r="11" spans="2:5" x14ac:dyDescent="0.6">
      <c r="C11" t="s">
        <v>372</v>
      </c>
      <c r="D11" s="55"/>
      <c r="E11" s="55">
        <v>292500</v>
      </c>
    </row>
    <row r="12" spans="2:5" x14ac:dyDescent="0.6">
      <c r="B12" t="s">
        <v>27</v>
      </c>
      <c r="D12" s="55"/>
      <c r="E12" s="55"/>
    </row>
    <row r="13" spans="2:5" x14ac:dyDescent="0.6">
      <c r="C13" t="s">
        <v>366</v>
      </c>
      <c r="D13" s="55">
        <v>7246780</v>
      </c>
      <c r="E13" s="55"/>
    </row>
    <row r="14" spans="2:5" x14ac:dyDescent="0.6">
      <c r="C14" t="s">
        <v>372</v>
      </c>
      <c r="D14" s="55">
        <v>805197.77777777775</v>
      </c>
      <c r="E14" s="55"/>
    </row>
    <row r="15" spans="2:5" x14ac:dyDescent="0.6">
      <c r="B15" t="s">
        <v>367</v>
      </c>
      <c r="D15" s="55">
        <v>30182900</v>
      </c>
      <c r="E15" s="55">
        <v>1170000</v>
      </c>
    </row>
    <row r="16" spans="2:5" x14ac:dyDescent="0.6">
      <c r="B16" t="s">
        <v>371</v>
      </c>
      <c r="D16" s="55">
        <v>2155921.4285714286</v>
      </c>
      <c r="E16" s="55">
        <v>292500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79167B-F308-42AE-B851-243F953CE3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Sheet1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2023-06-15T09:10:42Z</dcterms:modified>
</cp:coreProperties>
</file>