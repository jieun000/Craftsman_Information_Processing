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9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10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11.xml" ContentType="application/vnd.openxmlformats-officedocument.drawing+xml"/>
  <Override PartName="/xl/ctrlProps/ctrlProp7.xml" ContentType="application/vnd.ms-excel.controlproperties+xml"/>
  <Override PartName="/xl/drawings/drawing12.xml" ContentType="application/vnd.openxmlformats-officedocument.drawing+xml"/>
  <Override PartName="/xl/ctrlProps/ctrlProp8.xml" ContentType="application/vnd.ms-excel.controlproperties+xml"/>
  <Override PartName="/xl/drawings/drawing13.xml" ContentType="application/vnd.openxmlformats-officedocument.drawing+xml"/>
  <Override PartName="/xl/ctrlProps/ctrlProp9.xml" ContentType="application/vnd.ms-excel.controlproperties+xml"/>
  <Override PartName="/xl/drawings/drawing1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15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16.xml" ContentType="application/vnd.openxmlformats-officedocument.drawing+xml"/>
  <Override PartName="/xl/ctrlProps/ctrlProp14.xml" ContentType="application/vnd.ms-excel.controlproperties+xml"/>
  <Override PartName="/xl/drawings/drawing17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ondi\Desktop\database\Spreadsheet\"/>
    </mc:Choice>
  </mc:AlternateContent>
  <xr:revisionPtr revIDLastSave="0" documentId="13_ncr:1_{A3E28411-203A-4B9C-B07A-C99F2CC12541}" xr6:coauthVersionLast="47" xr6:coauthVersionMax="47" xr10:uidLastSave="{00000000-0000-0000-0000-000000000000}"/>
  <bookViews>
    <workbookView xWindow="-98" yWindow="-98" windowWidth="21795" windowHeight="12975" tabRatio="888" firstSheet="6" activeTab="16" xr2:uid="{00000000-000D-0000-FFFF-FFFF00000000}"/>
  </bookViews>
  <sheets>
    <sheet name="홈" sheetId="45" r:id="rId1"/>
    <sheet name="차트1" sheetId="94" r:id="rId2"/>
    <sheet name="차트2" sheetId="96" r:id="rId3"/>
    <sheet name="차트3" sheetId="98" r:id="rId4"/>
    <sheet name="차트4" sheetId="99" r:id="rId5"/>
    <sheet name="차트5" sheetId="100" r:id="rId6"/>
    <sheet name="차트6" sheetId="101" r:id="rId7"/>
    <sheet name="매크로1" sheetId="95" r:id="rId8"/>
    <sheet name="매크로2" sheetId="97" r:id="rId9"/>
    <sheet name="매크로3" sheetId="102" r:id="rId10"/>
    <sheet name="매크로4" sheetId="103" r:id="rId11"/>
    <sheet name="매크로5" sheetId="104" r:id="rId12"/>
    <sheet name="매크로6" sheetId="105" r:id="rId13"/>
    <sheet name="매크로7" sheetId="106" r:id="rId14"/>
    <sheet name="매크로8" sheetId="86" r:id="rId15"/>
    <sheet name="매크로9" sheetId="85" r:id="rId16"/>
    <sheet name="매크로10" sheetId="84" r:id="rId17"/>
  </sheets>
  <externalReferences>
    <externalReference r:id="rId18"/>
  </externalReferences>
  <definedNames>
    <definedName name="결과">'[1]기본작업-1'!#REF!</definedName>
    <definedName name="과목">'[1]기본작업-1'!#REF!</definedName>
    <definedName name="ㄴㅇㅁㄴㅇㅁ">'[1]기본작업-1'!#REF!</definedName>
    <definedName name="번호">'[1]기본작업-1'!#REF!</definedName>
    <definedName name="시험날짜">'[1]기본작업-1'!#REF!</definedName>
    <definedName name="ㅇㄹㄹ">'[1]기본작업-1'!#REF!</definedName>
    <definedName name="이름">'[1]기본작업-1'!#REF!</definedName>
    <definedName name="점수">'[1]기본작업-1'!#REF!</definedName>
    <definedName name="학과">'[1]기본작업-1'!#REF!</definedName>
    <definedName name="학번">'[1]기본작업-1'!#REF!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2" i="84" l="1"/>
  <c r="J31" i="84"/>
  <c r="J30" i="84"/>
  <c r="J29" i="84"/>
  <c r="J28" i="84"/>
  <c r="J27" i="84"/>
  <c r="J26" i="84"/>
  <c r="J25" i="84"/>
  <c r="J24" i="84"/>
  <c r="J23" i="84"/>
  <c r="J22" i="84"/>
  <c r="J21" i="84"/>
  <c r="J20" i="84"/>
  <c r="J19" i="84"/>
  <c r="J18" i="84"/>
  <c r="J17" i="84"/>
  <c r="J16" i="84"/>
  <c r="J15" i="84"/>
  <c r="J14" i="84"/>
  <c r="J13" i="84"/>
  <c r="J12" i="84"/>
  <c r="J11" i="84"/>
  <c r="J10" i="84"/>
  <c r="J9" i="84"/>
  <c r="J8" i="84"/>
  <c r="J7" i="84"/>
  <c r="J6" i="84"/>
  <c r="J5" i="84"/>
  <c r="J4" i="84"/>
  <c r="E32" i="104" l="1"/>
  <c r="E31" i="104"/>
  <c r="E30" i="104"/>
  <c r="E29" i="104"/>
  <c r="E28" i="104"/>
  <c r="E27" i="104"/>
  <c r="E26" i="104"/>
  <c r="E25" i="104"/>
  <c r="E24" i="104"/>
  <c r="E23" i="104"/>
  <c r="E22" i="104"/>
  <c r="E21" i="104"/>
  <c r="E20" i="104"/>
  <c r="E19" i="104"/>
  <c r="E18" i="104"/>
  <c r="E17" i="104"/>
  <c r="E16" i="104"/>
  <c r="E15" i="104"/>
  <c r="E14" i="104"/>
  <c r="E13" i="104"/>
  <c r="E12" i="104"/>
  <c r="E11" i="104"/>
  <c r="E10" i="104"/>
  <c r="E9" i="104"/>
  <c r="E8" i="104"/>
  <c r="E7" i="104"/>
  <c r="E6" i="104"/>
  <c r="E5" i="104"/>
  <c r="E4" i="104"/>
  <c r="E3" i="104"/>
  <c r="G33" i="102" l="1"/>
  <c r="G32" i="102"/>
  <c r="G31" i="102"/>
  <c r="G30" i="102"/>
  <c r="G29" i="102"/>
  <c r="G28" i="102"/>
  <c r="G27" i="102"/>
  <c r="G26" i="102"/>
  <c r="G25" i="102"/>
  <c r="G24" i="102"/>
  <c r="G23" i="102"/>
  <c r="G22" i="102"/>
  <c r="G21" i="102"/>
  <c r="G20" i="102"/>
  <c r="G19" i="102"/>
  <c r="G18" i="102"/>
  <c r="G17" i="102"/>
  <c r="G16" i="102"/>
  <c r="G15" i="102"/>
  <c r="G14" i="102"/>
  <c r="G13" i="102"/>
  <c r="G12" i="102"/>
  <c r="G11" i="102"/>
  <c r="G10" i="102"/>
  <c r="G9" i="102"/>
  <c r="G8" i="102"/>
  <c r="G7" i="102"/>
  <c r="G6" i="102"/>
  <c r="G5" i="102"/>
  <c r="G4" i="102"/>
  <c r="G3" i="102"/>
  <c r="F39" i="97" l="1"/>
  <c r="F38" i="97"/>
  <c r="F37" i="97"/>
  <c r="F36" i="97"/>
  <c r="F35" i="97"/>
  <c r="F34" i="97"/>
  <c r="F33" i="97"/>
  <c r="F32" i="97"/>
  <c r="F31" i="97"/>
  <c r="F30" i="97"/>
  <c r="F29" i="97"/>
  <c r="F28" i="97"/>
  <c r="F27" i="97"/>
  <c r="F26" i="97"/>
  <c r="F25" i="97"/>
  <c r="F24" i="97"/>
  <c r="F23" i="97"/>
  <c r="F22" i="97"/>
  <c r="F21" i="97"/>
  <c r="F20" i="97"/>
  <c r="F19" i="97"/>
  <c r="F18" i="97"/>
  <c r="F17" i="97"/>
  <c r="F15" i="97"/>
  <c r="F14" i="97"/>
  <c r="F13" i="97"/>
  <c r="F12" i="97"/>
  <c r="F11" i="97"/>
  <c r="F10" i="97"/>
  <c r="F9" i="97"/>
  <c r="F8" i="97"/>
  <c r="F7" i="97"/>
  <c r="M33" i="95" l="1"/>
  <c r="M32" i="95"/>
  <c r="M31" i="95"/>
  <c r="M30" i="95"/>
  <c r="M29" i="95"/>
  <c r="M28" i="95"/>
  <c r="M27" i="95"/>
  <c r="M26" i="95"/>
  <c r="M25" i="95"/>
  <c r="M24" i="95"/>
  <c r="M23" i="95"/>
  <c r="M22" i="95"/>
  <c r="M21" i="95"/>
  <c r="M20" i="95"/>
  <c r="M19" i="95"/>
  <c r="M18" i="95"/>
  <c r="M17" i="95"/>
  <c r="M16" i="95"/>
  <c r="M15" i="95"/>
  <c r="M14" i="95"/>
  <c r="M13" i="95"/>
  <c r="M12" i="95"/>
  <c r="M11" i="95"/>
  <c r="M10" i="95"/>
  <c r="M9" i="95"/>
  <c r="M8" i="95"/>
  <c r="M7" i="95"/>
  <c r="M6" i="95"/>
</calcChain>
</file>

<file path=xl/sharedStrings.xml><?xml version="1.0" encoding="utf-8"?>
<sst xmlns="http://schemas.openxmlformats.org/spreadsheetml/2006/main" count="983" uniqueCount="409">
  <si>
    <t>이름</t>
  </si>
  <si>
    <t>가입나이</t>
  </si>
  <si>
    <t>코드</t>
  </si>
  <si>
    <t>구분-성별</t>
  </si>
  <si>
    <t>가입금액</t>
  </si>
  <si>
    <t>가입기간</t>
  </si>
  <si>
    <t>BM</t>
  </si>
  <si>
    <t>기본형-남자</t>
  </si>
  <si>
    <t>BW</t>
  </si>
  <si>
    <t>기본형-여자</t>
  </si>
  <si>
    <t>SM</t>
  </si>
  <si>
    <t>추가보장-남자</t>
  </si>
  <si>
    <t>SW</t>
  </si>
  <si>
    <t>추가보장-여자</t>
  </si>
  <si>
    <t>서울</t>
  </si>
  <si>
    <t>부산</t>
  </si>
  <si>
    <t>광주</t>
  </si>
  <si>
    <t>대구</t>
  </si>
  <si>
    <t>강경순</t>
  </si>
  <si>
    <t>강정화</t>
  </si>
  <si>
    <t>김금선</t>
  </si>
  <si>
    <t>김병래</t>
  </si>
  <si>
    <t>김상덕</t>
  </si>
  <si>
    <t>김숙자</t>
  </si>
  <si>
    <t>박강훈</t>
  </si>
  <si>
    <t>꽃</t>
  </si>
  <si>
    <t>지역명</t>
  </si>
  <si>
    <t>개화일</t>
  </si>
  <si>
    <t>평년</t>
  </si>
  <si>
    <t>평년차</t>
  </si>
  <si>
    <t>개나리</t>
  </si>
  <si>
    <t>강릉</t>
  </si>
  <si>
    <t>벚꽃</t>
  </si>
  <si>
    <t>진달래</t>
  </si>
  <si>
    <t>대전</t>
  </si>
  <si>
    <t>서귀포</t>
  </si>
  <si>
    <t>수원</t>
  </si>
  <si>
    <t>여수</t>
  </si>
  <si>
    <t>인천</t>
  </si>
  <si>
    <t>전주</t>
  </si>
  <si>
    <t>반</t>
  </si>
  <si>
    <t>성명</t>
  </si>
  <si>
    <t>엑셀</t>
    <phoneticPr fontId="2" type="noConversion"/>
  </si>
  <si>
    <t>액세스</t>
    <phoneticPr fontId="2" type="noConversion"/>
  </si>
  <si>
    <t>이름</t>
    <phoneticPr fontId="2" type="noConversion"/>
  </si>
  <si>
    <t>환율 미국(USD)</t>
    <phoneticPr fontId="2" type="noConversion"/>
  </si>
  <si>
    <t>날짜</t>
  </si>
  <si>
    <t>매매</t>
  </si>
  <si>
    <t>전일비</t>
  </si>
  <si>
    <t>등락률</t>
  </si>
  <si>
    <t>현찰</t>
  </si>
  <si>
    <t>송금(전신환)</t>
  </si>
  <si>
    <t>기준율</t>
  </si>
  <si>
    <t>사실때</t>
  </si>
  <si>
    <t>파실때</t>
  </si>
  <si>
    <t>보내실때</t>
  </si>
  <si>
    <t>받으실때</t>
  </si>
  <si>
    <r>
      <t>▼</t>
    </r>
    <r>
      <rPr>
        <sz val="9"/>
        <color rgb="FF015EE1"/>
        <rFont val="맑은 고딕"/>
        <family val="3"/>
        <charset val="129"/>
        <scheme val="minor"/>
      </rPr>
      <t>7.50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</si>
  <si>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23.40</t>
    </r>
  </si>
  <si>
    <r>
      <t> </t>
    </r>
    <r>
      <rPr>
        <sz val="9"/>
        <color rgb="FFD80200"/>
        <rFont val="맑은 고딕"/>
        <family val="3"/>
        <charset val="129"/>
        <scheme val="minor"/>
      </rPr>
      <t>3.40</t>
    </r>
  </si>
  <si>
    <r>
      <t> </t>
    </r>
    <r>
      <rPr>
        <sz val="9"/>
        <color rgb="FFD80200"/>
        <rFont val="맑은 고딕"/>
        <family val="3"/>
        <charset val="129"/>
        <scheme val="minor"/>
      </rPr>
      <t>2.50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</si>
  <si>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6.50</t>
    </r>
  </si>
  <si>
    <t>환율 중국(CNY)</t>
    <phoneticPr fontId="2" type="noConversion"/>
  </si>
  <si>
    <r>
      <t> </t>
    </r>
    <r>
      <rPr>
        <sz val="9"/>
        <color rgb="FFD80200"/>
        <rFont val="맑은 고딕"/>
        <family val="3"/>
        <charset val="129"/>
        <scheme val="minor"/>
      </rPr>
      <t>1.43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</si>
  <si>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0.43</t>
    </r>
  </si>
  <si>
    <r>
      <t> </t>
    </r>
    <r>
      <rPr>
        <sz val="9"/>
        <color rgb="FFD80200"/>
        <rFont val="맑은 고딕"/>
        <family val="3"/>
        <charset val="129"/>
        <scheme val="minor"/>
      </rPr>
      <t>1.76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</si>
  <si>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0.75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</si>
  <si>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1.90</t>
    </r>
  </si>
  <si>
    <t>학년</t>
  </si>
  <si>
    <t>출석</t>
    <phoneticPr fontId="2" type="noConversion"/>
  </si>
  <si>
    <t>사랑반</t>
    <phoneticPr fontId="24" type="noConversion"/>
  </si>
  <si>
    <t>김영서</t>
    <phoneticPr fontId="24" type="noConversion"/>
  </si>
  <si>
    <t>사랑반</t>
    <phoneticPr fontId="24" type="noConversion"/>
  </si>
  <si>
    <t>이환</t>
    <phoneticPr fontId="24" type="noConversion"/>
  </si>
  <si>
    <t>사랑반</t>
    <phoneticPr fontId="24" type="noConversion"/>
  </si>
  <si>
    <t>김유준</t>
    <phoneticPr fontId="24" type="noConversion"/>
  </si>
  <si>
    <t>화평반</t>
    <phoneticPr fontId="24" type="noConversion"/>
  </si>
  <si>
    <t>김지환</t>
    <phoneticPr fontId="24" type="noConversion"/>
  </si>
  <si>
    <t>원가은</t>
    <phoneticPr fontId="24" type="noConversion"/>
  </si>
  <si>
    <t>김서찬</t>
    <phoneticPr fontId="24" type="noConversion"/>
  </si>
  <si>
    <t>노재현</t>
    <phoneticPr fontId="24" type="noConversion"/>
  </si>
  <si>
    <t>희락반</t>
    <phoneticPr fontId="24" type="noConversion"/>
  </si>
  <si>
    <t>최예진</t>
    <phoneticPr fontId="24" type="noConversion"/>
  </si>
  <si>
    <t>희락반</t>
    <phoneticPr fontId="24" type="noConversion"/>
  </si>
  <si>
    <t>전준호</t>
    <phoneticPr fontId="24" type="noConversion"/>
  </si>
  <si>
    <t>희락반</t>
    <phoneticPr fontId="24" type="noConversion"/>
  </si>
  <si>
    <t>김우인</t>
    <phoneticPr fontId="24" type="noConversion"/>
  </si>
  <si>
    <t>양선반</t>
    <phoneticPr fontId="24" type="noConversion"/>
  </si>
  <si>
    <t>신지섭</t>
  </si>
  <si>
    <t>정승우</t>
  </si>
  <si>
    <t>오래참음반</t>
    <phoneticPr fontId="24" type="noConversion"/>
  </si>
  <si>
    <t>강연지</t>
  </si>
  <si>
    <t>오래참음반</t>
    <phoneticPr fontId="24" type="noConversion"/>
  </si>
  <si>
    <t>박소연</t>
  </si>
  <si>
    <t>오래참음반</t>
    <phoneticPr fontId="24" type="noConversion"/>
  </si>
  <si>
    <t>윤지강</t>
  </si>
  <si>
    <t>손채영</t>
  </si>
  <si>
    <t>자비반</t>
    <phoneticPr fontId="24" type="noConversion"/>
  </si>
  <si>
    <t>박지민</t>
  </si>
  <si>
    <t>김하람</t>
  </si>
  <si>
    <t>김하영</t>
  </si>
  <si>
    <t>이지훈</t>
  </si>
  <si>
    <t>자비반</t>
    <phoneticPr fontId="24" type="noConversion"/>
  </si>
  <si>
    <t>이선녕</t>
  </si>
  <si>
    <t>충성반</t>
    <phoneticPr fontId="24" type="noConversion"/>
  </si>
  <si>
    <t>곽용빈</t>
  </si>
  <si>
    <t>이승아</t>
  </si>
  <si>
    <t>충성반</t>
    <phoneticPr fontId="24" type="noConversion"/>
  </si>
  <si>
    <t>한정우</t>
    <phoneticPr fontId="24" type="noConversion"/>
  </si>
  <si>
    <t>충성반</t>
    <phoneticPr fontId="24" type="noConversion"/>
  </si>
  <si>
    <t>이창재</t>
  </si>
  <si>
    <t>노석진</t>
  </si>
  <si>
    <t>권한지</t>
    <phoneticPr fontId="24" type="noConversion"/>
  </si>
  <si>
    <t>최경주</t>
  </si>
  <si>
    <t>주요도시 빗물의 산도 [단위 : pH]</t>
  </si>
  <si>
    <t>꽃</t>
    <phoneticPr fontId="2" type="noConversion"/>
  </si>
  <si>
    <t>개화일</t>
    <phoneticPr fontId="2" type="noConversion"/>
  </si>
  <si>
    <t>평년</t>
    <phoneticPr fontId="34" type="noConversion"/>
  </si>
  <si>
    <t>평년차</t>
    <phoneticPr fontId="2" type="noConversion"/>
  </si>
  <si>
    <t>벚꽃</t>
    <phoneticPr fontId="2" type="noConversion"/>
  </si>
  <si>
    <t>진달래</t>
    <phoneticPr fontId="2" type="noConversion"/>
  </si>
  <si>
    <t>개나리</t>
    <phoneticPr fontId="2" type="noConversion"/>
  </si>
  <si>
    <t>벚꽃</t>
    <phoneticPr fontId="2" type="noConversion"/>
  </si>
  <si>
    <t>동북아 1인당 GDP</t>
    <phoneticPr fontId="2" type="noConversion"/>
  </si>
  <si>
    <t>달러(USD)</t>
    <phoneticPr fontId="2" type="noConversion"/>
  </si>
  <si>
    <t>한국</t>
    <phoneticPr fontId="2" type="noConversion"/>
  </si>
  <si>
    <t>일본</t>
    <phoneticPr fontId="2" type="noConversion"/>
  </si>
  <si>
    <t>중국</t>
    <phoneticPr fontId="2" type="noConversion"/>
  </si>
  <si>
    <t>(제공 : 세계은행)</t>
    <phoneticPr fontId="2" type="noConversion"/>
  </si>
  <si>
    <t>K-POP 인지도</t>
    <phoneticPr fontId="2" type="noConversion"/>
  </si>
  <si>
    <t>한국</t>
    <phoneticPr fontId="2" type="noConversion"/>
  </si>
  <si>
    <t>인도네시아</t>
    <phoneticPr fontId="2" type="noConversion"/>
  </si>
  <si>
    <t>태국</t>
    <phoneticPr fontId="2" type="noConversion"/>
  </si>
  <si>
    <t>베트남</t>
    <phoneticPr fontId="2" type="noConversion"/>
  </si>
  <si>
    <t>미국</t>
    <phoneticPr fontId="2" type="noConversion"/>
  </si>
  <si>
    <t>필리핀</t>
    <phoneticPr fontId="2" type="noConversion"/>
  </si>
  <si>
    <t>브라질</t>
    <phoneticPr fontId="2" type="noConversion"/>
  </si>
  <si>
    <t>멕시코</t>
    <phoneticPr fontId="2" type="noConversion"/>
  </si>
  <si>
    <t>기타</t>
    <phoneticPr fontId="2" type="noConversion"/>
  </si>
  <si>
    <t>K-POP 인지도</t>
    <phoneticPr fontId="2" type="noConversion"/>
  </si>
  <si>
    <t>(자료제공 : 팬덤 연구소 블립)</t>
    <phoneticPr fontId="2" type="noConversion"/>
  </si>
  <si>
    <t>시도별 초미세먼지(㎍/㎥)</t>
    <phoneticPr fontId="2" type="noConversion"/>
  </si>
  <si>
    <t>서울</t>
    <phoneticPr fontId="2" type="noConversion"/>
  </si>
  <si>
    <t>시간평균</t>
  </si>
  <si>
    <t>일평균</t>
  </si>
  <si>
    <t>최고값</t>
  </si>
  <si>
    <t>최저값</t>
  </si>
  <si>
    <t>(제공 : 에어코리아)</t>
    <phoneticPr fontId="2" type="noConversion"/>
  </si>
  <si>
    <t>도시와 교외의 인구 비교</t>
    <phoneticPr fontId="2" type="noConversion"/>
  </si>
  <si>
    <t>대한민국</t>
    <phoneticPr fontId="2" type="noConversion"/>
  </si>
  <si>
    <t>이집트</t>
    <phoneticPr fontId="2" type="noConversion"/>
  </si>
  <si>
    <t>말레이시아</t>
    <phoneticPr fontId="2" type="noConversion"/>
  </si>
  <si>
    <t>미국</t>
    <phoneticPr fontId="2" type="noConversion"/>
  </si>
  <si>
    <t>페루</t>
    <phoneticPr fontId="2" type="noConversion"/>
  </si>
  <si>
    <t>도시인구</t>
    <phoneticPr fontId="2" type="noConversion"/>
  </si>
  <si>
    <t>농촌인구</t>
    <phoneticPr fontId="2" type="noConversion"/>
  </si>
  <si>
    <t>(자료 제공 : 데이터 컴먼스)</t>
    <phoneticPr fontId="2" type="noConversion"/>
  </si>
  <si>
    <t xml:space="preserve">오늘 날짜 : </t>
    <phoneticPr fontId="2" type="noConversion"/>
  </si>
  <si>
    <t>행사내용</t>
  </si>
  <si>
    <t>인원</t>
  </si>
  <si>
    <t>홀이름</t>
  </si>
  <si>
    <t>행사일</t>
  </si>
  <si>
    <t>남은일수</t>
    <phoneticPr fontId="2" type="noConversion"/>
  </si>
  <si>
    <t>비고</t>
  </si>
  <si>
    <t>공태성</t>
  </si>
  <si>
    <t>체육경기</t>
  </si>
  <si>
    <t>보조경기장</t>
  </si>
  <si>
    <t>96일 남음</t>
  </si>
  <si>
    <t>기승혁</t>
  </si>
  <si>
    <t>42일 남음</t>
  </si>
  <si>
    <t>김상현</t>
  </si>
  <si>
    <t>일반행사</t>
  </si>
  <si>
    <t>실내체육관</t>
  </si>
  <si>
    <t>97일 남음</t>
  </si>
  <si>
    <t>김성현</t>
  </si>
  <si>
    <t>59일 남음</t>
  </si>
  <si>
    <t>김솔지</t>
  </si>
  <si>
    <t>김윤희</t>
  </si>
  <si>
    <t>47일 남음</t>
  </si>
  <si>
    <t>김은희</t>
  </si>
  <si>
    <t>18일 남음</t>
  </si>
  <si>
    <t>김정숙</t>
  </si>
  <si>
    <t>79일 남음</t>
  </si>
  <si>
    <t>민원표</t>
  </si>
  <si>
    <t>주경기장</t>
  </si>
  <si>
    <t>52일 남음</t>
  </si>
  <si>
    <t>박상민</t>
  </si>
  <si>
    <t>30일 남음</t>
  </si>
  <si>
    <t>박정진</t>
  </si>
  <si>
    <t>129일 남음</t>
  </si>
  <si>
    <t>손진욱</t>
  </si>
  <si>
    <t>114일 남음</t>
  </si>
  <si>
    <t>안은희</t>
  </si>
  <si>
    <t>29일 남음</t>
  </si>
  <si>
    <t>안혜리</t>
  </si>
  <si>
    <t>92일 남음</t>
  </si>
  <si>
    <t>안혜정</t>
  </si>
  <si>
    <t>45일 남음</t>
  </si>
  <si>
    <t>윤석영</t>
  </si>
  <si>
    <t>87일 남음</t>
  </si>
  <si>
    <t>이미영</t>
  </si>
  <si>
    <t>137일 남음</t>
  </si>
  <si>
    <t>이범희</t>
  </si>
  <si>
    <t>37일 남음</t>
  </si>
  <si>
    <t>이솔비</t>
  </si>
  <si>
    <t>118일 남음</t>
  </si>
  <si>
    <t>이솔희</t>
  </si>
  <si>
    <t>62일 남음</t>
  </si>
  <si>
    <t>이수화</t>
  </si>
  <si>
    <t>실내연습실</t>
  </si>
  <si>
    <t>임동현</t>
  </si>
  <si>
    <t>67일 남음</t>
  </si>
  <si>
    <t>임지혜</t>
  </si>
  <si>
    <t>141일 남음</t>
  </si>
  <si>
    <t>조신정</t>
  </si>
  <si>
    <t>115일 남음</t>
  </si>
  <si>
    <t>조혜정</t>
  </si>
  <si>
    <t>5일 남음</t>
  </si>
  <si>
    <t>조호영</t>
  </si>
  <si>
    <t>21일 남음</t>
  </si>
  <si>
    <t>최수현</t>
  </si>
  <si>
    <t>55일 남음</t>
  </si>
  <si>
    <t>최승민</t>
  </si>
  <si>
    <t>6일 남음</t>
  </si>
  <si>
    <t>최은성</t>
  </si>
  <si>
    <t>8일 남음</t>
  </si>
  <si>
    <t>최인비</t>
  </si>
  <si>
    <t>83일 남음</t>
  </si>
  <si>
    <t>황준열</t>
  </si>
  <si>
    <t>관리코드</t>
  </si>
  <si>
    <t>도서명</t>
    <phoneticPr fontId="2" type="noConversion"/>
  </si>
  <si>
    <t>입고일자</t>
  </si>
  <si>
    <t>가격</t>
  </si>
  <si>
    <t>분류</t>
  </si>
  <si>
    <t>페이지</t>
  </si>
  <si>
    <t>대여료</t>
  </si>
  <si>
    <t>EBOOK-01</t>
  </si>
  <si>
    <t>스피박 넘기</t>
  </si>
  <si>
    <t>철학</t>
  </si>
  <si>
    <t>EBOOK-02</t>
  </si>
  <si>
    <t>기계비평</t>
  </si>
  <si>
    <t>인문</t>
  </si>
  <si>
    <t>EBOOK-03</t>
  </si>
  <si>
    <t>피의일요일</t>
  </si>
  <si>
    <t>소설</t>
  </si>
  <si>
    <t>EBOOK-04</t>
  </si>
  <si>
    <t>소크라테스의 변명</t>
  </si>
  <si>
    <t>EBOOK-05</t>
  </si>
  <si>
    <t>천국에서</t>
  </si>
  <si>
    <t>EBOOK-06</t>
  </si>
  <si>
    <t>백의그림자</t>
  </si>
  <si>
    <t>EBOOK-07</t>
  </si>
  <si>
    <t>에듀케이션</t>
  </si>
  <si>
    <t>시</t>
  </si>
  <si>
    <t>EBOOK-08</t>
  </si>
  <si>
    <t>마을로 간 한국전쟁</t>
  </si>
  <si>
    <t>역사</t>
  </si>
  <si>
    <t>EBOOK-09</t>
  </si>
  <si>
    <t xml:space="preserve">기호의 제국 </t>
  </si>
  <si>
    <t>EBOOK-10</t>
  </si>
  <si>
    <t>모모</t>
  </si>
  <si>
    <t>EBOOK-11</t>
  </si>
  <si>
    <t>인간실격</t>
  </si>
  <si>
    <t>EBOOK-12</t>
  </si>
  <si>
    <t>퀴르발 남작의 성</t>
  </si>
  <si>
    <t>EBOOK-13</t>
  </si>
  <si>
    <t>글자풍경</t>
  </si>
  <si>
    <t>EBOOK-14</t>
  </si>
  <si>
    <t>한국 테크노컬처 연대기</t>
  </si>
  <si>
    <t>EBOOK-15</t>
  </si>
  <si>
    <t xml:space="preserve"> 동원과 저항</t>
  </si>
  <si>
    <t>EBOOK-16</t>
  </si>
  <si>
    <t>근대의 국경 역사의 변경</t>
  </si>
  <si>
    <t>EBOOK-17</t>
  </si>
  <si>
    <t>소피의 세계</t>
  </si>
  <si>
    <t>EBOOK-18</t>
  </si>
  <si>
    <t>치즈와 구더기</t>
  </si>
  <si>
    <t>EBOOK-19</t>
  </si>
  <si>
    <t xml:space="preserve"> 오만과 편견</t>
  </si>
  <si>
    <t>EBOOK-20</t>
  </si>
  <si>
    <t>입 속의 검은 잎</t>
  </si>
  <si>
    <t>EBOOK-21</t>
  </si>
  <si>
    <t>내 이름은 빨강</t>
  </si>
  <si>
    <t>EBOOK-22</t>
  </si>
  <si>
    <t xml:space="preserve"> 만주 모던</t>
  </si>
  <si>
    <t>EBOOK-23</t>
  </si>
  <si>
    <t>러셀 서양철학사</t>
  </si>
  <si>
    <t>EBOOK-24</t>
  </si>
  <si>
    <t>데미안</t>
  </si>
  <si>
    <t>EBOOK-25</t>
  </si>
  <si>
    <t>만화의 이해</t>
  </si>
  <si>
    <t>EBOOK-26</t>
  </si>
  <si>
    <t>20세기 현대예술이론</t>
  </si>
  <si>
    <t>이름</t>
    <phoneticPr fontId="2" type="noConversion"/>
  </si>
  <si>
    <t>학과</t>
    <phoneticPr fontId="2" type="noConversion"/>
  </si>
  <si>
    <t>엑셀</t>
    <phoneticPr fontId="2" type="noConversion"/>
  </si>
  <si>
    <t>액세스</t>
    <phoneticPr fontId="2" type="noConversion"/>
  </si>
  <si>
    <t>평균</t>
    <phoneticPr fontId="2" type="noConversion"/>
  </si>
  <si>
    <t>마일리지</t>
  </si>
  <si>
    <t>김우영</t>
    <phoneticPr fontId="2" type="noConversion"/>
  </si>
  <si>
    <t>멀티미디어과</t>
    <phoneticPr fontId="2" type="noConversion"/>
  </si>
  <si>
    <t>곽봉규</t>
  </si>
  <si>
    <t>윤명애</t>
  </si>
  <si>
    <t>홍종관</t>
    <phoneticPr fontId="2" type="noConversion"/>
  </si>
  <si>
    <t>노동균</t>
  </si>
  <si>
    <t>이미희</t>
  </si>
  <si>
    <t>멀티미디어과</t>
    <phoneticPr fontId="2" type="noConversion"/>
  </si>
  <si>
    <t>곽영애</t>
  </si>
  <si>
    <t>박미영</t>
  </si>
  <si>
    <t>박갑열</t>
    <phoneticPr fontId="2" type="noConversion"/>
  </si>
  <si>
    <t>조태영</t>
  </si>
  <si>
    <t>코딩설계학과</t>
    <phoneticPr fontId="2" type="noConversion"/>
  </si>
  <si>
    <t>불참</t>
    <phoneticPr fontId="2" type="noConversion"/>
  </si>
  <si>
    <t>심용섭</t>
    <phoneticPr fontId="2" type="noConversion"/>
  </si>
  <si>
    <t>이일선</t>
  </si>
  <si>
    <t>한성권</t>
  </si>
  <si>
    <t>라순주</t>
  </si>
  <si>
    <t>전정미</t>
  </si>
  <si>
    <t>한순희</t>
    <phoneticPr fontId="2" type="noConversion"/>
  </si>
  <si>
    <t>신은희</t>
  </si>
  <si>
    <t>조병철</t>
  </si>
  <si>
    <t>드론콘텐츠과</t>
    <phoneticPr fontId="2" type="noConversion"/>
  </si>
  <si>
    <t>유재천</t>
  </si>
  <si>
    <t>곽선자</t>
  </si>
  <si>
    <t>영상미디어과</t>
    <phoneticPr fontId="2" type="noConversion"/>
  </si>
  <si>
    <t>홍재근</t>
  </si>
  <si>
    <t>함영미</t>
  </si>
  <si>
    <t>장성형</t>
  </si>
  <si>
    <t>[표1]</t>
    <phoneticPr fontId="2" type="noConversion"/>
  </si>
  <si>
    <t>교육구분</t>
    <phoneticPr fontId="2" type="noConversion"/>
  </si>
  <si>
    <t>과정명</t>
    <phoneticPr fontId="2" type="noConversion"/>
  </si>
  <si>
    <t>교육시작일</t>
    <phoneticPr fontId="2" type="noConversion"/>
  </si>
  <si>
    <t>모집정원</t>
    <phoneticPr fontId="2" type="noConversion"/>
  </si>
  <si>
    <t>수강료</t>
    <phoneticPr fontId="2" type="noConversion"/>
  </si>
  <si>
    <t>기초교육</t>
    <phoneticPr fontId="42" type="noConversion"/>
  </si>
  <si>
    <t>한글을 활용한 사무행정</t>
    <phoneticPr fontId="42" type="noConversion"/>
  </si>
  <si>
    <t>기본교육</t>
  </si>
  <si>
    <t>엑셀을 활용한 사무자동화</t>
    <phoneticPr fontId="42" type="noConversion"/>
  </si>
  <si>
    <t>파포 강의자료 개발</t>
  </si>
  <si>
    <t>전문교육</t>
    <phoneticPr fontId="42" type="noConversion"/>
  </si>
  <si>
    <t>영상 강의자료 제작</t>
  </si>
  <si>
    <t>번호</t>
    <phoneticPr fontId="2" type="noConversion"/>
  </si>
  <si>
    <t>학번</t>
    <phoneticPr fontId="2" type="noConversion"/>
  </si>
  <si>
    <t>학과</t>
    <phoneticPr fontId="2" type="noConversion"/>
  </si>
  <si>
    <t>응시일</t>
    <phoneticPr fontId="2" type="noConversion"/>
  </si>
  <si>
    <t>김우영</t>
    <phoneticPr fontId="2" type="noConversion"/>
  </si>
  <si>
    <t>컴퓨터과</t>
    <phoneticPr fontId="2" type="noConversion"/>
  </si>
  <si>
    <t>홍종관</t>
    <phoneticPr fontId="2" type="noConversion"/>
  </si>
  <si>
    <t>불참</t>
    <phoneticPr fontId="45" type="noConversion"/>
  </si>
  <si>
    <t>박갑열</t>
    <phoneticPr fontId="2" type="noConversion"/>
  </si>
  <si>
    <t>코딩과</t>
    <phoneticPr fontId="2" type="noConversion"/>
  </si>
  <si>
    <t>심용섭</t>
    <phoneticPr fontId="2" type="noConversion"/>
  </si>
  <si>
    <t>한순희</t>
    <phoneticPr fontId="2" type="noConversion"/>
  </si>
  <si>
    <t>코딩과</t>
    <phoneticPr fontId="2" type="noConversion"/>
  </si>
  <si>
    <t>드론과</t>
    <phoneticPr fontId="2" type="noConversion"/>
  </si>
  <si>
    <t>드론과</t>
    <phoneticPr fontId="2" type="noConversion"/>
  </si>
  <si>
    <t>드론과</t>
    <phoneticPr fontId="2" type="noConversion"/>
  </si>
  <si>
    <t>드론과</t>
    <phoneticPr fontId="2" type="noConversion"/>
  </si>
  <si>
    <t>불참</t>
    <phoneticPr fontId="45" type="noConversion"/>
  </si>
  <si>
    <t>미디어과</t>
    <phoneticPr fontId="2" type="noConversion"/>
  </si>
  <si>
    <t>미디어과</t>
    <phoneticPr fontId="2" type="noConversion"/>
  </si>
  <si>
    <t>미디어과</t>
    <phoneticPr fontId="2" type="noConversion"/>
  </si>
  <si>
    <t>미디어과</t>
    <phoneticPr fontId="2" type="noConversion"/>
  </si>
  <si>
    <t>불참</t>
    <phoneticPr fontId="45" type="noConversion"/>
  </si>
  <si>
    <t>미납기간</t>
  </si>
  <si>
    <t>결제</t>
    <phoneticPr fontId="2" type="noConversion"/>
  </si>
  <si>
    <t>관계</t>
  </si>
  <si>
    <t>부양공제</t>
  </si>
  <si>
    <t>소득공제</t>
  </si>
  <si>
    <t>소득공제내용</t>
  </si>
  <si>
    <t>법인명</t>
  </si>
  <si>
    <t>사업자번호</t>
  </si>
  <si>
    <t>금액</t>
  </si>
  <si>
    <t>김가인</t>
  </si>
  <si>
    <t>모</t>
  </si>
  <si>
    <t>예</t>
  </si>
  <si>
    <t>일반의료비</t>
  </si>
  <si>
    <t>간소화자료</t>
  </si>
  <si>
    <t>사랑의원</t>
  </si>
  <si>
    <t>123-○●-6793</t>
  </si>
  <si>
    <t>신용카드</t>
  </si>
  <si>
    <t>대중교통</t>
  </si>
  <si>
    <t>상공카드</t>
  </si>
  <si>
    <t>123-○●-6791</t>
  </si>
  <si>
    <t>현금영수증</t>
  </si>
  <si>
    <t>일반사용분</t>
  </si>
  <si>
    <t/>
  </si>
  <si>
    <t>전통시장</t>
  </si>
  <si>
    <t>중앙병원</t>
  </si>
  <si>
    <t>123-○●-6794</t>
  </si>
  <si>
    <t>임윤아</t>
  </si>
  <si>
    <t>처</t>
  </si>
  <si>
    <t>아니오</t>
  </si>
  <si>
    <t>지정기부금</t>
  </si>
  <si>
    <t>법인</t>
  </si>
  <si>
    <t>사단법인</t>
  </si>
  <si>
    <t>주인철</t>
  </si>
  <si>
    <t>부</t>
  </si>
  <si>
    <t>주인해</t>
  </si>
  <si>
    <t>자</t>
  </si>
  <si>
    <t>직불카드</t>
  </si>
  <si>
    <t>알파고카드</t>
  </si>
  <si>
    <t>123-○●-6792</t>
  </si>
  <si>
    <t>주호백</t>
  </si>
  <si>
    <t>본인</t>
  </si>
  <si>
    <t>미래카드</t>
  </si>
  <si>
    <t>123-○●-6790</t>
  </si>
  <si>
    <t>비율</t>
    <phoneticPr fontId="2" type="noConversion"/>
  </si>
  <si>
    <t>[표1]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</si>
</sst>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5" formatCode="&quot;₩&quot;#,##0;\-&quot;₩&quot;#,##0"/>
    <numFmt numFmtId="41" formatCode="_-* #,##0_-;\-* #,##0_-;_-* &quot;-&quot;_-;_-@_-"/>
    <numFmt numFmtId="176" formatCode="mm&quot;월&quot;\ dd&quot;일&quot;"/>
    <numFmt numFmtId="177" formatCode="0.0_ "/>
    <numFmt numFmtId="178" formatCode="0.00_ "/>
    <numFmt numFmtId="179" formatCode="m\/d"/>
    <numFmt numFmtId="180" formatCode="0.0"/>
    <numFmt numFmtId="181" formatCode="mm&quot;월&quot;\ dd&quot;일&quot;;@"/>
    <numFmt numFmtId="182" formatCode="_-* #,##0.00_-;\-* #,##0.00_-;_-* &quot;-&quot;_-;_-@_-"/>
    <numFmt numFmtId="184" formatCode="[$-F800]dddd\,\ mmmm\ dd\,\ yyyy"/>
    <numFmt numFmtId="185" formatCode="000"/>
    <numFmt numFmtId="186" formatCode="[=1]&quot;O&quot;;[=0]&quot;X&quot;"/>
    <numFmt numFmtId="188" formatCode="[Red][&gt;=0]#,##0;[Blue][&lt;0]*♣#,##0"/>
    <numFmt numFmtId="189" formatCode="[Red][&gt;=300]&quot;■&quot;0;[Blue][&gt;=150]&quot;□&quot;0;&quot;&quot;"/>
    <numFmt numFmtId="190" formatCode="[Blue][&gt;=70]\▲0;[&gt;0]0&quot;점&quot;;;&quot;0점&quot;"/>
    <numFmt numFmtId="194" formatCode="[=-1]&quot;이체&quot;;[=1]&quot;납부&quot;;&quot;&quot;"/>
  </numFmts>
  <fonts count="4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10"/>
      <name val="Arial"/>
      <family val="2"/>
    </font>
    <font>
      <b/>
      <sz val="18"/>
      <color theme="3"/>
      <name val="맑은 고딕"/>
      <family val="2"/>
      <charset val="129"/>
      <scheme val="major"/>
    </font>
    <font>
      <b/>
      <sz val="11"/>
      <color theme="0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b/>
      <sz val="18"/>
      <color theme="3"/>
      <name val="맑은 고딕"/>
      <family val="3"/>
      <charset val="129"/>
      <scheme val="minor"/>
    </font>
    <font>
      <b/>
      <sz val="9"/>
      <color rgb="FF333333"/>
      <name val="맑은 고딕"/>
      <family val="3"/>
      <charset val="129"/>
      <scheme val="minor"/>
    </font>
    <font>
      <sz val="9"/>
      <color rgb="FF333333"/>
      <name val="맑은 고딕"/>
      <family val="3"/>
      <charset val="129"/>
      <scheme val="minor"/>
    </font>
    <font>
      <i/>
      <sz val="9"/>
      <color rgb="FF015EE1"/>
      <name val="맑은 고딕"/>
      <family val="3"/>
      <charset val="129"/>
      <scheme val="minor"/>
    </font>
    <font>
      <sz val="9"/>
      <color rgb="FF015EE1"/>
      <name val="맑은 고딕"/>
      <family val="3"/>
      <charset val="129"/>
      <scheme val="minor"/>
    </font>
    <font>
      <sz val="9"/>
      <color rgb="FF005DDE"/>
      <name val="맑은 고딕"/>
      <family val="3"/>
      <charset val="129"/>
      <scheme val="minor"/>
    </font>
    <font>
      <i/>
      <sz val="9"/>
      <color rgb="FFD80200"/>
      <name val="맑은 고딕"/>
      <family val="3"/>
      <charset val="129"/>
      <scheme val="minor"/>
    </font>
    <font>
      <sz val="9"/>
      <color rgb="FFD80200"/>
      <name val="맑은 고딕"/>
      <family val="3"/>
      <charset val="129"/>
      <scheme val="minor"/>
    </font>
    <font>
      <sz val="9"/>
      <color rgb="FFD4040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</font>
    <font>
      <sz val="1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  <font>
      <sz val="11"/>
      <name val="맑은 고딕"/>
      <family val="2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2"/>
      <color theme="0"/>
      <name val="맑은 고딕"/>
      <family val="2"/>
      <charset val="129"/>
      <scheme val="minor"/>
    </font>
    <font>
      <b/>
      <sz val="12"/>
      <color theme="3"/>
      <name val="맑은 고딕"/>
      <family val="2"/>
      <charset val="129"/>
      <scheme val="minor"/>
    </font>
    <font>
      <b/>
      <sz val="18"/>
      <color theme="3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b/>
      <sz val="10"/>
      <color rgb="FF000000"/>
      <name val="맑은 고딕"/>
      <family val="3"/>
      <charset val="129"/>
      <scheme val="major"/>
    </font>
    <font>
      <sz val="8"/>
      <name val="돋움"/>
      <family val="3"/>
      <charset val="129"/>
    </font>
    <font>
      <sz val="10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1"/>
      <color rgb="FF4A4A4A"/>
      <name val="맑은 고딕"/>
      <family val="3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  <font>
      <sz val="10"/>
      <color rgb="FF000000"/>
      <name val="Arial"/>
      <family val="2"/>
    </font>
    <font>
      <sz val="8"/>
      <name val="나눔고딕"/>
      <family val="2"/>
      <charset val="129"/>
    </font>
    <font>
      <sz val="11"/>
      <color rgb="FF3F3F3F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/>
        <bgColor theme="8"/>
      </patternFill>
    </fill>
    <fill>
      <patternFill patternType="solid">
        <fgColor rgb="FFF2F2F2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</borders>
  <cellStyleXfs count="20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0" fontId="6" fillId="0" borderId="0"/>
    <xf numFmtId="9" fontId="6" fillId="0" borderId="0" applyFon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0" fillId="0" borderId="5" applyNumberFormat="0" applyFill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38" fillId="10" borderId="8" applyNumberFormat="0" applyAlignment="0" applyProtection="0">
      <alignment vertical="center"/>
    </xf>
    <xf numFmtId="0" fontId="39" fillId="0" borderId="0"/>
    <xf numFmtId="0" fontId="39" fillId="0" borderId="0"/>
    <xf numFmtId="0" fontId="41" fillId="0" borderId="0"/>
    <xf numFmtId="0" fontId="44" fillId="0" borderId="0"/>
  </cellStyleXfs>
  <cellXfs count="103">
    <xf numFmtId="0" fontId="0" fillId="0" borderId="0" xfId="0">
      <alignment vertical="center"/>
    </xf>
    <xf numFmtId="0" fontId="4" fillId="0" borderId="0" xfId="0" applyFont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0" fontId="0" fillId="0" borderId="1" xfId="0" applyBorder="1">
      <alignment vertical="center"/>
    </xf>
    <xf numFmtId="41" fontId="0" fillId="0" borderId="1" xfId="1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2" fillId="0" borderId="0" xfId="6" applyFont="1" applyAlignment="1">
      <alignment vertical="center"/>
    </xf>
    <xf numFmtId="0" fontId="4" fillId="0" borderId="0" xfId="0" applyFont="1">
      <alignment vertical="center"/>
    </xf>
    <xf numFmtId="0" fontId="13" fillId="0" borderId="1" xfId="0" applyFont="1" applyBorder="1" applyAlignment="1">
      <alignment horizontal="center" vertical="center" wrapText="1"/>
    </xf>
    <xf numFmtId="176" fontId="14" fillId="0" borderId="1" xfId="0" applyNumberFormat="1" applyFont="1" applyBorder="1" applyAlignment="1">
      <alignment horizontal="center" vertical="center" wrapText="1"/>
    </xf>
    <xf numFmtId="177" fontId="14" fillId="0" borderId="1" xfId="0" applyNumberFormat="1" applyFont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10" fontId="17" fillId="0" borderId="1" xfId="0" applyNumberFormat="1" applyFont="1" applyBorder="1" applyAlignment="1">
      <alignment horizontal="center" vertical="center" wrapText="1"/>
    </xf>
    <xf numFmtId="178" fontId="14" fillId="0" borderId="1" xfId="0" applyNumberFormat="1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10" fontId="20" fillId="0" borderId="1" xfId="0" applyNumberFormat="1" applyFont="1" applyBorder="1" applyAlignment="1">
      <alignment horizontal="center" vertical="center" wrapText="1"/>
    </xf>
    <xf numFmtId="0" fontId="21" fillId="0" borderId="0" xfId="14" applyFont="1" applyAlignment="1">
      <alignment horizontal="center"/>
    </xf>
    <xf numFmtId="0" fontId="21" fillId="0" borderId="0" xfId="14" applyFont="1" applyAlignment="1"/>
    <xf numFmtId="0" fontId="21" fillId="0" borderId="0" xfId="14" applyFont="1">
      <alignment vertical="center"/>
    </xf>
    <xf numFmtId="0" fontId="22" fillId="0" borderId="1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 wrapText="1"/>
    </xf>
    <xf numFmtId="179" fontId="23" fillId="0" borderId="1" xfId="0" applyNumberFormat="1" applyFont="1" applyBorder="1" applyAlignment="1">
      <alignment horizontal="center" vertical="center" shrinkToFit="1"/>
    </xf>
    <xf numFmtId="0" fontId="4" fillId="0" borderId="1" xfId="10" applyFont="1" applyFill="1" applyBorder="1" applyAlignment="1">
      <alignment horizontal="center" vertical="center" wrapText="1"/>
    </xf>
    <xf numFmtId="0" fontId="1" fillId="0" borderId="1" xfId="10" applyFill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25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4" fillId="0" borderId="1" xfId="12" applyFont="1" applyFill="1" applyBorder="1" applyAlignment="1">
      <alignment horizontal="center" vertical="center" wrapText="1"/>
    </xf>
    <xf numFmtId="0" fontId="1" fillId="0" borderId="1" xfId="12" applyFill="1" applyBorder="1" applyAlignment="1">
      <alignment horizontal="center" vertical="center" wrapText="1"/>
    </xf>
    <xf numFmtId="0" fontId="4" fillId="0" borderId="1" xfId="12" applyFont="1" applyFill="1" applyBorder="1" applyAlignment="1">
      <alignment horizontal="center" vertical="center"/>
    </xf>
    <xf numFmtId="0" fontId="4" fillId="0" borderId="1" xfId="11" applyFont="1" applyFill="1" applyBorder="1" applyAlignment="1">
      <alignment horizontal="center" vertical="center" wrapText="1"/>
    </xf>
    <xf numFmtId="0" fontId="1" fillId="0" borderId="1" xfId="10" applyFill="1" applyBorder="1" applyAlignment="1">
      <alignment horizontal="center" vertical="center" wrapText="1"/>
    </xf>
    <xf numFmtId="0" fontId="1" fillId="0" borderId="1" xfId="10" applyFill="1" applyBorder="1" applyAlignment="1">
      <alignment horizontal="center" vertical="center" shrinkToFit="1"/>
    </xf>
    <xf numFmtId="0" fontId="1" fillId="0" borderId="1" xfId="11" applyFill="1" applyBorder="1" applyAlignment="1">
      <alignment horizontal="center" vertical="center" wrapText="1"/>
    </xf>
    <xf numFmtId="0" fontId="1" fillId="0" borderId="1" xfId="13" applyFill="1" applyBorder="1" applyAlignment="1">
      <alignment horizontal="center" vertical="center" wrapText="1"/>
    </xf>
    <xf numFmtId="0" fontId="4" fillId="0" borderId="1" xfId="13" applyFont="1" applyFill="1" applyBorder="1" applyAlignment="1">
      <alignment horizontal="center" vertical="center" wrapText="1"/>
    </xf>
    <xf numFmtId="0" fontId="26" fillId="0" borderId="1" xfId="0" applyFont="1" applyBorder="1" applyAlignment="1">
      <alignment horizontal="center" vertical="center" wrapText="1"/>
    </xf>
    <xf numFmtId="0" fontId="27" fillId="0" borderId="1" xfId="9" applyFont="1" applyFill="1" applyBorder="1" applyAlignment="1">
      <alignment horizontal="center" vertical="center"/>
    </xf>
    <xf numFmtId="180" fontId="28" fillId="0" borderId="1" xfId="0" applyNumberFormat="1" applyFont="1" applyBorder="1" applyAlignment="1">
      <alignment vertical="center" wrapText="1"/>
    </xf>
    <xf numFmtId="0" fontId="9" fillId="0" borderId="1" xfId="0" applyFont="1" applyBorder="1" applyAlignment="1">
      <alignment horizontal="center" vertical="center"/>
    </xf>
    <xf numFmtId="0" fontId="29" fillId="9" borderId="1" xfId="8" applyNumberFormat="1" applyFont="1" applyFill="1" applyBorder="1" applyAlignment="1">
      <alignment horizontal="center" vertical="center"/>
    </xf>
    <xf numFmtId="0" fontId="30" fillId="9" borderId="1" xfId="8" applyFont="1" applyFill="1" applyBorder="1" applyAlignment="1">
      <alignment horizontal="center" vertical="center" wrapText="1"/>
    </xf>
    <xf numFmtId="0" fontId="31" fillId="0" borderId="6" xfId="6" applyFont="1" applyBorder="1" applyAlignment="1">
      <alignment vertical="center"/>
    </xf>
    <xf numFmtId="0" fontId="7" fillId="0" borderId="6" xfId="6" applyBorder="1" applyAlignment="1">
      <alignment vertical="center"/>
    </xf>
    <xf numFmtId="0" fontId="32" fillId="0" borderId="1" xfId="4" applyFont="1" applyBorder="1" applyAlignment="1">
      <alignment horizontal="center" vertical="center"/>
    </xf>
    <xf numFmtId="0" fontId="33" fillId="0" borderId="1" xfId="4" applyFont="1" applyBorder="1" applyAlignment="1">
      <alignment horizontal="center" vertical="center" wrapText="1"/>
    </xf>
    <xf numFmtId="0" fontId="35" fillId="0" borderId="0" xfId="4" applyFont="1"/>
    <xf numFmtId="0" fontId="35" fillId="0" borderId="1" xfId="4" applyFont="1" applyBorder="1" applyAlignment="1">
      <alignment horizontal="center" vertical="center"/>
    </xf>
    <xf numFmtId="0" fontId="36" fillId="0" borderId="1" xfId="4" applyFont="1" applyBorder="1" applyAlignment="1">
      <alignment horizontal="center" wrapText="1"/>
    </xf>
    <xf numFmtId="181" fontId="36" fillId="0" borderId="1" xfId="4" applyNumberFormat="1" applyFont="1" applyBorder="1" applyAlignment="1">
      <alignment horizontal="center" wrapText="1"/>
    </xf>
    <xf numFmtId="0" fontId="35" fillId="0" borderId="0" xfId="4" applyFont="1" applyAlignment="1">
      <alignment horizontal="center" vertical="center"/>
    </xf>
    <xf numFmtId="0" fontId="35" fillId="0" borderId="0" xfId="4" applyFont="1" applyAlignment="1">
      <alignment horizontal="center"/>
    </xf>
    <xf numFmtId="0" fontId="0" fillId="3" borderId="1" xfId="0" applyFill="1" applyBorder="1" applyAlignment="1">
      <alignment horizontal="center" vertical="center"/>
    </xf>
    <xf numFmtId="182" fontId="0" fillId="0" borderId="1" xfId="1" applyNumberFormat="1" applyFont="1" applyBorder="1">
      <alignment vertical="center"/>
    </xf>
    <xf numFmtId="10" fontId="0" fillId="0" borderId="1" xfId="0" applyNumberFormat="1" applyBorder="1">
      <alignment vertical="center"/>
    </xf>
    <xf numFmtId="0" fontId="4" fillId="0" borderId="1" xfId="0" applyFont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37" fillId="0" borderId="1" xfId="0" applyFont="1" applyBorder="1" applyAlignment="1">
      <alignment horizontal="center" vertical="center" wrapText="1"/>
    </xf>
    <xf numFmtId="0" fontId="4" fillId="0" borderId="0" xfId="0" applyFont="1" applyAlignment="1">
      <alignment horizontal="right" vertical="center"/>
    </xf>
    <xf numFmtId="0" fontId="0" fillId="0" borderId="0" xfId="0" applyAlignment="1">
      <alignment horizontal="right" vertical="center"/>
    </xf>
    <xf numFmtId="14" fontId="0" fillId="0" borderId="0" xfId="0" applyNumberFormat="1">
      <alignment vertical="center"/>
    </xf>
    <xf numFmtId="14" fontId="0" fillId="0" borderId="1" xfId="0" applyNumberFormat="1" applyBorder="1" applyAlignment="1">
      <alignment horizontal="center" vertical="center"/>
    </xf>
    <xf numFmtId="0" fontId="40" fillId="0" borderId="1" xfId="16" applyFont="1" applyBorder="1" applyAlignment="1">
      <alignment horizontal="center"/>
    </xf>
    <xf numFmtId="0" fontId="40" fillId="0" borderId="9" xfId="16" applyFont="1" applyBorder="1" applyAlignment="1">
      <alignment horizontal="center"/>
    </xf>
    <xf numFmtId="0" fontId="40" fillId="0" borderId="10" xfId="17" applyFont="1" applyBorder="1" applyAlignment="1">
      <alignment horizontal="center"/>
    </xf>
    <xf numFmtId="0" fontId="40" fillId="0" borderId="1" xfId="16" applyFont="1" applyBorder="1" applyAlignment="1">
      <alignment horizontal="center" wrapText="1"/>
    </xf>
    <xf numFmtId="14" fontId="40" fillId="0" borderId="1" xfId="17" applyNumberFormat="1" applyFont="1" applyBorder="1" applyAlignment="1">
      <alignment horizontal="center" wrapText="1"/>
    </xf>
    <xf numFmtId="5" fontId="40" fillId="0" borderId="1" xfId="16" applyNumberFormat="1" applyFont="1" applyBorder="1" applyAlignment="1">
      <alignment horizontal="right" wrapText="1"/>
    </xf>
    <xf numFmtId="0" fontId="1" fillId="3" borderId="1" xfId="9" applyFont="1" applyFill="1" applyBorder="1" applyAlignment="1" applyProtection="1">
      <alignment horizontal="center" vertical="center" wrapText="1" readingOrder="1"/>
      <protection locked="0"/>
    </xf>
    <xf numFmtId="0" fontId="4" fillId="3" borderId="1" xfId="9" applyFont="1" applyFill="1" applyBorder="1" applyAlignment="1" applyProtection="1">
      <alignment horizontal="center" vertical="center" wrapText="1" readingOrder="1"/>
      <protection locked="0"/>
    </xf>
    <xf numFmtId="0" fontId="4" fillId="3" borderId="1" xfId="0" applyFont="1" applyFill="1" applyBorder="1">
      <alignment vertical="center"/>
    </xf>
    <xf numFmtId="0" fontId="5" fillId="0" borderId="1" xfId="0" applyFont="1" applyBorder="1" applyAlignment="1">
      <alignment horizontal="center" vertical="center" wrapText="1" readingOrder="1"/>
    </xf>
    <xf numFmtId="0" fontId="0" fillId="0" borderId="1" xfId="0" applyBorder="1" applyAlignment="1">
      <alignment horizontal="center" vertical="center" readingOrder="1"/>
    </xf>
    <xf numFmtId="184" fontId="21" fillId="3" borderId="1" xfId="18" applyNumberFormat="1" applyFont="1" applyFill="1" applyBorder="1" applyAlignment="1">
      <alignment horizontal="center" vertical="center"/>
    </xf>
    <xf numFmtId="0" fontId="21" fillId="3" borderId="1" xfId="18" applyFont="1" applyFill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14" fontId="4" fillId="0" borderId="1" xfId="0" applyNumberFormat="1" applyFont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center" vertical="center"/>
    </xf>
    <xf numFmtId="185" fontId="43" fillId="0" borderId="8" xfId="15" applyNumberFormat="1" applyFont="1" applyFill="1" applyAlignment="1">
      <alignment horizontal="center" vertical="center"/>
    </xf>
    <xf numFmtId="0" fontId="44" fillId="0" borderId="0" xfId="19" applyAlignment="1">
      <alignment vertical="center"/>
    </xf>
    <xf numFmtId="185" fontId="44" fillId="0" borderId="1" xfId="19" applyNumberFormat="1" applyBorder="1" applyAlignment="1">
      <alignment horizontal="center" vertical="center"/>
    </xf>
    <xf numFmtId="0" fontId="5" fillId="11" borderId="1" xfId="19" applyFont="1" applyFill="1" applyBorder="1" applyAlignment="1">
      <alignment horizontal="center" vertical="center" wrapText="1"/>
    </xf>
    <xf numFmtId="0" fontId="44" fillId="0" borderId="1" xfId="19" applyBorder="1" applyAlignment="1">
      <alignment horizontal="center" vertical="center"/>
    </xf>
    <xf numFmtId="14" fontId="44" fillId="0" borderId="1" xfId="19" applyNumberFormat="1" applyBorder="1" applyAlignment="1">
      <alignment horizontal="center" vertical="center"/>
    </xf>
    <xf numFmtId="0" fontId="46" fillId="12" borderId="1" xfId="0" applyFont="1" applyFill="1" applyBorder="1" applyAlignment="1">
      <alignment horizontal="center" vertical="center"/>
    </xf>
    <xf numFmtId="0" fontId="0" fillId="0" borderId="1" xfId="1" applyNumberFormat="1" applyFont="1" applyBorder="1">
      <alignment vertical="center"/>
    </xf>
    <xf numFmtId="186" fontId="0" fillId="0" borderId="1" xfId="0" applyNumberForma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wrapText="1"/>
    </xf>
    <xf numFmtId="0" fontId="0" fillId="0" borderId="7" xfId="0" applyBorder="1" applyAlignment="1">
      <alignment horizontal="right" vertical="center"/>
    </xf>
    <xf numFmtId="0" fontId="36" fillId="0" borderId="1" xfId="4" applyNumberFormat="1" applyFont="1" applyBorder="1" applyAlignment="1">
      <alignment horizontal="center" wrapText="1"/>
    </xf>
    <xf numFmtId="188" fontId="0" fillId="0" borderId="1" xfId="0" applyNumberFormat="1" applyBorder="1" applyAlignment="1">
      <alignment horizontal="center" vertical="center"/>
    </xf>
    <xf numFmtId="189" fontId="40" fillId="0" borderId="1" xfId="16" applyNumberFormat="1" applyFont="1" applyBorder="1" applyAlignment="1">
      <alignment horizontal="right" wrapText="1"/>
    </xf>
    <xf numFmtId="190" fontId="0" fillId="0" borderId="1" xfId="0" applyNumberFormat="1" applyBorder="1" applyAlignment="1">
      <alignment horizontal="center" vertical="center" readingOrder="1"/>
    </xf>
    <xf numFmtId="0" fontId="44" fillId="0" borderId="1" xfId="19" applyNumberFormat="1" applyBorder="1" applyAlignment="1">
      <alignment horizontal="center" vertical="center"/>
    </xf>
    <xf numFmtId="0" fontId="0" fillId="0" borderId="4" xfId="0" applyNumberFormat="1" applyBorder="1" applyAlignment="1">
      <alignment horizontal="center" vertical="center"/>
    </xf>
    <xf numFmtId="194" fontId="0" fillId="0" borderId="1" xfId="0" applyNumberFormat="1" applyBorder="1" applyAlignment="1">
      <alignment horizontal="center" vertical="center"/>
    </xf>
  </cellXfs>
  <cellStyles count="20">
    <cellStyle name="20% - 강조색1" xfId="10" builtinId="30"/>
    <cellStyle name="20% - 강조색2" xfId="11" builtinId="34"/>
    <cellStyle name="20% - 강조색3" xfId="12" builtinId="38"/>
    <cellStyle name="20% - 강조색4" xfId="13" builtinId="42"/>
    <cellStyle name="백분율 2" xfId="5" xr:uid="{00000000-0005-0000-0000-000004000000}"/>
    <cellStyle name="쉼표 [0]" xfId="1" builtinId="6"/>
    <cellStyle name="쉼표 [0] 2" xfId="3" xr:uid="{00000000-0005-0000-0000-000006000000}"/>
    <cellStyle name="쉼표 [0] 3" xfId="7" xr:uid="{00000000-0005-0000-0000-000007000000}"/>
    <cellStyle name="제목 2" xfId="8" builtinId="17"/>
    <cellStyle name="제목 5" xfId="6" xr:uid="{00000000-0005-0000-0000-000009000000}"/>
    <cellStyle name="좋음" xfId="9" builtinId="26"/>
    <cellStyle name="출력" xfId="15" builtinId="21"/>
    <cellStyle name="표준" xfId="0" builtinId="0"/>
    <cellStyle name="표준 2" xfId="2" xr:uid="{00000000-0005-0000-0000-00000D000000}"/>
    <cellStyle name="표준 2 2" xfId="4" xr:uid="{00000000-0005-0000-0000-00000E000000}"/>
    <cellStyle name="표준 2 3" xfId="14" xr:uid="{00000000-0005-0000-0000-00000F000000}"/>
    <cellStyle name="표준 2 4" xfId="18" xr:uid="{00000000-0005-0000-0000-000010000000}"/>
    <cellStyle name="표준 3" xfId="19" xr:uid="{00000000-0005-0000-0000-000011000000}"/>
    <cellStyle name="표준_기본작업-2" xfId="16" xr:uid="{00000000-0005-0000-0000-000012000000}"/>
    <cellStyle name="표준_기본작업-2_1" xfId="17" xr:uid="{00000000-0005-0000-0000-000013000000}"/>
  </cellStyles>
  <dxfs count="1">
    <dxf>
      <font>
        <b/>
        <i val="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미국(USD)</c:v>
          </c:tx>
          <c:marker>
            <c:symbol val="triangle"/>
            <c:size val="10"/>
          </c:marker>
          <c:dLbls>
            <c:dLbl>
              <c:idx val="2"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053-43F9-8475-DD5BBF38C78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차트1!$B$17:$B$21</c:f>
              <c:numCache>
                <c:formatCode>mm"월"\ dd"일"</c:formatCode>
                <c:ptCount val="5"/>
                <c:pt idx="0">
                  <c:v>43908</c:v>
                </c:pt>
                <c:pt idx="1">
                  <c:v>43907</c:v>
                </c:pt>
                <c:pt idx="2">
                  <c:v>43906</c:v>
                </c:pt>
                <c:pt idx="3">
                  <c:v>43905</c:v>
                </c:pt>
                <c:pt idx="4">
                  <c:v>43904</c:v>
                </c:pt>
              </c:numCache>
            </c:numRef>
          </c:cat>
          <c:val>
            <c:numRef>
              <c:f>차트1!$C$6:$C$10</c:f>
              <c:numCache>
                <c:formatCode>0.0_ </c:formatCode>
                <c:ptCount val="5"/>
                <c:pt idx="0">
                  <c:v>1162.5</c:v>
                </c:pt>
                <c:pt idx="1">
                  <c:v>1170</c:v>
                </c:pt>
                <c:pt idx="2">
                  <c:v>1193.4000000000001</c:v>
                </c:pt>
                <c:pt idx="3">
                  <c:v>1190</c:v>
                </c:pt>
                <c:pt idx="4">
                  <c:v>1187.5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488-428B-8275-7D60743AE7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241664"/>
        <c:axId val="88243200"/>
      </c:lineChart>
      <c:lineChart>
        <c:grouping val="standard"/>
        <c:varyColors val="0"/>
        <c:ser>
          <c:idx val="1"/>
          <c:order val="1"/>
          <c:tx>
            <c:v>중국(CNY)</c:v>
          </c:tx>
          <c:cat>
            <c:numRef>
              <c:f>차트1!$B$17:$B$21</c:f>
              <c:numCache>
                <c:formatCode>mm"월"\ dd"일"</c:formatCode>
                <c:ptCount val="5"/>
                <c:pt idx="0">
                  <c:v>43908</c:v>
                </c:pt>
                <c:pt idx="1">
                  <c:v>43907</c:v>
                </c:pt>
                <c:pt idx="2">
                  <c:v>43906</c:v>
                </c:pt>
                <c:pt idx="3">
                  <c:v>43905</c:v>
                </c:pt>
                <c:pt idx="4">
                  <c:v>43904</c:v>
                </c:pt>
              </c:numCache>
            </c:numRef>
          </c:cat>
          <c:val>
            <c:numRef>
              <c:f>차트1!$C$17:$C$21</c:f>
              <c:numCache>
                <c:formatCode>0.0_ </c:formatCode>
                <c:ptCount val="5"/>
                <c:pt idx="0">
                  <c:v>179</c:v>
                </c:pt>
                <c:pt idx="1">
                  <c:v>177.57</c:v>
                </c:pt>
                <c:pt idx="2">
                  <c:v>178</c:v>
                </c:pt>
                <c:pt idx="3">
                  <c:v>176.24</c:v>
                </c:pt>
                <c:pt idx="4">
                  <c:v>176.99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53-43F9-8475-DD5BBF38C7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4892511"/>
        <c:axId val="444891071"/>
      </c:lineChart>
      <c:dateAx>
        <c:axId val="88241664"/>
        <c:scaling>
          <c:orientation val="minMax"/>
        </c:scaling>
        <c:delete val="0"/>
        <c:axPos val="b"/>
        <c:numFmt formatCode="mm&quot;월&quot;\ dd&quot;일&quot;" sourceLinked="1"/>
        <c:majorTickMark val="out"/>
        <c:minorTickMark val="none"/>
        <c:tickLblPos val="nextTo"/>
        <c:crossAx val="88243200"/>
        <c:crosses val="autoZero"/>
        <c:auto val="1"/>
        <c:lblOffset val="100"/>
        <c:baseTimeUnit val="days"/>
      </c:dateAx>
      <c:valAx>
        <c:axId val="88243200"/>
        <c:scaling>
          <c:orientation val="minMax"/>
          <c:max val="1250"/>
          <c:min val="1150"/>
        </c:scaling>
        <c:delete val="0"/>
        <c:axPos val="l"/>
        <c:majorGridlines/>
        <c:title>
          <c:tx>
            <c:strRef>
              <c:f>차트1!$B$2</c:f>
              <c:strCache>
                <c:ptCount val="1"/>
                <c:pt idx="0">
                  <c:v>환율 미국(USD)</c:v>
                </c:pt>
              </c:strCache>
            </c:strRef>
          </c:tx>
          <c:overlay val="0"/>
          <c:txPr>
            <a:bodyPr rot="0" vert="eaVert"/>
            <a:lstStyle/>
            <a:p>
              <a:pPr>
                <a:defRPr/>
              </a:pPr>
              <a:endParaRPr lang="ko-KR"/>
            </a:p>
          </c:txPr>
        </c:title>
        <c:numFmt formatCode="0.0_ " sourceLinked="1"/>
        <c:majorTickMark val="out"/>
        <c:minorTickMark val="none"/>
        <c:tickLblPos val="nextTo"/>
        <c:crossAx val="88241664"/>
        <c:crosses val="autoZero"/>
        <c:crossBetween val="between"/>
        <c:majorUnit val="10"/>
      </c:valAx>
      <c:valAx>
        <c:axId val="444891071"/>
        <c:scaling>
          <c:orientation val="minMax"/>
        </c:scaling>
        <c:delete val="0"/>
        <c:axPos val="r"/>
        <c:numFmt formatCode="0.0_ " sourceLinked="1"/>
        <c:majorTickMark val="out"/>
        <c:minorTickMark val="none"/>
        <c:tickLblPos val="nextTo"/>
        <c:crossAx val="444892511"/>
        <c:crosses val="max"/>
        <c:crossBetween val="between"/>
      </c:valAx>
      <c:dateAx>
        <c:axId val="444892511"/>
        <c:scaling>
          <c:orientation val="minMax"/>
        </c:scaling>
        <c:delete val="1"/>
        <c:axPos val="b"/>
        <c:numFmt formatCode="mm&quot;월&quot;\ dd&quot;일&quot;" sourceLinked="1"/>
        <c:majorTickMark val="out"/>
        <c:minorTickMark val="none"/>
        <c:tickLblPos val="nextTo"/>
        <c:crossAx val="444891071"/>
        <c:crosses val="autoZero"/>
        <c:auto val="1"/>
        <c:lblOffset val="100"/>
        <c:baseTimeUnit val="days"/>
        <c:majorUnit val="1"/>
        <c:minorUnit val="1"/>
      </c:dateAx>
    </c:plotArea>
    <c:legend>
      <c:legendPos val="t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5"/>
      </a:solidFill>
      <a:prstDash val="solid"/>
    </a:ln>
    <a:effectLst/>
  </c:spPr>
  <c:txPr>
    <a:bodyPr/>
    <a:lstStyle/>
    <a:p>
      <a:pPr>
        <a:defRPr sz="1200">
          <a:solidFill>
            <a:schemeClr val="dk1"/>
          </a:solidFill>
          <a:latin typeface="+mn-lt"/>
          <a:ea typeface="+mn-ea"/>
          <a:cs typeface="+mn-cs"/>
        </a:defRPr>
      </a:pPr>
      <a:endParaRPr lang="ko-KR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차트2!$B$2</c:f>
          <c:strCache>
            <c:ptCount val="1"/>
            <c:pt idx="0">
              <c:v>주요도시 빗물의 산도 [단위 : pH]</c:v>
            </c:pt>
          </c:strCache>
        </c:strRef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서울</c:v>
          </c:tx>
          <c:cat>
            <c:numRef>
              <c:f>(차트2!$D$3,차트2!$F$3,차트2!$H$3,차트2!$J$3)</c:f>
              <c:numCache>
                <c:formatCode>General</c:formatCode>
                <c:ptCount val="4"/>
                <c:pt idx="0">
                  <c:v>2013</c:v>
                </c:pt>
                <c:pt idx="1">
                  <c:v>2015</c:v>
                </c:pt>
                <c:pt idx="2">
                  <c:v>2017</c:v>
                </c:pt>
                <c:pt idx="3">
                  <c:v>2019</c:v>
                </c:pt>
              </c:numCache>
            </c:numRef>
          </c:cat>
          <c:val>
            <c:numRef>
              <c:f>(차트2!$D$4,차트2!$F$4,차트2!$H$4,차트2!$J$4)</c:f>
              <c:numCache>
                <c:formatCode>0.0</c:formatCode>
                <c:ptCount val="4"/>
                <c:pt idx="0">
                  <c:v>4.8</c:v>
                </c:pt>
                <c:pt idx="1">
                  <c:v>4.7</c:v>
                </c:pt>
                <c:pt idx="2">
                  <c:v>4.5999999999999996</c:v>
                </c:pt>
                <c:pt idx="3">
                  <c:v>4.0999999999999996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6-490A-A319-612DDD4AFA33}"/>
            </c:ext>
          </c:extLst>
        </c:ser>
        <c:ser>
          <c:idx val="5"/>
          <c:order val="1"/>
          <c:tx>
            <c:v>대전</c:v>
          </c:tx>
          <c:cat>
            <c:numRef>
              <c:f>(차트2!$D$3,차트2!$F$3,차트2!$H$3,차트2!$J$3)</c:f>
              <c:numCache>
                <c:formatCode>General</c:formatCode>
                <c:ptCount val="4"/>
                <c:pt idx="0">
                  <c:v>2013</c:v>
                </c:pt>
                <c:pt idx="1">
                  <c:v>2015</c:v>
                </c:pt>
                <c:pt idx="2">
                  <c:v>2017</c:v>
                </c:pt>
                <c:pt idx="3">
                  <c:v>2019</c:v>
                </c:pt>
              </c:numCache>
            </c:numRef>
          </c:cat>
          <c:val>
            <c:numRef>
              <c:f>(차트2!$D$9,차트2!$F$9,차트2!$H$9,차트2!$J$9)</c:f>
              <c:numCache>
                <c:formatCode>0.0</c:formatCode>
                <c:ptCount val="4"/>
                <c:pt idx="0">
                  <c:v>4.7</c:v>
                </c:pt>
                <c:pt idx="1">
                  <c:v>4.5999999999999996</c:v>
                </c:pt>
                <c:pt idx="2">
                  <c:v>4.9000000000000004</c:v>
                </c:pt>
                <c:pt idx="3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0D6-490A-A319-612DDD4AFA33}"/>
            </c:ext>
          </c:extLst>
        </c:ser>
        <c:ser>
          <c:idx val="2"/>
          <c:order val="2"/>
          <c:tx>
            <c:v>대구</c:v>
          </c:tx>
          <c:cat>
            <c:numRef>
              <c:f>(차트2!$D$3,차트2!$F$3,차트2!$H$3,차트2!$J$3)</c:f>
              <c:numCache>
                <c:formatCode>General</c:formatCode>
                <c:ptCount val="4"/>
                <c:pt idx="0">
                  <c:v>2013</c:v>
                </c:pt>
                <c:pt idx="1">
                  <c:v>2015</c:v>
                </c:pt>
                <c:pt idx="2">
                  <c:v>2017</c:v>
                </c:pt>
                <c:pt idx="3">
                  <c:v>2019</c:v>
                </c:pt>
              </c:numCache>
            </c:numRef>
          </c:cat>
          <c:val>
            <c:numRef>
              <c:f>(차트2!$D$6,차트2!$F$6,차트2!$H$6,차트2!$J$6)</c:f>
              <c:numCache>
                <c:formatCode>0.0</c:formatCode>
                <c:ptCount val="4"/>
                <c:pt idx="0">
                  <c:v>5.7</c:v>
                </c:pt>
                <c:pt idx="1">
                  <c:v>5</c:v>
                </c:pt>
                <c:pt idx="2">
                  <c:v>4.7</c:v>
                </c:pt>
                <c:pt idx="3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0D6-490A-A319-612DDD4AFA33}"/>
            </c:ext>
          </c:extLst>
        </c:ser>
        <c:ser>
          <c:idx val="1"/>
          <c:order val="3"/>
          <c:tx>
            <c:v>부산</c:v>
          </c:tx>
          <c:cat>
            <c:numRef>
              <c:f>(차트2!$D$3,차트2!$F$3,차트2!$H$3,차트2!$J$3)</c:f>
              <c:numCache>
                <c:formatCode>General</c:formatCode>
                <c:ptCount val="4"/>
                <c:pt idx="0">
                  <c:v>2013</c:v>
                </c:pt>
                <c:pt idx="1">
                  <c:v>2015</c:v>
                </c:pt>
                <c:pt idx="2">
                  <c:v>2017</c:v>
                </c:pt>
                <c:pt idx="3">
                  <c:v>2019</c:v>
                </c:pt>
              </c:numCache>
            </c:numRef>
          </c:cat>
          <c:val>
            <c:numRef>
              <c:f>(차트2!$D$5,차트2!$F$5,차트2!$H$5,차트2!$J$5)</c:f>
              <c:numCache>
                <c:formatCode>0.0</c:formatCode>
                <c:ptCount val="4"/>
                <c:pt idx="0">
                  <c:v>5.5</c:v>
                </c:pt>
                <c:pt idx="1">
                  <c:v>4.7</c:v>
                </c:pt>
                <c:pt idx="2">
                  <c:v>4.9000000000000004</c:v>
                </c:pt>
                <c:pt idx="3">
                  <c:v>4.9000000000000004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0D6-490A-A319-612DDD4AFA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091392"/>
        <c:axId val="76092928"/>
      </c:lineChart>
      <c:catAx>
        <c:axId val="76091392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76092928"/>
        <c:crosses val="autoZero"/>
        <c:auto val="1"/>
        <c:lblAlgn val="ctr"/>
        <c:lblOffset val="100"/>
        <c:noMultiLvlLbl val="0"/>
      </c:catAx>
      <c:valAx>
        <c:axId val="76092928"/>
        <c:scaling>
          <c:orientation val="minMax"/>
          <c:max val="6"/>
          <c:min val="4"/>
        </c:scaling>
        <c:delete val="0"/>
        <c:axPos val="l"/>
        <c:majorGridlines/>
        <c:numFmt formatCode="0.0" sourceLinked="1"/>
        <c:majorTickMark val="none"/>
        <c:minorTickMark val="none"/>
        <c:tickLblPos val="nextTo"/>
        <c:spPr>
          <a:ln w="9525">
            <a:noFill/>
          </a:ln>
        </c:spPr>
        <c:crossAx val="76091392"/>
        <c:crosses val="autoZero"/>
        <c:crossBetween val="between"/>
      </c:valAx>
      <c:spPr>
        <a:gradFill rotWithShape="1">
          <a:gsLst>
            <a:gs pos="0">
              <a:schemeClr val="dk1">
                <a:lumMod val="110000"/>
                <a:satMod val="105000"/>
                <a:tint val="67000"/>
              </a:schemeClr>
            </a:gs>
            <a:gs pos="50000">
              <a:schemeClr val="dk1">
                <a:lumMod val="105000"/>
                <a:satMod val="103000"/>
                <a:tint val="73000"/>
              </a:schemeClr>
            </a:gs>
            <a:gs pos="100000">
              <a:schemeClr val="dk1">
                <a:lumMod val="105000"/>
                <a:satMod val="109000"/>
                <a:tint val="81000"/>
              </a:schemeClr>
            </a:gs>
          </a:gsLst>
          <a:lin ang="5400000" scaled="0"/>
        </a:gradFill>
        <a:ln w="6350" cap="flat" cmpd="sng" algn="ctr">
          <a:solidFill>
            <a:schemeClr val="dk1"/>
          </a:solidFill>
          <a:prstDash val="solid"/>
          <a:miter lim="800000"/>
        </a:ln>
        <a:effectLst/>
      </c:spPr>
    </c:plotArea>
    <c:legend>
      <c:legendPos val="b"/>
      <c:overlay val="0"/>
    </c:legend>
    <c:plotVisOnly val="1"/>
    <c:dispBlanksAs val="gap"/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>
      <a:innerShdw blurRad="114300">
        <a:prstClr val="black"/>
      </a:inn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ko-KR"/>
    </a:p>
  </c:txPr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차트3!$B$4</c:f>
              <c:strCache>
                <c:ptCount val="1"/>
                <c:pt idx="0">
                  <c:v>한국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차트3!$C$3:$H$3</c15:sqref>
                  </c15:fullRef>
                </c:ext>
              </c:extLst>
              <c:f>차트3!$E$3:$H$3</c:f>
              <c:numCache>
                <c:formatCode>General</c:formatCode>
                <c:ptCount val="4"/>
                <c:pt idx="0">
                  <c:v>1990</c:v>
                </c:pt>
                <c:pt idx="1">
                  <c:v>2000</c:v>
                </c:pt>
                <c:pt idx="2">
                  <c:v>2010</c:v>
                </c:pt>
                <c:pt idx="3">
                  <c:v>2020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차트3!$C$4:$H$4</c15:sqref>
                  </c15:fullRef>
                </c:ext>
              </c:extLst>
              <c:f>차트3!$E$4:$H$4</c:f>
              <c:numCache>
                <c:formatCode>_-* #,##0.00_-;\-* #,##0.00_-;_-* "-"_-;_-@_-</c:formatCode>
                <c:ptCount val="4"/>
                <c:pt idx="0">
                  <c:v>25359.35</c:v>
                </c:pt>
                <c:pt idx="1">
                  <c:v>38532.04</c:v>
                </c:pt>
                <c:pt idx="2">
                  <c:v>44507.68</c:v>
                </c:pt>
                <c:pt idx="3">
                  <c:v>40246.879999999997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2F-4C99-ACB6-2024E5279337}"/>
            </c:ext>
          </c:extLst>
        </c:ser>
        <c:ser>
          <c:idx val="1"/>
          <c:order val="1"/>
          <c:tx>
            <c:strRef>
              <c:f>차트3!$B$5</c:f>
              <c:strCache>
                <c:ptCount val="1"/>
                <c:pt idx="0">
                  <c:v>일본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차트3!$C$3:$H$3</c15:sqref>
                  </c15:fullRef>
                </c:ext>
              </c:extLst>
              <c:f>차트3!$E$3:$H$3</c:f>
              <c:numCache>
                <c:formatCode>General</c:formatCode>
                <c:ptCount val="4"/>
                <c:pt idx="0">
                  <c:v>1990</c:v>
                </c:pt>
                <c:pt idx="1">
                  <c:v>2000</c:v>
                </c:pt>
                <c:pt idx="2">
                  <c:v>2010</c:v>
                </c:pt>
                <c:pt idx="3">
                  <c:v>2020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차트3!$C$5:$H$5</c15:sqref>
                  </c15:fullRef>
                </c:ext>
              </c:extLst>
              <c:f>차트3!$E$5:$H$5</c:f>
              <c:numCache>
                <c:formatCode>_-* #,##0.00_-;\-* #,##0.00_-;_-* "-"_-;_-@_-</c:formatCode>
                <c:ptCount val="4"/>
                <c:pt idx="0">
                  <c:v>6610.04</c:v>
                </c:pt>
                <c:pt idx="1">
                  <c:v>12256.99</c:v>
                </c:pt>
                <c:pt idx="2">
                  <c:v>23087.23</c:v>
                </c:pt>
                <c:pt idx="3">
                  <c:v>31846.22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2F-4C99-ACB6-2024E52793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98736320"/>
        <c:axId val="698730912"/>
      </c:barChart>
      <c:lineChart>
        <c:grouping val="standard"/>
        <c:varyColors val="0"/>
        <c:ser>
          <c:idx val="2"/>
          <c:order val="2"/>
          <c:tx>
            <c:strRef>
              <c:f>차트3!$B$6</c:f>
              <c:strCache>
                <c:ptCount val="1"/>
                <c:pt idx="0">
                  <c:v>중국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3"/>
            <c:marker>
              <c:symbol val="diamond"/>
              <c:size val="10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006C-4FFD-9442-5AE6BF2ECB0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차트3!$C$3:$H$3</c15:sqref>
                  </c15:fullRef>
                </c:ext>
              </c:extLst>
              <c:f>차트3!$E$3:$H$3</c:f>
              <c:numCache>
                <c:formatCode>General</c:formatCode>
                <c:ptCount val="4"/>
                <c:pt idx="0">
                  <c:v>1990</c:v>
                </c:pt>
                <c:pt idx="1">
                  <c:v>2000</c:v>
                </c:pt>
                <c:pt idx="2">
                  <c:v>2010</c:v>
                </c:pt>
                <c:pt idx="3">
                  <c:v>2020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차트3!$C$6:$H$6</c15:sqref>
                  </c15:fullRef>
                </c:ext>
              </c:extLst>
              <c:f>차트3!$E$6:$H$6</c:f>
              <c:numCache>
                <c:formatCode>_-* #,##0.00_-;\-* #,##0.00_-;_-* "-"_-;_-@_-</c:formatCode>
                <c:ptCount val="4"/>
                <c:pt idx="0">
                  <c:v>317.88</c:v>
                </c:pt>
                <c:pt idx="1">
                  <c:v>959.37</c:v>
                </c:pt>
                <c:pt idx="2">
                  <c:v>4550.45</c:v>
                </c:pt>
                <c:pt idx="3">
                  <c:v>10261.68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E2F-4C99-ACB6-2024E52793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09913535"/>
        <c:axId val="967254127"/>
      </c:lineChart>
      <c:catAx>
        <c:axId val="698736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8730912"/>
        <c:crosses val="autoZero"/>
        <c:auto val="1"/>
        <c:lblAlgn val="ctr"/>
        <c:lblOffset val="100"/>
        <c:noMultiLvlLbl val="0"/>
      </c:catAx>
      <c:valAx>
        <c:axId val="69873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차트3!$H$2</c:f>
              <c:strCache>
                <c:ptCount val="1"/>
                <c:pt idx="0">
                  <c:v>달러(USD)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wordArtVertRtl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_-* #,##0.00_-;\-* #,##0.00_-;_-* &quot;-&quot;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8736320"/>
        <c:crosses val="autoZero"/>
        <c:crossBetween val="between"/>
        <c:majorUnit val="10000"/>
      </c:valAx>
      <c:valAx>
        <c:axId val="967254127"/>
        <c:scaling>
          <c:orientation val="minMax"/>
        </c:scaling>
        <c:delete val="0"/>
        <c:axPos val="r"/>
        <c:numFmt formatCode="_-* #,##0.00_-;\-* #,##0.00_-;_-* &quot;-&quot;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9913535"/>
        <c:crosses val="max"/>
        <c:crossBetween val="between"/>
        <c:majorUnit val="2500"/>
      </c:valAx>
      <c:catAx>
        <c:axId val="10099135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67254127"/>
        <c:crosses val="autoZero"/>
        <c:auto val="1"/>
        <c:lblAlgn val="ctr"/>
        <c:lblOffset val="100"/>
        <c:noMultiLvlLbl val="0"/>
      </c:catAx>
      <c:spPr>
        <a:solidFill>
          <a:schemeClr val="bg1"/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gradFill rotWithShape="1">
      <a:gsLst>
        <a:gs pos="0">
          <a:schemeClr val="accent4">
            <a:lumMod val="110000"/>
            <a:satMod val="105000"/>
            <a:tint val="67000"/>
          </a:schemeClr>
        </a:gs>
        <a:gs pos="50000">
          <a:schemeClr val="accent4">
            <a:lumMod val="105000"/>
            <a:satMod val="103000"/>
            <a:tint val="73000"/>
          </a:schemeClr>
        </a:gs>
        <a:gs pos="100000">
          <a:schemeClr val="accent4">
            <a:lumMod val="105000"/>
            <a:satMod val="109000"/>
            <a:tint val="81000"/>
          </a:schemeClr>
        </a:gs>
      </a:gsLst>
      <a:lin ang="5400000" scaled="0"/>
    </a:gradFill>
    <a:ln w="6350" cap="flat" cmpd="sng" algn="ctr">
      <a:solidFill>
        <a:schemeClr val="accent4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30"/>
      <c:rotY val="9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차트4!$B$4</c:f>
              <c:strCache>
                <c:ptCount val="1"/>
                <c:pt idx="0">
                  <c:v>K-POP 인지도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6A6C-4835-9136-9578662B7FFF}"/>
              </c:ext>
            </c:extLst>
          </c:dPt>
          <c:dPt>
            <c:idx val="1"/>
            <c:bubble3D val="0"/>
            <c:explosion val="15"/>
            <c:spPr>
              <a:solidFill>
                <a:schemeClr val="accent2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6A6C-4835-9136-9578662B7FF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6A6C-4835-9136-9578662B7FF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6A6C-4835-9136-9578662B7FF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6A6C-4835-9136-9578662B7FF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B-6A6C-4835-9136-9578662B7FF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D-6A6C-4835-9136-9578662B7FF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5-6A6C-4835-9136-9578662B7FF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차트4!$C$3:$M$3</c15:sqref>
                  </c15:fullRef>
                </c:ext>
              </c:extLst>
              <c:f>(차트4!$C$3:$I$3,차트4!$M$3)</c:f>
              <c:strCache>
                <c:ptCount val="8"/>
                <c:pt idx="0">
                  <c:v>한국</c:v>
                </c:pt>
                <c:pt idx="1">
                  <c:v>인도네시아</c:v>
                </c:pt>
                <c:pt idx="2">
                  <c:v>태국</c:v>
                </c:pt>
                <c:pt idx="3">
                  <c:v>베트남</c:v>
                </c:pt>
                <c:pt idx="4">
                  <c:v>미국</c:v>
                </c:pt>
                <c:pt idx="5">
                  <c:v>일본</c:v>
                </c:pt>
                <c:pt idx="6">
                  <c:v>필리핀</c:v>
                </c:pt>
                <c:pt idx="7">
                  <c:v>기타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차트4!$C$4:$M$4</c15:sqref>
                  </c15:fullRef>
                </c:ext>
              </c:extLst>
              <c:f>(차트4!$C$4:$I$4,차트4!$M$4)</c:f>
              <c:numCache>
                <c:formatCode>0.00%</c:formatCode>
                <c:ptCount val="8"/>
                <c:pt idx="0">
                  <c:v>0.10100000000000001</c:v>
                </c:pt>
                <c:pt idx="1">
                  <c:v>9.9000000000000005E-2</c:v>
                </c:pt>
                <c:pt idx="2">
                  <c:v>8.1000000000000003E-2</c:v>
                </c:pt>
                <c:pt idx="3">
                  <c:v>7.3999999999999996E-2</c:v>
                </c:pt>
                <c:pt idx="4">
                  <c:v>7.3999999999999996E-2</c:v>
                </c:pt>
                <c:pt idx="5">
                  <c:v>6.8000000000000005E-2</c:v>
                </c:pt>
                <c:pt idx="6">
                  <c:v>6.8000000000000005E-2</c:v>
                </c:pt>
                <c:pt idx="7">
                  <c:v>0.31900000000000001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차트4!$J$4</c15:sqref>
                  <c15:spPr xmlns:c15="http://schemas.microsoft.com/office/drawing/2012/chart">
                    <a:solidFill>
                      <a:schemeClr val="accent2">
                        <a:lumMod val="60000"/>
                      </a:schemeClr>
                    </a:solidFill>
                    <a:ln>
                      <a:noFill/>
                    </a:ln>
                    <a:effectLst/>
                    <a:sp3d/>
                  </c15:spPr>
                  <c15:bubble3D val="0"/>
                </c15:categoryFilterException>
                <c15:categoryFilterException>
                  <c15:sqref>차트4!$K$4</c15:sqref>
                  <c15:spPr xmlns:c15="http://schemas.microsoft.com/office/drawing/2012/chart">
                    <a:solidFill>
                      <a:schemeClr val="accent3">
                        <a:lumMod val="60000"/>
                      </a:schemeClr>
                    </a:solidFill>
                    <a:ln>
                      <a:noFill/>
                    </a:ln>
                    <a:effectLst/>
                    <a:sp3d/>
                  </c15:spPr>
                  <c15:bubble3D val="0"/>
                </c15:categoryFilterException>
                <c15:categoryFilterException>
                  <c15:sqref>차트4!$L$4</c15:sqref>
                  <c15:spPr xmlns:c15="http://schemas.microsoft.com/office/drawing/2012/chart">
                    <a:solidFill>
                      <a:schemeClr val="accent4">
                        <a:lumMod val="60000"/>
                      </a:schemeClr>
                    </a:solidFill>
                    <a:ln>
                      <a:noFill/>
                    </a:ln>
                    <a:effectLst/>
                    <a:sp3d/>
                  </c15:spPr>
                  <c15:bubble3D val="0"/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16-6A6C-4835-9136-9578662B7FFF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차트5!$B$2</c:f>
          <c:strCache>
            <c:ptCount val="1"/>
            <c:pt idx="0">
              <c:v>시도별 초미세먼지(㎍/㎥)</c:v>
            </c:pt>
          </c:strCache>
        </c:strRef>
      </c:tx>
      <c:overlay val="0"/>
      <c:spPr>
        <a:solidFill>
          <a:schemeClr val="accent6"/>
        </a:solidFill>
        <a:ln w="12700" cap="flat" cmpd="sng" algn="ctr">
          <a:solidFill>
            <a:schemeClr val="accent6">
              <a:shade val="50000"/>
            </a:schemeClr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차트5!$B$4</c:f>
              <c:strCache>
                <c:ptCount val="1"/>
                <c:pt idx="0">
                  <c:v>시간평균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차트5!$C$3:$G$3</c:f>
              <c:strCache>
                <c:ptCount val="5"/>
                <c:pt idx="0">
                  <c:v>서울</c:v>
                </c:pt>
                <c:pt idx="1">
                  <c:v>부산</c:v>
                </c:pt>
                <c:pt idx="2">
                  <c:v>대구</c:v>
                </c:pt>
                <c:pt idx="3">
                  <c:v>인천</c:v>
                </c:pt>
                <c:pt idx="4">
                  <c:v>대전</c:v>
                </c:pt>
              </c:strCache>
            </c:strRef>
          </c:cat>
          <c:val>
            <c:numRef>
              <c:f>차트5!$C$4:$G$4</c:f>
              <c:numCache>
                <c:formatCode>General</c:formatCode>
                <c:ptCount val="5"/>
                <c:pt idx="0">
                  <c:v>19</c:v>
                </c:pt>
                <c:pt idx="1">
                  <c:v>9</c:v>
                </c:pt>
                <c:pt idx="2">
                  <c:v>9</c:v>
                </c:pt>
                <c:pt idx="3">
                  <c:v>18</c:v>
                </c:pt>
                <c:pt idx="4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C8-4E7F-A68F-5E2416AF0B57}"/>
            </c:ext>
          </c:extLst>
        </c:ser>
        <c:ser>
          <c:idx val="1"/>
          <c:order val="1"/>
          <c:tx>
            <c:strRef>
              <c:f>차트5!$B$5</c:f>
              <c:strCache>
                <c:ptCount val="1"/>
                <c:pt idx="0">
                  <c:v>일평균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차트5!$C$3:$G$3</c:f>
              <c:strCache>
                <c:ptCount val="5"/>
                <c:pt idx="0">
                  <c:v>서울</c:v>
                </c:pt>
                <c:pt idx="1">
                  <c:v>부산</c:v>
                </c:pt>
                <c:pt idx="2">
                  <c:v>대구</c:v>
                </c:pt>
                <c:pt idx="3">
                  <c:v>인천</c:v>
                </c:pt>
                <c:pt idx="4">
                  <c:v>대전</c:v>
                </c:pt>
              </c:strCache>
            </c:strRef>
          </c:cat>
          <c:val>
            <c:numRef>
              <c:f>차트5!$C$5:$G$5</c:f>
              <c:numCache>
                <c:formatCode>General</c:formatCode>
                <c:ptCount val="5"/>
                <c:pt idx="0">
                  <c:v>20</c:v>
                </c:pt>
                <c:pt idx="1">
                  <c:v>11</c:v>
                </c:pt>
                <c:pt idx="2">
                  <c:v>14</c:v>
                </c:pt>
                <c:pt idx="3">
                  <c:v>22</c:v>
                </c:pt>
                <c:pt idx="4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C8-4E7F-A68F-5E2416AF0B57}"/>
            </c:ext>
          </c:extLst>
        </c:ser>
        <c:ser>
          <c:idx val="2"/>
          <c:order val="2"/>
          <c:tx>
            <c:strRef>
              <c:f>차트5!$B$6</c:f>
              <c:strCache>
                <c:ptCount val="1"/>
                <c:pt idx="0">
                  <c:v>최고값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차트5!$C$3:$G$3</c:f>
              <c:strCache>
                <c:ptCount val="5"/>
                <c:pt idx="0">
                  <c:v>서울</c:v>
                </c:pt>
                <c:pt idx="1">
                  <c:v>부산</c:v>
                </c:pt>
                <c:pt idx="2">
                  <c:v>대구</c:v>
                </c:pt>
                <c:pt idx="3">
                  <c:v>인천</c:v>
                </c:pt>
                <c:pt idx="4">
                  <c:v>대전</c:v>
                </c:pt>
              </c:strCache>
            </c:strRef>
          </c:cat>
          <c:val>
            <c:numRef>
              <c:f>차트5!$C$6:$G$6</c:f>
              <c:numCache>
                <c:formatCode>General</c:formatCode>
                <c:ptCount val="5"/>
                <c:pt idx="0">
                  <c:v>34</c:v>
                </c:pt>
                <c:pt idx="1">
                  <c:v>30</c:v>
                </c:pt>
                <c:pt idx="2">
                  <c:v>29</c:v>
                </c:pt>
                <c:pt idx="3">
                  <c:v>48</c:v>
                </c:pt>
                <c:pt idx="4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8C8-4E7F-A68F-5E2416AF0B57}"/>
            </c:ext>
          </c:extLst>
        </c:ser>
        <c:ser>
          <c:idx val="3"/>
          <c:order val="3"/>
          <c:tx>
            <c:strRef>
              <c:f>차트5!$B$7</c:f>
              <c:strCache>
                <c:ptCount val="1"/>
                <c:pt idx="0">
                  <c:v>최저값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차트5!$C$3:$G$3</c:f>
              <c:strCache>
                <c:ptCount val="5"/>
                <c:pt idx="0">
                  <c:v>서울</c:v>
                </c:pt>
                <c:pt idx="1">
                  <c:v>부산</c:v>
                </c:pt>
                <c:pt idx="2">
                  <c:v>대구</c:v>
                </c:pt>
                <c:pt idx="3">
                  <c:v>인천</c:v>
                </c:pt>
                <c:pt idx="4">
                  <c:v>대전</c:v>
                </c:pt>
              </c:strCache>
            </c:strRef>
          </c:cat>
          <c:val>
            <c:numRef>
              <c:f>차트5!$C$7:$G$7</c:f>
              <c:numCache>
                <c:formatCode>General</c:formatCode>
                <c:ptCount val="5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11</c:v>
                </c:pt>
                <c:pt idx="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8C8-4E7F-A68F-5E2416AF0B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2114711232"/>
        <c:axId val="2114708320"/>
      </c:barChart>
      <c:catAx>
        <c:axId val="21147112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지역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114708320"/>
        <c:crosses val="autoZero"/>
        <c:auto val="1"/>
        <c:lblAlgn val="ctr"/>
        <c:lblOffset val="100"/>
        <c:noMultiLvlLbl val="0"/>
      </c:catAx>
      <c:valAx>
        <c:axId val="2114708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114711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도시 인구와 교외 인구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차트6!$A$4</c:f>
              <c:strCache>
                <c:ptCount val="1"/>
                <c:pt idx="0">
                  <c:v>도시인구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dLbl>
              <c:idx val="3"/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0-BC9C-4DF3-9EFD-5F49CF6D93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차트6!$B$3:$G$3</c:f>
              <c:strCache>
                <c:ptCount val="6"/>
                <c:pt idx="0">
                  <c:v>대한민국</c:v>
                </c:pt>
                <c:pt idx="1">
                  <c:v>이집트</c:v>
                </c:pt>
                <c:pt idx="2">
                  <c:v>말레이시아</c:v>
                </c:pt>
                <c:pt idx="3">
                  <c:v>미국</c:v>
                </c:pt>
                <c:pt idx="4">
                  <c:v>브라질</c:v>
                </c:pt>
                <c:pt idx="5">
                  <c:v>페루</c:v>
                </c:pt>
              </c:strCache>
            </c:strRef>
          </c:cat>
          <c:val>
            <c:numRef>
              <c:f>차트6!$B$4:$G$4</c:f>
              <c:numCache>
                <c:formatCode>_(* #,##0_);_(* \(#,##0\);_(* "-"_);_(@_)</c:formatCode>
                <c:ptCount val="6"/>
                <c:pt idx="0">
                  <c:v>42106719</c:v>
                </c:pt>
                <c:pt idx="1">
                  <c:v>42895824</c:v>
                </c:pt>
                <c:pt idx="2">
                  <c:v>24475766</c:v>
                </c:pt>
                <c:pt idx="3">
                  <c:v>270663028</c:v>
                </c:pt>
                <c:pt idx="4">
                  <c:v>183241641</c:v>
                </c:pt>
                <c:pt idx="5">
                  <c:v>25390339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2B-4B99-BF54-D2D7A9C3541C}"/>
            </c:ext>
          </c:extLst>
        </c:ser>
        <c:ser>
          <c:idx val="1"/>
          <c:order val="1"/>
          <c:tx>
            <c:strRef>
              <c:f>차트6!$A$5</c:f>
              <c:strCache>
                <c:ptCount val="1"/>
                <c:pt idx="0">
                  <c:v>농촌인구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차트6!$B$3:$G$3</c:f>
              <c:strCache>
                <c:ptCount val="6"/>
                <c:pt idx="0">
                  <c:v>대한민국</c:v>
                </c:pt>
                <c:pt idx="1">
                  <c:v>이집트</c:v>
                </c:pt>
                <c:pt idx="2">
                  <c:v>말레이시아</c:v>
                </c:pt>
                <c:pt idx="3">
                  <c:v>미국</c:v>
                </c:pt>
                <c:pt idx="4">
                  <c:v>브라질</c:v>
                </c:pt>
                <c:pt idx="5">
                  <c:v>페루</c:v>
                </c:pt>
              </c:strCache>
            </c:strRef>
          </c:cat>
          <c:val>
            <c:numRef>
              <c:f>차트6!$B$5:$G$5</c:f>
              <c:numCache>
                <c:formatCode>_(* #,##0_);_(* \(#,##0\);_(* "-"_);_(@_)</c:formatCode>
                <c:ptCount val="6"/>
                <c:pt idx="0">
                  <c:v>9602379</c:v>
                </c:pt>
                <c:pt idx="1">
                  <c:v>57492249</c:v>
                </c:pt>
                <c:pt idx="2">
                  <c:v>7474011</c:v>
                </c:pt>
                <c:pt idx="3">
                  <c:v>57576495</c:v>
                </c:pt>
                <c:pt idx="4">
                  <c:v>27807886</c:v>
                </c:pt>
                <c:pt idx="5">
                  <c:v>7120114</c:v>
                </c:pt>
              </c:numCache>
            </c:numRef>
          </c:val>
          <c:shape val="cone"/>
          <c:extLst>
            <c:ext xmlns:c16="http://schemas.microsoft.com/office/drawing/2014/chart" uri="{C3380CC4-5D6E-409C-BE32-E72D297353CC}">
              <c16:uniqueId val="{00000001-652B-4B99-BF54-D2D7A9C354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shape val="box"/>
        <c:axId val="2122902128"/>
        <c:axId val="1548756832"/>
        <c:axId val="0"/>
      </c:bar3DChart>
      <c:catAx>
        <c:axId val="2122902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48756832"/>
        <c:crosses val="autoZero"/>
        <c:auto val="1"/>
        <c:lblAlgn val="ctr"/>
        <c:lblOffset val="100"/>
        <c:noMultiLvlLbl val="0"/>
      </c:catAx>
      <c:valAx>
        <c:axId val="1548756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1229021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304799</xdr:colOff>
      <xdr:row>1</xdr:row>
      <xdr:rowOff>99827</xdr:rowOff>
    </xdr:from>
    <xdr:to>
      <xdr:col>5</xdr:col>
      <xdr:colOff>659940</xdr:colOff>
      <xdr:row>18</xdr:row>
      <xdr:rowOff>209550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5152" r="56295"/>
        <a:stretch/>
      </xdr:blipFill>
      <xdr:spPr>
        <a:xfrm>
          <a:off x="304799" y="314140"/>
          <a:ext cx="3784141" cy="3753035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0</xdr:col>
      <xdr:colOff>290513</xdr:colOff>
      <xdr:row>17</xdr:row>
      <xdr:rowOff>90487</xdr:rowOff>
    </xdr:from>
    <xdr:to>
      <xdr:col>1</xdr:col>
      <xdr:colOff>85725</xdr:colOff>
      <xdr:row>18</xdr:row>
      <xdr:rowOff>33338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90513" y="3733800"/>
          <a:ext cx="481012" cy="157163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85725</xdr:colOff>
      <xdr:row>17</xdr:row>
      <xdr:rowOff>80958</xdr:rowOff>
    </xdr:from>
    <xdr:to>
      <xdr:col>6</xdr:col>
      <xdr:colOff>185738</xdr:colOff>
      <xdr:row>17</xdr:row>
      <xdr:rowOff>169069</xdr:rowOff>
    </xdr:to>
    <xdr:cxnSp macro="">
      <xdr:nvCxnSpPr>
        <xdr:cNvPr id="9" name="꺾인 연결선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>
          <a:stCxn id="6" idx="3"/>
          <a:endCxn id="7" idx="1"/>
        </xdr:cNvCxnSpPr>
      </xdr:nvCxnSpPr>
      <xdr:spPr>
        <a:xfrm flipV="1">
          <a:off x="771525" y="3724271"/>
          <a:ext cx="3529013" cy="88111"/>
        </a:xfrm>
        <a:prstGeom prst="bentConnector3">
          <a:avLst>
            <a:gd name="adj1" fmla="val 27598"/>
          </a:avLst>
        </a:prstGeom>
        <a:ln w="127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185738</xdr:colOff>
      <xdr:row>14</xdr:row>
      <xdr:rowOff>100008</xdr:rowOff>
    </xdr:from>
    <xdr:to>
      <xdr:col>13</xdr:col>
      <xdr:colOff>419101</xdr:colOff>
      <xdr:row>18</xdr:row>
      <xdr:rowOff>200021</xdr:rowOff>
    </xdr:to>
    <xdr:grpSp>
      <xdr:nvGrpSpPr>
        <xdr:cNvPr id="12" name="그룹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4300538" y="3100383"/>
          <a:ext cx="5033963" cy="957263"/>
          <a:chOff x="4295775" y="1866900"/>
          <a:chExt cx="5033963" cy="957263"/>
        </a:xfrm>
      </xdr:grpSpPr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 txBox="1"/>
        </xdr:nvSpPr>
        <xdr:spPr>
          <a:xfrm>
            <a:off x="4295775" y="2157412"/>
            <a:ext cx="5033963" cy="666751"/>
          </a:xfrm>
          <a:prstGeom prst="rect">
            <a:avLst/>
          </a:prstGeom>
          <a:ln/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US" altLang="ko-KR" sz="1100"/>
              <a:t>1. </a:t>
            </a:r>
            <a:r>
              <a:rPr lang="ko-KR" altLang="en-US" sz="1100"/>
              <a:t>시트 탐색 단추에서 오른쪽 마우스를 클릭한다</a:t>
            </a:r>
            <a:r>
              <a:rPr lang="en-US" altLang="ko-KR" sz="1100"/>
              <a:t>.(</a:t>
            </a:r>
            <a:r>
              <a:rPr lang="ko-KR" altLang="en-US" sz="1100"/>
              <a:t>시트</a:t>
            </a:r>
            <a:r>
              <a:rPr lang="ko-KR" altLang="en-US" sz="1100" baseline="0"/>
              <a:t> 활성화 대화 상자가 뜬다</a:t>
            </a:r>
            <a:r>
              <a:rPr lang="en-US" altLang="ko-KR" sz="1100" baseline="0"/>
              <a:t>)</a:t>
            </a:r>
          </a:p>
          <a:p>
            <a:pPr algn="l"/>
            <a:r>
              <a:rPr lang="en-US" altLang="ko-KR" sz="1100" baseline="0"/>
              <a:t>2. </a:t>
            </a:r>
            <a:r>
              <a:rPr lang="ko-KR" altLang="en-US" sz="1100" baseline="0"/>
              <a:t>원하는 시트를 선택하고 </a:t>
            </a:r>
            <a:r>
              <a:rPr lang="en-US" altLang="ko-KR" sz="1100" b="1" baseline="0"/>
              <a:t>[</a:t>
            </a:r>
            <a:r>
              <a:rPr lang="ko-KR" altLang="en-US" sz="1100" b="1" baseline="0"/>
              <a:t>확인</a:t>
            </a:r>
            <a:r>
              <a:rPr lang="en-US" altLang="ko-KR" sz="1100" b="1" baseline="0"/>
              <a:t>]</a:t>
            </a:r>
            <a:r>
              <a:rPr lang="ko-KR" altLang="en-US" sz="1100" b="1" baseline="0"/>
              <a:t> </a:t>
            </a:r>
            <a:r>
              <a:rPr lang="ko-KR" altLang="en-US" sz="1100" baseline="0"/>
              <a:t>단추를 클릭해서 이동한다</a:t>
            </a:r>
            <a:r>
              <a:rPr lang="en-US" altLang="ko-KR" sz="1100" baseline="0"/>
              <a:t>.</a:t>
            </a:r>
            <a:endParaRPr lang="ko-KR" altLang="en-US" sz="1100"/>
          </a:p>
        </xdr:txBody>
      </xdr:sp>
      <xdr:sp macro="" textlink="">
        <xdr:nvSpPr>
          <xdr:cNvPr id="11" name="직사각형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4300539" y="1866900"/>
            <a:ext cx="2090738" cy="290513"/>
          </a:xfrm>
          <a:prstGeom prst="rect">
            <a:avLst/>
          </a:prstGeom>
          <a:ln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1100"/>
              <a:t>원하는 시트로 이동하는 방법</a:t>
            </a:r>
          </a:p>
        </xdr:txBody>
      </xdr:sp>
    </xdr:grpSp>
    <xdr:clientData/>
  </xdr:twoCellAnchor>
  <xdr:twoCellAnchor>
    <xdr:from>
      <xdr:col>6</xdr:col>
      <xdr:colOff>447676</xdr:colOff>
      <xdr:row>1</xdr:row>
      <xdr:rowOff>95250</xdr:rowOff>
    </xdr:from>
    <xdr:to>
      <xdr:col>13</xdr:col>
      <xdr:colOff>447676</xdr:colOff>
      <xdr:row>4</xdr:row>
      <xdr:rowOff>4763</xdr:rowOff>
    </xdr:to>
    <xdr:sp macro="" textlink="">
      <xdr:nvSpPr>
        <xdr:cNvPr id="18" name="모서리가 둥근 직사각형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4562476" y="309563"/>
          <a:ext cx="4800600" cy="552450"/>
        </a:xfrm>
        <a:prstGeom prst="roundRect">
          <a:avLst>
            <a:gd name="adj" fmla="val 50000"/>
          </a:avLst>
        </a:prstGeom>
        <a:solidFill>
          <a:schemeClr val="accent5">
            <a:lumMod val="20000"/>
            <a:lumOff val="80000"/>
          </a:schemeClr>
        </a:solidFill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000" b="1">
              <a:solidFill>
                <a:schemeClr val="tx1"/>
              </a:solidFill>
              <a:latin typeface="+mj-ea"/>
              <a:ea typeface="+mj-ea"/>
            </a:rPr>
            <a:t>컴활</a:t>
          </a:r>
          <a:r>
            <a:rPr lang="en-US" altLang="ko-KR" sz="2000" b="1">
              <a:solidFill>
                <a:schemeClr val="tx1"/>
              </a:solidFill>
              <a:latin typeface="+mj-ea"/>
              <a:ea typeface="+mj-ea"/>
            </a:rPr>
            <a:t>1</a:t>
          </a:r>
          <a:r>
            <a:rPr lang="ko-KR" altLang="en-US" sz="2000" b="1">
              <a:solidFill>
                <a:schemeClr val="tx1"/>
              </a:solidFill>
              <a:latin typeface="+mj-ea"/>
              <a:ea typeface="+mj-ea"/>
            </a:rPr>
            <a:t>급실기 </a:t>
          </a:r>
          <a:r>
            <a:rPr lang="en-US" altLang="ko-KR" sz="2000" b="1">
              <a:solidFill>
                <a:schemeClr val="tx1"/>
              </a:solidFill>
              <a:latin typeface="+mj-ea"/>
              <a:ea typeface="+mj-ea"/>
            </a:rPr>
            <a:t>20</a:t>
          </a:r>
          <a:r>
            <a:rPr lang="ko-KR" altLang="en-US" sz="2000" b="1">
              <a:solidFill>
                <a:schemeClr val="tx1"/>
              </a:solidFill>
              <a:latin typeface="+mj-ea"/>
              <a:ea typeface="+mj-ea"/>
            </a:rPr>
            <a:t>일만에 끝내기</a:t>
          </a:r>
        </a:p>
      </xdr:txBody>
    </xdr:sp>
    <xdr:clientData/>
  </xdr:twoCellAnchor>
  <xdr:oneCellAnchor>
    <xdr:from>
      <xdr:col>7</xdr:col>
      <xdr:colOff>644955</xdr:colOff>
      <xdr:row>5</xdr:row>
      <xdr:rowOff>17241</xdr:rowOff>
    </xdr:from>
    <xdr:ext cx="693651" cy="890628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5445555" y="1088804"/>
          <a:ext cx="693651" cy="89062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US" altLang="ko-KR" sz="1400" b="1"/>
            <a:t>6</a:t>
          </a:r>
          <a:r>
            <a:rPr lang="ko-KR" altLang="en-US" sz="1400" b="1"/>
            <a:t>일차 </a:t>
          </a:r>
          <a:endParaRPr lang="en-US" altLang="ko-KR" sz="1400" b="1"/>
        </a:p>
        <a:p>
          <a:pPr algn="l"/>
          <a:r>
            <a:rPr lang="ko-KR" altLang="en-US" sz="1100" b="1"/>
            <a:t>차트</a:t>
          </a:r>
          <a:endParaRPr lang="en-US" altLang="ko-KR" sz="1100" b="1"/>
        </a:p>
        <a:p>
          <a:pPr algn="l"/>
          <a:r>
            <a:rPr lang="ko-KR" altLang="en-US" sz="1100" b="1"/>
            <a:t>매크로</a:t>
          </a:r>
        </a:p>
      </xdr:txBody>
    </xdr:sp>
    <xdr:clientData/>
  </xdr:oneCellAnchor>
  <xdr:twoCellAnchor>
    <xdr:from>
      <xdr:col>7</xdr:col>
      <xdr:colOff>542933</xdr:colOff>
      <xdr:row>7</xdr:row>
      <xdr:rowOff>9521</xdr:rowOff>
    </xdr:from>
    <xdr:to>
      <xdr:col>7</xdr:col>
      <xdr:colOff>638183</xdr:colOff>
      <xdr:row>7</xdr:row>
      <xdr:rowOff>104771</xdr:rowOff>
    </xdr:to>
    <xdr:sp macro="" textlink="">
      <xdr:nvSpPr>
        <xdr:cNvPr id="21" name="타원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5343533" y="1509709"/>
          <a:ext cx="95250" cy="95250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542933</xdr:colOff>
      <xdr:row>8</xdr:row>
      <xdr:rowOff>33334</xdr:rowOff>
    </xdr:from>
    <xdr:to>
      <xdr:col>7</xdr:col>
      <xdr:colOff>638183</xdr:colOff>
      <xdr:row>8</xdr:row>
      <xdr:rowOff>128584</xdr:rowOff>
    </xdr:to>
    <xdr:sp macro="" textlink="">
      <xdr:nvSpPr>
        <xdr:cNvPr id="22" name="타원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5343533" y="1747834"/>
          <a:ext cx="95250" cy="95250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11</xdr:col>
      <xdr:colOff>385762</xdr:colOff>
      <xdr:row>9</xdr:row>
      <xdr:rowOff>104775</xdr:rowOff>
    </xdr:from>
    <xdr:to>
      <xdr:col>13</xdr:col>
      <xdr:colOff>509598</xdr:colOff>
      <xdr:row>15</xdr:row>
      <xdr:rowOff>157172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929562" y="2033588"/>
          <a:ext cx="1495436" cy="1338272"/>
        </a:xfrm>
        <a:prstGeom prst="rect">
          <a:avLst/>
        </a:prstGeom>
      </xdr:spPr>
    </xdr:pic>
    <xdr:clientData/>
  </xdr:twoCellAnchor>
  <xdr:twoCellAnchor>
    <xdr:from>
      <xdr:col>6</xdr:col>
      <xdr:colOff>504825</xdr:colOff>
      <xdr:row>5</xdr:row>
      <xdr:rowOff>47625</xdr:rowOff>
    </xdr:from>
    <xdr:to>
      <xdr:col>10</xdr:col>
      <xdr:colOff>90488</xdr:colOff>
      <xdr:row>10</xdr:row>
      <xdr:rowOff>180975</xdr:rowOff>
    </xdr:to>
    <xdr:sp macro="" textlink="">
      <xdr:nvSpPr>
        <xdr:cNvPr id="25" name="직사각형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4619625" y="1119188"/>
          <a:ext cx="2328863" cy="1204912"/>
        </a:xfrm>
        <a:prstGeom prst="rect">
          <a:avLst/>
        </a:prstGeom>
        <a:noFill/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509587</xdr:colOff>
      <xdr:row>5</xdr:row>
      <xdr:rowOff>57150</xdr:rowOff>
    </xdr:from>
    <xdr:to>
      <xdr:col>7</xdr:col>
      <xdr:colOff>66675</xdr:colOff>
      <xdr:row>7</xdr:row>
      <xdr:rowOff>33337</xdr:rowOff>
    </xdr:to>
    <xdr:sp macro="" textlink="">
      <xdr:nvSpPr>
        <xdr:cNvPr id="26" name="직각 삼각형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 rot="5400000">
          <a:off x="4543425" y="1209675"/>
          <a:ext cx="404812" cy="242888"/>
        </a:xfrm>
        <a:prstGeom prst="rtTriangle">
          <a:avLst/>
        </a:prstGeom>
        <a:solidFill>
          <a:schemeClr val="accent5"/>
        </a:solidFill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519113</xdr:colOff>
      <xdr:row>8</xdr:row>
      <xdr:rowOff>209551</xdr:rowOff>
    </xdr:from>
    <xdr:to>
      <xdr:col>10</xdr:col>
      <xdr:colOff>76201</xdr:colOff>
      <xdr:row>10</xdr:row>
      <xdr:rowOff>185738</xdr:rowOff>
    </xdr:to>
    <xdr:sp macro="" textlink="">
      <xdr:nvSpPr>
        <xdr:cNvPr id="27" name="직각 삼각형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 rot="16200000">
          <a:off x="6610351" y="2005013"/>
          <a:ext cx="404812" cy="242888"/>
        </a:xfrm>
        <a:prstGeom prst="rtTriangle">
          <a:avLst/>
        </a:prstGeom>
        <a:solidFill>
          <a:schemeClr val="accent5"/>
        </a:solidFill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242887</xdr:colOff>
      <xdr:row>18</xdr:row>
      <xdr:rowOff>209550</xdr:rowOff>
    </xdr:from>
    <xdr:to>
      <xdr:col>10</xdr:col>
      <xdr:colOff>156238</xdr:colOff>
      <xdr:row>20</xdr:row>
      <xdr:rowOff>139356</xdr:rowOff>
    </xdr:to>
    <xdr:grpSp>
      <xdr:nvGrpSpPr>
        <xdr:cNvPr id="44" name="그룹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GrpSpPr/>
      </xdr:nvGrpSpPr>
      <xdr:grpSpPr>
        <a:xfrm>
          <a:off x="242887" y="4067175"/>
          <a:ext cx="6771351" cy="358431"/>
          <a:chOff x="4800600" y="4219575"/>
          <a:chExt cx="6771351" cy="358431"/>
        </a:xfrm>
      </xdr:grpSpPr>
      <xdr:sp macro="" textlink="">
        <xdr:nvSpPr>
          <xdr:cNvPr id="28" name="TextBox 2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 txBox="1"/>
        </xdr:nvSpPr>
        <xdr:spPr>
          <a:xfrm>
            <a:off x="5276638" y="4219575"/>
            <a:ext cx="6295313" cy="358431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ko-KR" altLang="en-US" sz="1200" b="1">
                <a:solidFill>
                  <a:sysClr val="windowText" lastClr="000000"/>
                </a:solidFill>
              </a:rPr>
              <a:t>본 저작물의 모든 저작권은 기풍쌤에게 있습니다</a:t>
            </a:r>
            <a:r>
              <a:rPr lang="en-US" altLang="ko-KR" sz="1200" b="1">
                <a:solidFill>
                  <a:sysClr val="windowText" lastClr="000000"/>
                </a:solidFill>
              </a:rPr>
              <a:t>. </a:t>
            </a:r>
            <a:r>
              <a:rPr lang="ko-KR" altLang="en-US" sz="1200" b="1">
                <a:solidFill>
                  <a:sysClr val="windowText" lastClr="000000"/>
                </a:solidFill>
              </a:rPr>
              <a:t>상업적인 용도로 이용이 불가능합니다</a:t>
            </a:r>
            <a:r>
              <a:rPr lang="en-US" altLang="ko-KR" sz="1200" b="1">
                <a:solidFill>
                  <a:sysClr val="windowText" lastClr="000000"/>
                </a:solidFill>
              </a:rPr>
              <a:t>.</a:t>
            </a:r>
            <a:endParaRPr lang="ko-KR" altLang="en-US" sz="1200" b="1">
              <a:solidFill>
                <a:sysClr val="windowText" lastClr="000000"/>
              </a:solidFill>
            </a:endParaRPr>
          </a:p>
        </xdr:txBody>
      </xdr:sp>
      <xdr:grpSp>
        <xdr:nvGrpSpPr>
          <xdr:cNvPr id="29" name="그룹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GrpSpPr/>
        </xdr:nvGrpSpPr>
        <xdr:grpSpPr>
          <a:xfrm>
            <a:off x="4800600" y="4286250"/>
            <a:ext cx="510265" cy="239162"/>
            <a:chOff x="4209080" y="6427828"/>
            <a:chExt cx="803999" cy="360000"/>
          </a:xfrm>
        </xdr:grpSpPr>
        <xdr:grpSp>
          <xdr:nvGrpSpPr>
            <xdr:cNvPr id="30" name="그룹 29">
              <a:extLst>
                <a:ext uri="{FF2B5EF4-FFF2-40B4-BE49-F238E27FC236}">
                  <a16:creationId xmlns:a16="http://schemas.microsoft.com/office/drawing/2014/main" id="{00000000-0008-0000-0000-00001E000000}"/>
                </a:ext>
              </a:extLst>
            </xdr:cNvPr>
            <xdr:cNvGrpSpPr/>
          </xdr:nvGrpSpPr>
          <xdr:grpSpPr>
            <a:xfrm>
              <a:off x="4209080" y="6427828"/>
              <a:ext cx="360000" cy="360000"/>
              <a:chOff x="4642793" y="1002891"/>
              <a:chExt cx="2306647" cy="2306647"/>
            </a:xfrm>
          </xdr:grpSpPr>
          <xdr:sp macro="" textlink="">
            <xdr:nvSpPr>
              <xdr:cNvPr id="38" name="타원 37">
                <a:extLst>
                  <a:ext uri="{FF2B5EF4-FFF2-40B4-BE49-F238E27FC236}">
                    <a16:creationId xmlns:a16="http://schemas.microsoft.com/office/drawing/2014/main" id="{00000000-0008-0000-0000-000026000000}"/>
                  </a:ext>
                </a:extLst>
              </xdr:cNvPr>
              <xdr:cNvSpPr/>
            </xdr:nvSpPr>
            <xdr:spPr>
              <a:xfrm>
                <a:off x="4642793" y="1002891"/>
                <a:ext cx="2306647" cy="2306647"/>
              </a:xfrm>
              <a:prstGeom prst="ellipse">
                <a:avLst/>
              </a:prstGeom>
              <a:solidFill>
                <a:schemeClr val="tx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39" name="타원 38">
                <a:extLst>
                  <a:ext uri="{FF2B5EF4-FFF2-40B4-BE49-F238E27FC236}">
                    <a16:creationId xmlns:a16="http://schemas.microsoft.com/office/drawing/2014/main" id="{00000000-0008-0000-0000-000027000000}"/>
                  </a:ext>
                </a:extLst>
              </xdr:cNvPr>
              <xdr:cNvSpPr/>
            </xdr:nvSpPr>
            <xdr:spPr>
              <a:xfrm>
                <a:off x="4837471" y="1197569"/>
                <a:ext cx="1917290" cy="1917290"/>
              </a:xfrm>
              <a:prstGeom prst="ellipse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grpSp>
            <xdr:nvGrpSpPr>
              <xdr:cNvPr id="40" name="그룹 39">
                <a:extLst>
                  <a:ext uri="{FF2B5EF4-FFF2-40B4-BE49-F238E27FC236}">
                    <a16:creationId xmlns:a16="http://schemas.microsoft.com/office/drawing/2014/main" id="{00000000-0008-0000-0000-000028000000}"/>
                  </a:ext>
                </a:extLst>
              </xdr:cNvPr>
              <xdr:cNvGrpSpPr/>
            </xdr:nvGrpSpPr>
            <xdr:grpSpPr>
              <a:xfrm>
                <a:off x="5465287" y="1348045"/>
                <a:ext cx="661659" cy="1616338"/>
                <a:chOff x="8123412" y="1171020"/>
                <a:chExt cx="1032387" cy="2521973"/>
              </a:xfrm>
            </xdr:grpSpPr>
            <xdr:sp macro="" textlink="">
              <xdr:nvSpPr>
                <xdr:cNvPr id="41" name="타원 40">
                  <a:extLst>
                    <a:ext uri="{FF2B5EF4-FFF2-40B4-BE49-F238E27FC236}">
                      <a16:creationId xmlns:a16="http://schemas.microsoft.com/office/drawing/2014/main" id="{00000000-0008-0000-0000-000029000000}"/>
                    </a:ext>
                  </a:extLst>
                </xdr:cNvPr>
                <xdr:cNvSpPr/>
              </xdr:nvSpPr>
              <xdr:spPr>
                <a:xfrm>
                  <a:off x="8343162" y="1171020"/>
                  <a:ext cx="592886" cy="592886"/>
                </a:xfrm>
                <a:prstGeom prst="ellipse">
                  <a:avLst/>
                </a:prstGeom>
                <a:solidFill>
                  <a:schemeClr val="tx1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ko-KR"/>
                  </a:defPPr>
                  <a:lvl1pPr marL="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ko-KR" altLang="en-US" sz="3200">
                    <a:solidFill>
                      <a:sysClr val="windowText" lastClr="000000"/>
                    </a:solidFill>
                  </a:endParaRPr>
                </a:p>
              </xdr:txBody>
            </xdr:sp>
            <xdr:sp macro="" textlink="">
              <xdr:nvSpPr>
                <xdr:cNvPr id="42" name="자유형: 도형 39">
                  <a:extLst>
                    <a:ext uri="{FF2B5EF4-FFF2-40B4-BE49-F238E27FC236}">
                      <a16:creationId xmlns:a16="http://schemas.microsoft.com/office/drawing/2014/main" id="{00000000-0008-0000-0000-00002A000000}"/>
                    </a:ext>
                  </a:extLst>
                </xdr:cNvPr>
                <xdr:cNvSpPr/>
              </xdr:nvSpPr>
              <xdr:spPr>
                <a:xfrm>
                  <a:off x="8123412" y="1840602"/>
                  <a:ext cx="1032387" cy="933571"/>
                </a:xfrm>
                <a:custGeom>
                  <a:avLst/>
                  <a:gdLst>
                    <a:gd name="connsiteX0" fmla="*/ 145763 w 1032387"/>
                    <a:gd name="connsiteY0" fmla="*/ 0 h 933571"/>
                    <a:gd name="connsiteX1" fmla="*/ 886624 w 1032387"/>
                    <a:gd name="connsiteY1" fmla="*/ 0 h 933571"/>
                    <a:gd name="connsiteX2" fmla="*/ 1032387 w 1032387"/>
                    <a:gd name="connsiteY2" fmla="*/ 145763 h 933571"/>
                    <a:gd name="connsiteX3" fmla="*/ 1032387 w 1032387"/>
                    <a:gd name="connsiteY3" fmla="*/ 933571 h 933571"/>
                    <a:gd name="connsiteX4" fmla="*/ 0 w 1032387"/>
                    <a:gd name="connsiteY4" fmla="*/ 933571 h 933571"/>
                    <a:gd name="connsiteX5" fmla="*/ 0 w 1032387"/>
                    <a:gd name="connsiteY5" fmla="*/ 145763 h 933571"/>
                    <a:gd name="connsiteX6" fmla="*/ 145763 w 1032387"/>
                    <a:gd name="connsiteY6" fmla="*/ 0 h 933571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</a:cxnLst>
                  <a:rect l="l" t="t" r="r" b="b"/>
                  <a:pathLst>
                    <a:path w="1032387" h="933571">
                      <a:moveTo>
                        <a:pt x="145763" y="0"/>
                      </a:moveTo>
                      <a:lnTo>
                        <a:pt x="886624" y="0"/>
                      </a:lnTo>
                      <a:cubicBezTo>
                        <a:pt x="967127" y="0"/>
                        <a:pt x="1032387" y="65260"/>
                        <a:pt x="1032387" y="145763"/>
                      </a:cubicBezTo>
                      <a:lnTo>
                        <a:pt x="1032387" y="933571"/>
                      </a:lnTo>
                      <a:lnTo>
                        <a:pt x="0" y="933571"/>
                      </a:lnTo>
                      <a:lnTo>
                        <a:pt x="0" y="145763"/>
                      </a:lnTo>
                      <a:cubicBezTo>
                        <a:pt x="0" y="65260"/>
                        <a:pt x="65260" y="0"/>
                        <a:pt x="145763" y="0"/>
                      </a:cubicBezTo>
                      <a:close/>
                    </a:path>
                  </a:pathLst>
                </a:custGeom>
                <a:solidFill>
                  <a:schemeClr val="tx1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>
                  <a:noAutofit/>
                </a:bodyPr>
                <a:lstStyle>
                  <a:defPPr>
                    <a:defRPr lang="ko-KR"/>
                  </a:defPPr>
                  <a:lvl1pPr marL="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ko-KR" altLang="en-US" sz="3200">
                    <a:solidFill>
                      <a:sysClr val="windowText" lastClr="000000"/>
                    </a:solidFill>
                  </a:endParaRPr>
                </a:p>
              </xdr:txBody>
            </xdr:sp>
            <xdr:sp macro="" textlink="">
              <xdr:nvSpPr>
                <xdr:cNvPr id="43" name="직사각형 42">
                  <a:extLst>
                    <a:ext uri="{FF2B5EF4-FFF2-40B4-BE49-F238E27FC236}">
                      <a16:creationId xmlns:a16="http://schemas.microsoft.com/office/drawing/2014/main" id="{00000000-0008-0000-0000-00002B000000}"/>
                    </a:ext>
                  </a:extLst>
                </xdr:cNvPr>
                <xdr:cNvSpPr/>
              </xdr:nvSpPr>
              <xdr:spPr>
                <a:xfrm>
                  <a:off x="8294493" y="2642908"/>
                  <a:ext cx="690224" cy="1050085"/>
                </a:xfrm>
                <a:prstGeom prst="rect">
                  <a:avLst/>
                </a:prstGeom>
                <a:solidFill>
                  <a:schemeClr val="tx1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ko-KR"/>
                  </a:defPPr>
                  <a:lvl1pPr marL="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ko-KR" altLang="en-US" sz="3200">
                    <a:solidFill>
                      <a:sysClr val="windowText" lastClr="000000"/>
                    </a:solidFill>
                  </a:endParaRPr>
                </a:p>
              </xdr:txBody>
            </xdr:sp>
          </xdr:grpSp>
        </xdr:grpSp>
        <xdr:grpSp>
          <xdr:nvGrpSpPr>
            <xdr:cNvPr id="31" name="그룹 30"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4653079" y="6427828"/>
              <a:ext cx="360000" cy="360000"/>
              <a:chOff x="4642793" y="3616305"/>
              <a:chExt cx="2306647" cy="2306647"/>
            </a:xfrm>
          </xdr:grpSpPr>
          <xdr:sp macro="" textlink="">
            <xdr:nvSpPr>
              <xdr:cNvPr id="32" name="타원 31">
                <a:extLst>
                  <a:ext uri="{FF2B5EF4-FFF2-40B4-BE49-F238E27FC236}">
                    <a16:creationId xmlns:a16="http://schemas.microsoft.com/office/drawing/2014/main" id="{00000000-0008-0000-0000-000020000000}"/>
                  </a:ext>
                </a:extLst>
              </xdr:cNvPr>
              <xdr:cNvSpPr/>
            </xdr:nvSpPr>
            <xdr:spPr>
              <a:xfrm>
                <a:off x="4642793" y="3616305"/>
                <a:ext cx="2306647" cy="2306647"/>
              </a:xfrm>
              <a:prstGeom prst="ellipse">
                <a:avLst/>
              </a:prstGeom>
              <a:solidFill>
                <a:schemeClr val="tx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33" name="타원 32">
                <a:extLst>
                  <a:ext uri="{FF2B5EF4-FFF2-40B4-BE49-F238E27FC236}">
                    <a16:creationId xmlns:a16="http://schemas.microsoft.com/office/drawing/2014/main" id="{00000000-0008-0000-0000-000021000000}"/>
                  </a:ext>
                </a:extLst>
              </xdr:cNvPr>
              <xdr:cNvSpPr/>
            </xdr:nvSpPr>
            <xdr:spPr>
              <a:xfrm>
                <a:off x="4837471" y="3810983"/>
                <a:ext cx="1917290" cy="1917290"/>
              </a:xfrm>
              <a:prstGeom prst="ellipse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0000000-0008-0000-0000-000022000000}"/>
                  </a:ext>
                </a:extLst>
              </xdr:cNvPr>
              <xdr:cNvSpPr/>
            </xdr:nvSpPr>
            <xdr:spPr>
              <a:xfrm>
                <a:off x="5740072" y="3938522"/>
                <a:ext cx="182880" cy="327659"/>
              </a:xfrm>
              <a:prstGeom prst="rect">
                <a:avLst/>
              </a:prstGeom>
              <a:solidFill>
                <a:schemeClr val="tx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35" name="직사각형 34">
                <a:extLst>
                  <a:ext uri="{FF2B5EF4-FFF2-40B4-BE49-F238E27FC236}">
                    <a16:creationId xmlns:a16="http://schemas.microsoft.com/office/drawing/2014/main" id="{00000000-0008-0000-0000-000023000000}"/>
                  </a:ext>
                </a:extLst>
              </xdr:cNvPr>
              <xdr:cNvSpPr/>
            </xdr:nvSpPr>
            <xdr:spPr>
              <a:xfrm>
                <a:off x="5740072" y="5223913"/>
                <a:ext cx="182880" cy="327659"/>
              </a:xfrm>
              <a:prstGeom prst="rect">
                <a:avLst/>
              </a:prstGeom>
              <a:solidFill>
                <a:schemeClr val="tx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36" name="직사각형 35">
                <a:extLst>
                  <a:ext uri="{FF2B5EF4-FFF2-40B4-BE49-F238E27FC236}">
                    <a16:creationId xmlns:a16="http://schemas.microsoft.com/office/drawing/2014/main" id="{00000000-0008-0000-0000-000024000000}"/>
                  </a:ext>
                </a:extLst>
              </xdr:cNvPr>
              <xdr:cNvSpPr/>
            </xdr:nvSpPr>
            <xdr:spPr>
              <a:xfrm rot="1800000">
                <a:off x="4706710" y="4611718"/>
                <a:ext cx="2208308" cy="253672"/>
              </a:xfrm>
              <a:prstGeom prst="rect">
                <a:avLst/>
              </a:prstGeom>
              <a:solidFill>
                <a:schemeClr val="tx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7" name="그래픽 47">
                <a:extLst>
                  <a:ext uri="{FF2B5EF4-FFF2-40B4-BE49-F238E27FC236}">
                    <a16:creationId xmlns:a16="http://schemas.microsoft.com/office/drawing/2014/main" id="{00000000-0008-0000-0000-00002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extLs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xdr:blipFill>
            <xdr:spPr>
              <a:xfrm>
                <a:off x="5340029" y="4097447"/>
                <a:ext cx="986313" cy="1315083"/>
              </a:xfrm>
              <a:prstGeom prst="rect">
                <a:avLst/>
              </a:prstGeom>
            </xdr:spPr>
          </xdr:pic>
        </xdr:grpSp>
      </xdr:grpSp>
    </xdr:grpSp>
    <xdr:clientData/>
  </xdr:twoCellAnchor>
  <xdr:oneCellAnchor>
    <xdr:from>
      <xdr:col>1</xdr:col>
      <xdr:colOff>33337</xdr:colOff>
      <xdr:row>20</xdr:row>
      <xdr:rowOff>19050</xdr:rowOff>
    </xdr:from>
    <xdr:ext cx="4392613" cy="336246"/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 txBox="1"/>
      </xdr:nvSpPr>
      <xdr:spPr>
        <a:xfrm>
          <a:off x="719137" y="4305300"/>
          <a:ext cx="4392613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ko-KR" altLang="en-US" sz="1100" b="1">
              <a:solidFill>
                <a:schemeClr val="accent5"/>
              </a:solidFill>
            </a:rPr>
            <a:t>유튜브 용으로 사용하실 경우 출처만 밝혀 주시면 감사하겠습니다</a:t>
          </a:r>
          <a:r>
            <a:rPr lang="en-US" altLang="ko-KR" sz="1100" b="1">
              <a:solidFill>
                <a:schemeClr val="accent5"/>
              </a:solidFill>
            </a:rPr>
            <a:t>.^^</a:t>
          </a:r>
          <a:endParaRPr lang="ko-KR" altLang="en-US" sz="1100" b="1">
            <a:solidFill>
              <a:schemeClr val="accent5"/>
            </a:solidFill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3</xdr:row>
      <xdr:rowOff>1</xdr:rowOff>
    </xdr:from>
    <xdr:to>
      <xdr:col>19</xdr:col>
      <xdr:colOff>0</xdr:colOff>
      <xdr:row>21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11</xdr:row>
      <xdr:rowOff>1</xdr:rowOff>
    </xdr:from>
    <xdr:to>
      <xdr:col>10</xdr:col>
      <xdr:colOff>1</xdr:colOff>
      <xdr:row>28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8</xdr:col>
      <xdr:colOff>0</xdr:colOff>
      <xdr:row>21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7</xdr:row>
      <xdr:rowOff>0</xdr:rowOff>
    </xdr:from>
    <xdr:to>
      <xdr:col>9</xdr:col>
      <xdr:colOff>0</xdr:colOff>
      <xdr:row>21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4762</xdr:rowOff>
    </xdr:from>
    <xdr:to>
      <xdr:col>7</xdr:col>
      <xdr:colOff>0</xdr:colOff>
      <xdr:row>22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0</xdr:rowOff>
    </xdr:from>
    <xdr:to>
      <xdr:col>6</xdr:col>
      <xdr:colOff>0</xdr:colOff>
      <xdr:row>24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7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그래프보기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8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서식해제1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666750</xdr:colOff>
          <xdr:row>4</xdr:row>
          <xdr:rowOff>0</xdr:rowOff>
        </xdr:from>
        <xdr:to>
          <xdr:col>9</xdr:col>
          <xdr:colOff>881063</xdr:colOff>
          <xdr:row>6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별표보기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1</xdr:rowOff>
    </xdr:from>
    <xdr:to>
      <xdr:col>11</xdr:col>
      <xdr:colOff>0</xdr:colOff>
      <xdr:row>2</xdr:row>
      <xdr:rowOff>209551</xdr:rowOff>
    </xdr:to>
    <xdr:sp macro="[0]!서식" textlink="">
      <xdr:nvSpPr>
        <xdr:cNvPr id="2" name="직사각형 1">
          <a:extLst>
            <a:ext uri="{FF2B5EF4-FFF2-40B4-BE49-F238E27FC236}">
              <a16:creationId xmlns:a16="http://schemas.microsoft.com/office/drawing/2014/main" id="{8628BB06-D0C5-7A99-E752-A0E7D42F081F}"/>
            </a:ext>
          </a:extLst>
        </xdr:cNvPr>
        <xdr:cNvSpPr/>
      </xdr:nvSpPr>
      <xdr:spPr>
        <a:xfrm>
          <a:off x="7334250" y="214314"/>
          <a:ext cx="1371600" cy="423862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A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그라데이션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B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점수표시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4</xdr:row>
      <xdr:rowOff>0</xdr:rowOff>
    </xdr:from>
    <xdr:to>
      <xdr:col>9</xdr:col>
      <xdr:colOff>0</xdr:colOff>
      <xdr:row>6</xdr:row>
      <xdr:rowOff>0</xdr:rowOff>
    </xdr:to>
    <xdr:sp macro="[0]!화살표" textlink="">
      <xdr:nvSpPr>
        <xdr:cNvPr id="2" name="사각형: 빗면 1">
          <a:extLst>
            <a:ext uri="{FF2B5EF4-FFF2-40B4-BE49-F238E27FC236}">
              <a16:creationId xmlns:a16="http://schemas.microsoft.com/office/drawing/2014/main" id="{51D097F7-2725-563C-4224-E5978DA5E33B}"/>
            </a:ext>
          </a:extLst>
        </xdr:cNvPr>
        <xdr:cNvSpPr/>
      </xdr:nvSpPr>
      <xdr:spPr>
        <a:xfrm>
          <a:off x="4724400" y="857250"/>
          <a:ext cx="1371600" cy="428625"/>
        </a:xfrm>
        <a:prstGeom prst="bevel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화살표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</xdr:row>
      <xdr:rowOff>0</xdr:rowOff>
    </xdr:from>
    <xdr:to>
      <xdr:col>7</xdr:col>
      <xdr:colOff>676275</xdr:colOff>
      <xdr:row>3</xdr:row>
      <xdr:rowOff>195262</xdr:rowOff>
    </xdr:to>
    <xdr:sp macro="[0]!서식적용4" textlink="">
      <xdr:nvSpPr>
        <xdr:cNvPr id="2" name="사각형: 빗면 1">
          <a:extLst>
            <a:ext uri="{FF2B5EF4-FFF2-40B4-BE49-F238E27FC236}">
              <a16:creationId xmlns:a16="http://schemas.microsoft.com/office/drawing/2014/main" id="{B26401F3-0797-6FCC-F517-F88A286DE5F6}"/>
            </a:ext>
          </a:extLst>
        </xdr:cNvPr>
        <xdr:cNvSpPr/>
      </xdr:nvSpPr>
      <xdr:spPr>
        <a:xfrm>
          <a:off x="5962650" y="428625"/>
          <a:ext cx="1362075" cy="409575"/>
        </a:xfrm>
        <a:prstGeom prst="bevel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서식적용</a:t>
          </a:r>
          <a:r>
            <a:rPr lang="en-US" altLang="ko-KR" sz="1100"/>
            <a:t>4</a:t>
          </a:r>
          <a:endParaRPr lang="ko-KR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8</xdr:col>
          <xdr:colOff>0</xdr:colOff>
          <xdr:row>7</xdr:row>
          <xdr:rowOff>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C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서식해제2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D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D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서식해제3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E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5</xdr:row>
          <xdr:rowOff>0</xdr:rowOff>
        </xdr:from>
        <xdr:to>
          <xdr:col>9</xdr:col>
          <xdr:colOff>0</xdr:colOff>
          <xdr:row>7</xdr:row>
          <xdr:rowOff>4763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E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서식해제4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F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서식적용7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0</xdr:colOff>
      <xdr:row>4</xdr:row>
      <xdr:rowOff>0</xdr:rowOff>
    </xdr:from>
    <xdr:to>
      <xdr:col>11</xdr:col>
      <xdr:colOff>0</xdr:colOff>
      <xdr:row>6</xdr:row>
      <xdr:rowOff>0</xdr:rowOff>
    </xdr:to>
    <xdr:sp macro="[0]!신호등" textlink="">
      <xdr:nvSpPr>
        <xdr:cNvPr id="2" name="직사각형 1">
          <a:extLst>
            <a:ext uri="{FF2B5EF4-FFF2-40B4-BE49-F238E27FC236}">
              <a16:creationId xmlns:a16="http://schemas.microsoft.com/office/drawing/2014/main" id="{E5A7BE2B-86BE-C6D3-DCD7-DBACF1DFEEA6}"/>
            </a:ext>
          </a:extLst>
        </xdr:cNvPr>
        <xdr:cNvSpPr/>
      </xdr:nvSpPr>
      <xdr:spPr>
        <a:xfrm>
          <a:off x="6534150" y="857250"/>
          <a:ext cx="1371600" cy="42862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신호등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10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10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서식해제5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issi/Downloads/1&#44553;&#49892;&#44592;_&#50641;&#49472;_2021&#45380;_&#49345;&#49884;1&#54924;_&#47928;&#51228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기본작업-1"/>
      <sheetName val="기본작업-2"/>
      <sheetName val="계산작업"/>
      <sheetName val="분석작업-1"/>
      <sheetName val="분석작업-2"/>
      <sheetName val="기타작업-1"/>
      <sheetName val="기타작업-2"/>
      <sheetName val="기타작업-3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noFill/>
        <a:ln>
          <a:solidFill>
            <a:srgbClr val="FF0000"/>
          </a:solidFill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>
        <a:ln w="12700">
          <a:solidFill>
            <a:srgbClr val="FF0000"/>
          </a:solidFill>
          <a:tailEnd type="triangle"/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externalLinkPath" Target="/&#49457;&#50672;&#51452;/&#52980;&#54876;2016/&#50641;&#49472;&#47928;&#51228;/&#44060;&#51064;&#48324;&#49548;&#46301;&#44277;&#51228;&#49888;&#52397;(&#51032;&#47308;&#48708;).xlsm" TargetMode="External"/><Relationship Id="rId7" Type="http://schemas.openxmlformats.org/officeDocument/2006/relationships/ctrlProp" Target="../ctrlProps/ctrlProp3.xml"/><Relationship Id="rId2" Type="http://schemas.openxmlformats.org/officeDocument/2006/relationships/externalLinkPath" Target="/&#49457;&#50672;&#51452;/&#52980;&#54876;2016/&#50641;&#49472;&#47928;&#51228;/&#44060;&#51064;&#48324;&#49548;&#46301;&#44277;&#51228;&#49888;&#52397;(&#51032;&#47308;&#48708;).xlsm" TargetMode="External"/><Relationship Id="rId1" Type="http://schemas.openxmlformats.org/officeDocument/2006/relationships/externalLinkPath" Target="/&#49457;&#50672;&#51452;/&#52980;&#54876;2016/&#50641;&#49472;&#47928;&#51228;/&#44060;&#51064;&#48324;&#49548;&#46301;&#44277;&#51228;&#49888;&#52397;(&#51032;&#47308;&#48708;).xlsm" TargetMode="External"/><Relationship Id="rId6" Type="http://schemas.openxmlformats.org/officeDocument/2006/relationships/vmlDrawing" Target="../drawings/vmlDrawing2.vml"/><Relationship Id="rId5" Type="http://schemas.openxmlformats.org/officeDocument/2006/relationships/drawing" Target="../drawings/drawing9.xml"/><Relationship Id="rId4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4.xml"/><Relationship Id="rId4" Type="http://schemas.openxmlformats.org/officeDocument/2006/relationships/ctrlProp" Target="../ctrlProps/ctrlProp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5.xml"/><Relationship Id="rId4" Type="http://schemas.openxmlformats.org/officeDocument/2006/relationships/ctrlProp" Target="../ctrlProps/ctrlProp1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7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showGridLines="0" workbookViewId="0">
      <selection activeCell="G12" sqref="G12"/>
    </sheetView>
  </sheetViews>
  <sheetFormatPr defaultRowHeight="16.899999999999999"/>
  <sheetData/>
  <sheetProtection algorithmName="SHA-512" hashValue="pU0/dr0rmBfPh9hNWWsPAS39NQhsVUqYNnM7aYSQ90ElhkEtHGdPUjwTKqhKe8zH30vH1tdo962iWhT1TCrlbg==" saltValue="Jfiqqri0dj2Ek9z4IztEvA==" spinCount="100000" sheet="1" objects="1" scenarios="1"/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I21"/>
  <sheetViews>
    <sheetView topLeftCell="D1" zoomScaleNormal="100" workbookViewId="0">
      <selection activeCell="J1" sqref="J1"/>
    </sheetView>
  </sheetViews>
  <sheetFormatPr defaultColWidth="9" defaultRowHeight="16.899999999999999"/>
  <cols>
    <col min="1" max="1" width="9" style="13"/>
    <col min="2" max="9" width="9" style="1"/>
    <col min="10" max="16384" width="9" style="13"/>
  </cols>
  <sheetData>
    <row r="2" spans="2:9" ht="27">
      <c r="B2" s="12" t="s">
        <v>45</v>
      </c>
      <c r="C2" s="12"/>
      <c r="D2" s="12"/>
      <c r="E2" s="12"/>
      <c r="F2" s="12"/>
      <c r="G2" s="12"/>
      <c r="H2" s="12"/>
      <c r="I2" s="12"/>
    </row>
    <row r="4" spans="2:9" ht="16.5" customHeight="1">
      <c r="B4" s="94" t="s">
        <v>46</v>
      </c>
      <c r="C4" s="14" t="s">
        <v>47</v>
      </c>
      <c r="D4" s="94" t="s">
        <v>48</v>
      </c>
      <c r="E4" s="94" t="s">
        <v>49</v>
      </c>
      <c r="F4" s="94" t="s">
        <v>50</v>
      </c>
      <c r="G4" s="94"/>
      <c r="H4" s="94" t="s">
        <v>51</v>
      </c>
      <c r="I4" s="94"/>
    </row>
    <row r="5" spans="2:9">
      <c r="B5" s="94"/>
      <c r="C5" s="14" t="s">
        <v>52</v>
      </c>
      <c r="D5" s="94"/>
      <c r="E5" s="94"/>
      <c r="F5" s="14" t="s">
        <v>53</v>
      </c>
      <c r="G5" s="14" t="s">
        <v>54</v>
      </c>
      <c r="H5" s="14" t="s">
        <v>55</v>
      </c>
      <c r="I5" s="14" t="s">
        <v>56</v>
      </c>
    </row>
    <row r="6" spans="2:9">
      <c r="B6" s="15">
        <v>43908</v>
      </c>
      <c r="C6" s="16">
        <v>1162.5</v>
      </c>
      <c r="D6" s="17" t="s">
        <v>57</v>
      </c>
      <c r="E6" s="18">
        <v>-6.4000000000000003E-3</v>
      </c>
      <c r="F6" s="19">
        <v>1182.8399999999999</v>
      </c>
      <c r="G6" s="19">
        <v>1142.1600000000001</v>
      </c>
      <c r="H6" s="19">
        <v>1173.8</v>
      </c>
      <c r="I6" s="19">
        <v>1151.2</v>
      </c>
    </row>
    <row r="7" spans="2:9">
      <c r="B7" s="15">
        <v>43907</v>
      </c>
      <c r="C7" s="16">
        <v>1170</v>
      </c>
      <c r="D7" s="17" t="s">
        <v>58</v>
      </c>
      <c r="E7" s="18">
        <v>-1.9599999999999999E-2</v>
      </c>
      <c r="F7" s="19">
        <v>1190.47</v>
      </c>
      <c r="G7" s="19">
        <v>1149.53</v>
      </c>
      <c r="H7" s="19">
        <v>1181.4000000000001</v>
      </c>
      <c r="I7" s="19">
        <v>1158.5999999999999</v>
      </c>
    </row>
    <row r="8" spans="2:9">
      <c r="B8" s="15">
        <v>43906</v>
      </c>
      <c r="C8" s="16">
        <v>1193.4000000000001</v>
      </c>
      <c r="D8" s="20" t="s">
        <v>59</v>
      </c>
      <c r="E8" s="21">
        <v>2.8999999999999998E-3</v>
      </c>
      <c r="F8" s="19">
        <v>1214.28</v>
      </c>
      <c r="G8" s="19">
        <v>1172.52</v>
      </c>
      <c r="H8" s="19">
        <v>1205</v>
      </c>
      <c r="I8" s="19">
        <v>1181.8</v>
      </c>
    </row>
    <row r="9" spans="2:9">
      <c r="B9" s="15">
        <v>43905</v>
      </c>
      <c r="C9" s="16">
        <v>1190</v>
      </c>
      <c r="D9" s="20" t="s">
        <v>60</v>
      </c>
      <c r="E9" s="21">
        <v>2.0999999999999999E-3</v>
      </c>
      <c r="F9" s="19">
        <v>1210.82</v>
      </c>
      <c r="G9" s="19">
        <v>1169.18</v>
      </c>
      <c r="H9" s="19">
        <v>1201.5999999999999</v>
      </c>
      <c r="I9" s="19">
        <v>1178.4000000000001</v>
      </c>
    </row>
    <row r="10" spans="2:9">
      <c r="B10" s="15">
        <v>43904</v>
      </c>
      <c r="C10" s="16">
        <v>1187.5</v>
      </c>
      <c r="D10" s="17" t="s">
        <v>61</v>
      </c>
      <c r="E10" s="18">
        <v>-5.4000000000000003E-3</v>
      </c>
      <c r="F10" s="19">
        <v>1208.28</v>
      </c>
      <c r="G10" s="19">
        <v>1166.72</v>
      </c>
      <c r="H10" s="19">
        <v>1199.0999999999999</v>
      </c>
      <c r="I10" s="19">
        <v>1175.9000000000001</v>
      </c>
    </row>
    <row r="13" spans="2:9" ht="27">
      <c r="B13" s="12" t="s">
        <v>62</v>
      </c>
      <c r="C13" s="12"/>
      <c r="D13" s="12"/>
      <c r="E13" s="12"/>
      <c r="F13" s="12"/>
      <c r="G13" s="12"/>
      <c r="H13" s="12"/>
      <c r="I13" s="12"/>
    </row>
    <row r="15" spans="2:9">
      <c r="B15" s="94" t="s">
        <v>46</v>
      </c>
      <c r="C15" s="14" t="s">
        <v>47</v>
      </c>
      <c r="D15" s="94" t="s">
        <v>48</v>
      </c>
      <c r="E15" s="94" t="s">
        <v>49</v>
      </c>
      <c r="F15" s="94" t="s">
        <v>50</v>
      </c>
      <c r="G15" s="94"/>
      <c r="H15" s="94" t="s">
        <v>51</v>
      </c>
      <c r="I15" s="94"/>
    </row>
    <row r="16" spans="2:9">
      <c r="B16" s="94"/>
      <c r="C16" s="14" t="s">
        <v>52</v>
      </c>
      <c r="D16" s="94"/>
      <c r="E16" s="94"/>
      <c r="F16" s="14" t="s">
        <v>53</v>
      </c>
      <c r="G16" s="14" t="s">
        <v>54</v>
      </c>
      <c r="H16" s="14" t="s">
        <v>55</v>
      </c>
      <c r="I16" s="14" t="s">
        <v>56</v>
      </c>
    </row>
    <row r="17" spans="2:9">
      <c r="B17" s="15">
        <v>43908</v>
      </c>
      <c r="C17" s="16">
        <v>179</v>
      </c>
      <c r="D17" s="17" t="s">
        <v>63</v>
      </c>
      <c r="E17" s="18">
        <v>8.0999999999999996E-3</v>
      </c>
      <c r="F17" s="19">
        <v>191.53</v>
      </c>
      <c r="G17" s="19">
        <v>170.05</v>
      </c>
      <c r="H17" s="19">
        <v>180.79</v>
      </c>
      <c r="I17" s="19">
        <v>177.21</v>
      </c>
    </row>
    <row r="18" spans="2:9">
      <c r="B18" s="15">
        <v>43907</v>
      </c>
      <c r="C18" s="16">
        <v>177.57</v>
      </c>
      <c r="D18" s="17" t="s">
        <v>64</v>
      </c>
      <c r="E18" s="18">
        <v>-2.3999999999999998E-3</v>
      </c>
      <c r="F18" s="19">
        <v>189.99</v>
      </c>
      <c r="G18" s="19">
        <v>168.7</v>
      </c>
      <c r="H18" s="19">
        <v>179.34</v>
      </c>
      <c r="I18" s="19">
        <v>175.8</v>
      </c>
    </row>
    <row r="19" spans="2:9">
      <c r="B19" s="15">
        <v>43906</v>
      </c>
      <c r="C19" s="16">
        <v>178</v>
      </c>
      <c r="D19" s="20" t="s">
        <v>65</v>
      </c>
      <c r="E19" s="21">
        <v>0.01</v>
      </c>
      <c r="F19" s="19">
        <v>190.46</v>
      </c>
      <c r="G19" s="19">
        <v>169.1</v>
      </c>
      <c r="H19" s="19">
        <v>179.78</v>
      </c>
      <c r="I19" s="19">
        <v>176.22</v>
      </c>
    </row>
    <row r="20" spans="2:9">
      <c r="B20" s="15">
        <v>43905</v>
      </c>
      <c r="C20" s="16">
        <v>176.24</v>
      </c>
      <c r="D20" s="20" t="s">
        <v>66</v>
      </c>
      <c r="E20" s="21">
        <v>-4.1999999999999997E-3</v>
      </c>
      <c r="F20" s="19">
        <v>188.57</v>
      </c>
      <c r="G20" s="19">
        <v>167.43</v>
      </c>
      <c r="H20" s="19">
        <v>178</v>
      </c>
      <c r="I20" s="19">
        <v>174.48</v>
      </c>
    </row>
    <row r="21" spans="2:9">
      <c r="B21" s="15">
        <v>43904</v>
      </c>
      <c r="C21" s="16">
        <v>176.99</v>
      </c>
      <c r="D21" s="17" t="s">
        <v>67</v>
      </c>
      <c r="E21" s="18">
        <v>-1.06E-2</v>
      </c>
      <c r="F21" s="19">
        <v>189.37</v>
      </c>
      <c r="G21" s="19">
        <v>168.15</v>
      </c>
      <c r="H21" s="19">
        <v>178.75</v>
      </c>
      <c r="I21" s="19">
        <v>175.23</v>
      </c>
    </row>
  </sheetData>
  <mergeCells count="10">
    <mergeCell ref="B4:B5"/>
    <mergeCell ref="D4:D5"/>
    <mergeCell ref="E4:E5"/>
    <mergeCell ref="F4:G4"/>
    <mergeCell ref="H4:I4"/>
    <mergeCell ref="B15:B16"/>
    <mergeCell ref="D15:D16"/>
    <mergeCell ref="E15:E16"/>
    <mergeCell ref="F15:G15"/>
    <mergeCell ref="H15:I15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B1:J9"/>
  <sheetViews>
    <sheetView topLeftCell="A7" zoomScaleNormal="100" workbookViewId="0">
      <selection activeCell="K11" sqref="K11"/>
    </sheetView>
  </sheetViews>
  <sheetFormatPr defaultRowHeight="16.899999999999999"/>
  <sheetData>
    <row r="1" spans="2:10" ht="18.75" customHeight="1"/>
    <row r="2" spans="2:10" ht="38.450000000000003" customHeight="1">
      <c r="B2" s="50" t="s">
        <v>114</v>
      </c>
      <c r="C2" s="49"/>
      <c r="D2" s="49"/>
      <c r="E2" s="49"/>
      <c r="F2" s="49"/>
      <c r="G2" s="49"/>
      <c r="H2" s="49"/>
      <c r="I2" s="49"/>
      <c r="J2" s="49"/>
    </row>
    <row r="3" spans="2:10" ht="19.149999999999999">
      <c r="B3" s="48"/>
      <c r="C3" s="47">
        <v>2012</v>
      </c>
      <c r="D3" s="47">
        <v>2013</v>
      </c>
      <c r="E3" s="47">
        <v>2014</v>
      </c>
      <c r="F3" s="47">
        <v>2015</v>
      </c>
      <c r="G3" s="47">
        <v>2016</v>
      </c>
      <c r="H3" s="47">
        <v>2017</v>
      </c>
      <c r="I3" s="47">
        <v>2018</v>
      </c>
      <c r="J3" s="47">
        <v>2019</v>
      </c>
    </row>
    <row r="4" spans="2:10" ht="19.149999999999999">
      <c r="B4" s="46" t="s">
        <v>14</v>
      </c>
      <c r="C4" s="45">
        <v>4.7</v>
      </c>
      <c r="D4" s="45">
        <v>4.8</v>
      </c>
      <c r="E4" s="45">
        <v>4.8</v>
      </c>
      <c r="F4" s="45">
        <v>4.7</v>
      </c>
      <c r="G4" s="45">
        <v>4.5999999999999996</v>
      </c>
      <c r="H4" s="45">
        <v>4.5999999999999996</v>
      </c>
      <c r="I4" s="45">
        <v>4.7</v>
      </c>
      <c r="J4" s="45">
        <v>4.0999999999999996</v>
      </c>
    </row>
    <row r="5" spans="2:10" ht="19.149999999999999">
      <c r="B5" s="46" t="s">
        <v>15</v>
      </c>
      <c r="C5" s="45">
        <v>5.7</v>
      </c>
      <c r="D5" s="45">
        <v>5.5</v>
      </c>
      <c r="E5" s="45">
        <v>5.0999999999999996</v>
      </c>
      <c r="F5" s="45">
        <v>4.7</v>
      </c>
      <c r="G5" s="45">
        <v>4.4000000000000004</v>
      </c>
      <c r="H5" s="45">
        <v>4.9000000000000004</v>
      </c>
      <c r="I5" s="45">
        <v>5</v>
      </c>
      <c r="J5" s="45">
        <v>4.9000000000000004</v>
      </c>
    </row>
    <row r="6" spans="2:10" ht="19.149999999999999">
      <c r="B6" s="46" t="s">
        <v>17</v>
      </c>
      <c r="C6" s="45">
        <v>5.5</v>
      </c>
      <c r="D6" s="45">
        <v>5.7</v>
      </c>
      <c r="E6" s="45">
        <v>4.9000000000000004</v>
      </c>
      <c r="F6" s="45">
        <v>5</v>
      </c>
      <c r="G6" s="45">
        <v>4.5999999999999996</v>
      </c>
      <c r="H6" s="45">
        <v>4.7</v>
      </c>
      <c r="I6" s="45">
        <v>5</v>
      </c>
      <c r="J6" s="45">
        <v>5</v>
      </c>
    </row>
    <row r="7" spans="2:10" ht="19.149999999999999">
      <c r="B7" s="46" t="s">
        <v>38</v>
      </c>
      <c r="C7" s="45">
        <v>5.4</v>
      </c>
      <c r="D7" s="45">
        <v>4.8</v>
      </c>
      <c r="E7" s="45">
        <v>4.8</v>
      </c>
      <c r="F7" s="45">
        <v>4.7</v>
      </c>
      <c r="G7" s="45">
        <v>4.5999999999999996</v>
      </c>
      <c r="H7" s="45">
        <v>4.7</v>
      </c>
      <c r="I7" s="45">
        <v>4.5</v>
      </c>
      <c r="J7" s="45">
        <v>4.4000000000000004</v>
      </c>
    </row>
    <row r="8" spans="2:10" ht="19.149999999999999">
      <c r="B8" s="46" t="s">
        <v>16</v>
      </c>
      <c r="C8" s="45">
        <v>5.2</v>
      </c>
      <c r="D8" s="45">
        <v>4.9000000000000004</v>
      </c>
      <c r="E8" s="45">
        <v>4.7</v>
      </c>
      <c r="F8" s="45">
        <v>4.9000000000000004</v>
      </c>
      <c r="G8" s="45">
        <v>5</v>
      </c>
      <c r="H8" s="45">
        <v>5.2</v>
      </c>
      <c r="I8" s="45">
        <v>5.2</v>
      </c>
      <c r="J8" s="45">
        <v>5.2</v>
      </c>
    </row>
    <row r="9" spans="2:10" ht="19.149999999999999">
      <c r="B9" s="46" t="s">
        <v>34</v>
      </c>
      <c r="C9" s="45">
        <v>4.7</v>
      </c>
      <c r="D9" s="45">
        <v>4.7</v>
      </c>
      <c r="E9" s="45">
        <v>4.5</v>
      </c>
      <c r="F9" s="45">
        <v>4.5999999999999996</v>
      </c>
      <c r="G9" s="45">
        <v>4.3</v>
      </c>
      <c r="H9" s="45">
        <v>4.9000000000000004</v>
      </c>
      <c r="I9" s="45">
        <v>4.7</v>
      </c>
      <c r="J9" s="45">
        <v>4.8</v>
      </c>
    </row>
  </sheetData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2:H7"/>
  <sheetViews>
    <sheetView zoomScaleNormal="100" workbookViewId="0">
      <selection activeCell="J5" sqref="J5"/>
    </sheetView>
  </sheetViews>
  <sheetFormatPr defaultRowHeight="16.899999999999999"/>
  <cols>
    <col min="1" max="1" width="1.625" customWidth="1"/>
    <col min="3" max="4" width="9.75" bestFit="1" customWidth="1"/>
    <col min="5" max="8" width="10.875" bestFit="1" customWidth="1"/>
  </cols>
  <sheetData>
    <row r="2" spans="2:8">
      <c r="B2" t="s">
        <v>123</v>
      </c>
      <c r="H2" t="s">
        <v>124</v>
      </c>
    </row>
    <row r="3" spans="2:8">
      <c r="B3" s="8"/>
      <c r="C3" s="59">
        <v>1970</v>
      </c>
      <c r="D3" s="59">
        <v>1980</v>
      </c>
      <c r="E3" s="59">
        <v>1990</v>
      </c>
      <c r="F3" s="59">
        <v>2000</v>
      </c>
      <c r="G3" s="59">
        <v>2010</v>
      </c>
      <c r="H3" s="59">
        <v>2020</v>
      </c>
    </row>
    <row r="4" spans="2:8">
      <c r="B4" s="11" t="s">
        <v>125</v>
      </c>
      <c r="C4" s="60">
        <v>2037.56</v>
      </c>
      <c r="D4" s="60">
        <v>9465.3799999999992</v>
      </c>
      <c r="E4" s="60">
        <v>25359.35</v>
      </c>
      <c r="F4" s="60">
        <v>38532.04</v>
      </c>
      <c r="G4" s="60">
        <v>44507.68</v>
      </c>
      <c r="H4" s="60">
        <v>40246.879999999997</v>
      </c>
    </row>
    <row r="5" spans="2:8">
      <c r="B5" s="11" t="s">
        <v>126</v>
      </c>
      <c r="C5" s="60">
        <v>279.3</v>
      </c>
      <c r="D5" s="60">
        <v>1715.43</v>
      </c>
      <c r="E5" s="60">
        <v>6610.04</v>
      </c>
      <c r="F5" s="60">
        <v>12256.99</v>
      </c>
      <c r="G5" s="60">
        <v>23087.23</v>
      </c>
      <c r="H5" s="60">
        <v>31846.22</v>
      </c>
    </row>
    <row r="6" spans="2:8">
      <c r="B6" s="11" t="s">
        <v>127</v>
      </c>
      <c r="C6" s="60">
        <v>113.16</v>
      </c>
      <c r="D6" s="60">
        <v>194.8</v>
      </c>
      <c r="E6" s="60">
        <v>317.88</v>
      </c>
      <c r="F6" s="60">
        <v>959.37</v>
      </c>
      <c r="G6" s="60">
        <v>4550.45</v>
      </c>
      <c r="H6" s="60">
        <v>10261.68</v>
      </c>
    </row>
    <row r="7" spans="2:8">
      <c r="G7" s="95" t="s">
        <v>128</v>
      </c>
      <c r="H7" s="95"/>
    </row>
  </sheetData>
  <mergeCells count="1">
    <mergeCell ref="G7:H7"/>
  </mergeCells>
  <phoneticPr fontId="2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B2:M5"/>
  <sheetViews>
    <sheetView zoomScaleNormal="100" workbookViewId="0">
      <selection activeCell="L9" sqref="L9"/>
    </sheetView>
  </sheetViews>
  <sheetFormatPr defaultRowHeight="16.899999999999999"/>
  <cols>
    <col min="1" max="1" width="1.625" customWidth="1"/>
    <col min="2" max="2" width="12.375" customWidth="1"/>
    <col min="3" max="3" width="7.75" customWidth="1"/>
    <col min="4" max="4" width="11.5" customWidth="1"/>
    <col min="5" max="11" width="7.75" customWidth="1"/>
    <col min="12" max="12" width="11.5" customWidth="1"/>
    <col min="13" max="13" width="7.75" customWidth="1"/>
  </cols>
  <sheetData>
    <row r="2" spans="2:13">
      <c r="B2" t="s">
        <v>129</v>
      </c>
    </row>
    <row r="3" spans="2:13">
      <c r="B3" s="8"/>
      <c r="C3" s="59" t="s">
        <v>130</v>
      </c>
      <c r="D3" s="59" t="s">
        <v>131</v>
      </c>
      <c r="E3" s="59" t="s">
        <v>132</v>
      </c>
      <c r="F3" s="59" t="s">
        <v>133</v>
      </c>
      <c r="G3" s="59" t="s">
        <v>134</v>
      </c>
      <c r="H3" s="59" t="s">
        <v>126</v>
      </c>
      <c r="I3" s="59" t="s">
        <v>135</v>
      </c>
      <c r="J3" s="59" t="s">
        <v>136</v>
      </c>
      <c r="K3" s="59" t="s">
        <v>137</v>
      </c>
      <c r="L3" s="59" t="s">
        <v>151</v>
      </c>
      <c r="M3" s="59" t="s">
        <v>138</v>
      </c>
    </row>
    <row r="4" spans="2:13">
      <c r="B4" s="8" t="s">
        <v>139</v>
      </c>
      <c r="C4" s="61">
        <v>0.10100000000000001</v>
      </c>
      <c r="D4" s="61">
        <v>9.9000000000000005E-2</v>
      </c>
      <c r="E4" s="61">
        <v>8.1000000000000003E-2</v>
      </c>
      <c r="F4" s="61">
        <v>7.3999999999999996E-2</v>
      </c>
      <c r="G4" s="61">
        <v>7.3999999999999996E-2</v>
      </c>
      <c r="H4" s="61">
        <v>6.8000000000000005E-2</v>
      </c>
      <c r="I4" s="61">
        <v>6.8000000000000005E-2</v>
      </c>
      <c r="J4" s="61">
        <v>4.3999999999999997E-2</v>
      </c>
      <c r="K4" s="61">
        <v>4.2999999999999997E-2</v>
      </c>
      <c r="L4" s="61">
        <v>3.1E-2</v>
      </c>
      <c r="M4" s="61">
        <v>0.31900000000000001</v>
      </c>
    </row>
    <row r="5" spans="2:13">
      <c r="L5" s="10" t="s">
        <v>140</v>
      </c>
    </row>
  </sheetData>
  <phoneticPr fontId="2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G9"/>
  <sheetViews>
    <sheetView zoomScaleNormal="100" workbookViewId="0">
      <selection activeCell="I4" sqref="I4"/>
    </sheetView>
  </sheetViews>
  <sheetFormatPr defaultRowHeight="16.899999999999999"/>
  <cols>
    <col min="1" max="1" width="1.625" customWidth="1"/>
    <col min="2" max="2" width="12.375" bestFit="1" customWidth="1"/>
  </cols>
  <sheetData>
    <row r="1" spans="1:7">
      <c r="A1" s="13"/>
      <c r="B1" s="13"/>
      <c r="C1" s="13"/>
      <c r="D1" s="13"/>
      <c r="E1" s="13"/>
      <c r="F1" s="13"/>
      <c r="G1" s="13"/>
    </row>
    <row r="2" spans="1:7">
      <c r="A2" s="13"/>
      <c r="B2" s="13" t="s">
        <v>141</v>
      </c>
      <c r="C2" s="13"/>
      <c r="D2" s="13"/>
      <c r="E2" s="13"/>
      <c r="F2" s="13"/>
      <c r="G2" s="13"/>
    </row>
    <row r="3" spans="1:7">
      <c r="A3" s="13"/>
      <c r="B3" s="62"/>
      <c r="C3" s="63" t="s">
        <v>142</v>
      </c>
      <c r="D3" s="63" t="s">
        <v>15</v>
      </c>
      <c r="E3" s="63" t="s">
        <v>17</v>
      </c>
      <c r="F3" s="63" t="s">
        <v>38</v>
      </c>
      <c r="G3" s="63" t="s">
        <v>34</v>
      </c>
    </row>
    <row r="4" spans="1:7">
      <c r="A4" s="13"/>
      <c r="B4" s="64" t="s">
        <v>143</v>
      </c>
      <c r="C4" s="64">
        <v>19</v>
      </c>
      <c r="D4" s="64">
        <v>9</v>
      </c>
      <c r="E4" s="64">
        <v>9</v>
      </c>
      <c r="F4" s="64">
        <v>18</v>
      </c>
      <c r="G4" s="64">
        <v>8</v>
      </c>
    </row>
    <row r="5" spans="1:7">
      <c r="A5" s="13"/>
      <c r="B5" s="64" t="s">
        <v>144</v>
      </c>
      <c r="C5" s="64">
        <v>20</v>
      </c>
      <c r="D5" s="64">
        <v>11</v>
      </c>
      <c r="E5" s="64">
        <v>14</v>
      </c>
      <c r="F5" s="64">
        <v>22</v>
      </c>
      <c r="G5" s="64">
        <v>13</v>
      </c>
    </row>
    <row r="6" spans="1:7">
      <c r="A6" s="13"/>
      <c r="B6" s="64" t="s">
        <v>145</v>
      </c>
      <c r="C6" s="62">
        <v>34</v>
      </c>
      <c r="D6" s="62">
        <v>30</v>
      </c>
      <c r="E6" s="62">
        <v>29</v>
      </c>
      <c r="F6" s="62">
        <v>48</v>
      </c>
      <c r="G6" s="62">
        <v>24</v>
      </c>
    </row>
    <row r="7" spans="1:7">
      <c r="A7" s="13"/>
      <c r="B7" s="64" t="s">
        <v>146</v>
      </c>
      <c r="C7" s="64">
        <v>6</v>
      </c>
      <c r="D7" s="64">
        <v>3</v>
      </c>
      <c r="E7" s="64">
        <v>5</v>
      </c>
      <c r="F7" s="64">
        <v>11</v>
      </c>
      <c r="G7" s="64">
        <v>4</v>
      </c>
    </row>
    <row r="8" spans="1:7">
      <c r="A8" s="13"/>
      <c r="B8" s="1"/>
      <c r="C8" s="1"/>
      <c r="D8" s="1"/>
      <c r="E8" s="1"/>
      <c r="G8" s="65" t="s">
        <v>147</v>
      </c>
    </row>
    <row r="9" spans="1:7">
      <c r="A9" s="13"/>
      <c r="B9" s="13"/>
      <c r="C9" s="13"/>
      <c r="D9" s="13"/>
      <c r="E9" s="13"/>
      <c r="F9" s="13"/>
      <c r="G9" s="13"/>
    </row>
  </sheetData>
  <phoneticPr fontId="2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2:G6"/>
  <sheetViews>
    <sheetView zoomScaleNormal="100" workbookViewId="0">
      <selection activeCell="J8" sqref="J8"/>
    </sheetView>
  </sheetViews>
  <sheetFormatPr defaultRowHeight="16.899999999999999"/>
  <cols>
    <col min="2" max="7" width="15.875" customWidth="1"/>
  </cols>
  <sheetData>
    <row r="2" spans="1:7">
      <c r="B2" t="s">
        <v>148</v>
      </c>
    </row>
    <row r="3" spans="1:7">
      <c r="A3" s="8"/>
      <c r="B3" s="59" t="s">
        <v>149</v>
      </c>
      <c r="C3" s="59" t="s">
        <v>150</v>
      </c>
      <c r="D3" s="59" t="s">
        <v>151</v>
      </c>
      <c r="E3" s="59" t="s">
        <v>152</v>
      </c>
      <c r="F3" s="59" t="s">
        <v>136</v>
      </c>
      <c r="G3" s="59" t="s">
        <v>153</v>
      </c>
    </row>
    <row r="4" spans="1:7">
      <c r="A4" s="8" t="s">
        <v>154</v>
      </c>
      <c r="B4" s="9">
        <v>42106719</v>
      </c>
      <c r="C4" s="9">
        <v>42895824</v>
      </c>
      <c r="D4" s="9">
        <v>24475766</v>
      </c>
      <c r="E4" s="9">
        <v>270663028</v>
      </c>
      <c r="F4" s="9">
        <v>183241641</v>
      </c>
      <c r="G4" s="9">
        <v>25390339</v>
      </c>
    </row>
    <row r="5" spans="1:7">
      <c r="A5" s="8" t="s">
        <v>155</v>
      </c>
      <c r="B5" s="9">
        <v>9602379</v>
      </c>
      <c r="C5" s="9">
        <v>57492249</v>
      </c>
      <c r="D5" s="9">
        <v>7474011</v>
      </c>
      <c r="E5" s="9">
        <v>57576495</v>
      </c>
      <c r="F5" s="9">
        <v>27807886</v>
      </c>
      <c r="G5" s="9">
        <v>7120114</v>
      </c>
    </row>
    <row r="6" spans="1:7">
      <c r="G6" s="66" t="s">
        <v>156</v>
      </c>
    </row>
  </sheetData>
  <phoneticPr fontId="2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B3:M33"/>
  <sheetViews>
    <sheetView zoomScaleNormal="100" workbookViewId="0">
      <selection activeCell="O4" sqref="O4"/>
    </sheetView>
  </sheetViews>
  <sheetFormatPr defaultColWidth="9" defaultRowHeight="18" customHeight="1"/>
  <cols>
    <col min="1" max="12" width="9" style="13"/>
    <col min="13" max="13" width="9.625" style="13" customWidth="1"/>
    <col min="14" max="16384" width="9" style="13"/>
  </cols>
  <sheetData>
    <row r="3" spans="2:13" ht="18" customHeight="1">
      <c r="B3" s="22"/>
      <c r="C3" s="22"/>
      <c r="D3" s="23"/>
      <c r="E3" s="23"/>
      <c r="F3" s="23"/>
      <c r="G3" s="23"/>
      <c r="H3" s="23"/>
      <c r="I3" s="23"/>
      <c r="J3" s="24"/>
      <c r="K3" s="24"/>
      <c r="L3" s="24"/>
      <c r="M3" s="24"/>
    </row>
    <row r="4" spans="2:13" ht="18" customHeight="1">
      <c r="B4" s="22"/>
      <c r="C4" s="22"/>
      <c r="D4" s="23"/>
      <c r="E4" s="23"/>
      <c r="F4" s="23"/>
      <c r="G4" s="23"/>
      <c r="H4" s="23"/>
      <c r="I4" s="23"/>
      <c r="J4" s="24"/>
      <c r="K4" s="24"/>
      <c r="L4" s="24"/>
      <c r="M4" s="24"/>
    </row>
    <row r="5" spans="2:13" ht="18" customHeight="1">
      <c r="B5" s="25" t="s">
        <v>68</v>
      </c>
      <c r="C5" s="26" t="s">
        <v>40</v>
      </c>
      <c r="D5" s="26" t="s">
        <v>0</v>
      </c>
      <c r="E5" s="27">
        <v>42432</v>
      </c>
      <c r="F5" s="27">
        <v>42439</v>
      </c>
      <c r="G5" s="27">
        <v>42446</v>
      </c>
      <c r="H5" s="27">
        <v>42453</v>
      </c>
      <c r="I5" s="27">
        <v>42460</v>
      </c>
      <c r="J5" s="27">
        <v>42467</v>
      </c>
      <c r="K5" s="27">
        <v>42474</v>
      </c>
      <c r="L5" s="27">
        <v>42481</v>
      </c>
      <c r="M5" s="27" t="s">
        <v>69</v>
      </c>
    </row>
    <row r="6" spans="2:13" ht="18" customHeight="1">
      <c r="B6" s="28">
        <v>1</v>
      </c>
      <c r="C6" s="29" t="s">
        <v>70</v>
      </c>
      <c r="D6" s="28" t="s">
        <v>71</v>
      </c>
      <c r="E6" s="93">
        <v>1</v>
      </c>
      <c r="F6" s="93">
        <v>1</v>
      </c>
      <c r="G6" s="93">
        <v>1</v>
      </c>
      <c r="H6" s="93">
        <v>1</v>
      </c>
      <c r="I6" s="93">
        <v>1</v>
      </c>
      <c r="J6" s="93">
        <v>1</v>
      </c>
      <c r="K6" s="93">
        <v>1</v>
      </c>
      <c r="L6" s="93">
        <v>1</v>
      </c>
      <c r="M6" s="30">
        <f>SUM(E6:L6)</f>
        <v>8</v>
      </c>
    </row>
    <row r="7" spans="2:13" ht="18" customHeight="1">
      <c r="B7" s="31">
        <v>1</v>
      </c>
      <c r="C7" s="32" t="s">
        <v>72</v>
      </c>
      <c r="D7" s="33" t="s">
        <v>73</v>
      </c>
      <c r="E7" s="93">
        <v>1</v>
      </c>
      <c r="F7" s="93">
        <v>1</v>
      </c>
      <c r="G7" s="93">
        <v>0</v>
      </c>
      <c r="H7" s="93">
        <v>1</v>
      </c>
      <c r="I7" s="93">
        <v>1</v>
      </c>
      <c r="J7" s="93">
        <v>1</v>
      </c>
      <c r="K7" s="93">
        <v>1</v>
      </c>
      <c r="L7" s="93">
        <v>1</v>
      </c>
      <c r="M7" s="30">
        <f t="shared" ref="M7:M33" si="0">SUM(E7:L7)</f>
        <v>7</v>
      </c>
    </row>
    <row r="8" spans="2:13" ht="18" customHeight="1">
      <c r="B8" s="28">
        <v>1</v>
      </c>
      <c r="C8" s="29" t="s">
        <v>74</v>
      </c>
      <c r="D8" s="28" t="s">
        <v>75</v>
      </c>
      <c r="E8" s="93">
        <v>0</v>
      </c>
      <c r="F8" s="93">
        <v>1</v>
      </c>
      <c r="G8" s="93">
        <v>1</v>
      </c>
      <c r="H8" s="93">
        <v>1</v>
      </c>
      <c r="I8" s="93">
        <v>1</v>
      </c>
      <c r="J8" s="93">
        <v>1</v>
      </c>
      <c r="K8" s="93">
        <v>1</v>
      </c>
      <c r="L8" s="93">
        <v>1</v>
      </c>
      <c r="M8" s="30">
        <f t="shared" si="0"/>
        <v>7</v>
      </c>
    </row>
    <row r="9" spans="2:13" ht="18" customHeight="1">
      <c r="B9" s="34">
        <v>1</v>
      </c>
      <c r="C9" s="35" t="s">
        <v>76</v>
      </c>
      <c r="D9" s="36" t="s">
        <v>77</v>
      </c>
      <c r="E9" s="93">
        <v>1</v>
      </c>
      <c r="F9" s="93">
        <v>1</v>
      </c>
      <c r="G9" s="93">
        <v>1</v>
      </c>
      <c r="H9" s="93">
        <v>1</v>
      </c>
      <c r="I9" s="93">
        <v>1</v>
      </c>
      <c r="J9" s="93">
        <v>1</v>
      </c>
      <c r="K9" s="93">
        <v>1</v>
      </c>
      <c r="L9" s="93">
        <v>1</v>
      </c>
      <c r="M9" s="30">
        <f t="shared" si="0"/>
        <v>8</v>
      </c>
    </row>
    <row r="10" spans="2:13" ht="18" customHeight="1">
      <c r="B10" s="34">
        <v>1</v>
      </c>
      <c r="C10" s="35" t="s">
        <v>76</v>
      </c>
      <c r="D10" s="34" t="s">
        <v>78</v>
      </c>
      <c r="E10" s="93">
        <v>0</v>
      </c>
      <c r="F10" s="93">
        <v>1</v>
      </c>
      <c r="G10" s="93">
        <v>1</v>
      </c>
      <c r="H10" s="93">
        <v>1</v>
      </c>
      <c r="I10" s="93">
        <v>1</v>
      </c>
      <c r="J10" s="93">
        <v>1</v>
      </c>
      <c r="K10" s="93">
        <v>1</v>
      </c>
      <c r="L10" s="93">
        <v>1</v>
      </c>
      <c r="M10" s="30">
        <f t="shared" si="0"/>
        <v>7</v>
      </c>
    </row>
    <row r="11" spans="2:13" ht="18" customHeight="1">
      <c r="B11" s="34">
        <v>1</v>
      </c>
      <c r="C11" s="35" t="s">
        <v>76</v>
      </c>
      <c r="D11" s="34" t="s">
        <v>79</v>
      </c>
      <c r="E11" s="93">
        <v>1</v>
      </c>
      <c r="F11" s="93">
        <v>1</v>
      </c>
      <c r="G11" s="93">
        <v>1</v>
      </c>
      <c r="H11" s="93">
        <v>1</v>
      </c>
      <c r="I11" s="93">
        <v>1</v>
      </c>
      <c r="J11" s="93">
        <v>1</v>
      </c>
      <c r="K11" s="93">
        <v>0</v>
      </c>
      <c r="L11" s="93">
        <v>0</v>
      </c>
      <c r="M11" s="30">
        <f t="shared" si="0"/>
        <v>6</v>
      </c>
    </row>
    <row r="12" spans="2:13" ht="18" customHeight="1">
      <c r="B12" s="35">
        <v>1</v>
      </c>
      <c r="C12" s="35" t="s">
        <v>76</v>
      </c>
      <c r="D12" s="34" t="s">
        <v>80</v>
      </c>
      <c r="E12" s="93">
        <v>0</v>
      </c>
      <c r="F12" s="93">
        <v>1</v>
      </c>
      <c r="G12" s="93">
        <v>1</v>
      </c>
      <c r="H12" s="93">
        <v>1</v>
      </c>
      <c r="I12" s="93">
        <v>0</v>
      </c>
      <c r="J12" s="93">
        <v>1</v>
      </c>
      <c r="K12" s="93">
        <v>1</v>
      </c>
      <c r="L12" s="93">
        <v>1</v>
      </c>
      <c r="M12" s="30">
        <f t="shared" si="0"/>
        <v>6</v>
      </c>
    </row>
    <row r="13" spans="2:13" ht="18" customHeight="1">
      <c r="B13" s="37">
        <v>1</v>
      </c>
      <c r="C13" s="37" t="s">
        <v>81</v>
      </c>
      <c r="D13" s="37" t="s">
        <v>82</v>
      </c>
      <c r="E13" s="93">
        <v>1</v>
      </c>
      <c r="F13" s="93">
        <v>1</v>
      </c>
      <c r="G13" s="93">
        <v>1</v>
      </c>
      <c r="H13" s="93">
        <v>1</v>
      </c>
      <c r="I13" s="93">
        <v>1</v>
      </c>
      <c r="J13" s="93">
        <v>1</v>
      </c>
      <c r="K13" s="93">
        <v>1</v>
      </c>
      <c r="L13" s="93">
        <v>1</v>
      </c>
      <c r="M13" s="30">
        <f t="shared" si="0"/>
        <v>8</v>
      </c>
    </row>
    <row r="14" spans="2:13" ht="18" customHeight="1">
      <c r="B14" s="37">
        <v>1</v>
      </c>
      <c r="C14" s="37" t="s">
        <v>83</v>
      </c>
      <c r="D14" s="37" t="s">
        <v>84</v>
      </c>
      <c r="E14" s="93">
        <v>1</v>
      </c>
      <c r="F14" s="93">
        <v>1</v>
      </c>
      <c r="G14" s="93">
        <v>1</v>
      </c>
      <c r="H14" s="93">
        <v>1</v>
      </c>
      <c r="I14" s="93">
        <v>1</v>
      </c>
      <c r="J14" s="93">
        <v>1</v>
      </c>
      <c r="K14" s="93">
        <v>1</v>
      </c>
      <c r="L14" s="93">
        <v>1</v>
      </c>
      <c r="M14" s="30">
        <f t="shared" si="0"/>
        <v>8</v>
      </c>
    </row>
    <row r="15" spans="2:13" ht="18" customHeight="1">
      <c r="B15" s="37">
        <v>1</v>
      </c>
      <c r="C15" s="37" t="s">
        <v>85</v>
      </c>
      <c r="D15" s="37" t="s">
        <v>86</v>
      </c>
      <c r="E15" s="93">
        <v>1</v>
      </c>
      <c r="F15" s="93">
        <v>1</v>
      </c>
      <c r="G15" s="93">
        <v>1</v>
      </c>
      <c r="H15" s="93">
        <v>0</v>
      </c>
      <c r="I15" s="93">
        <v>1</v>
      </c>
      <c r="J15" s="93">
        <v>0</v>
      </c>
      <c r="K15" s="93">
        <v>0</v>
      </c>
      <c r="L15" s="93">
        <v>0</v>
      </c>
      <c r="M15" s="30">
        <f t="shared" si="0"/>
        <v>4</v>
      </c>
    </row>
    <row r="16" spans="2:13" ht="18" customHeight="1">
      <c r="B16" s="35">
        <v>2</v>
      </c>
      <c r="C16" s="35" t="s">
        <v>87</v>
      </c>
      <c r="D16" s="34" t="s">
        <v>88</v>
      </c>
      <c r="E16" s="93">
        <v>1</v>
      </c>
      <c r="F16" s="93">
        <v>1</v>
      </c>
      <c r="G16" s="93">
        <v>1</v>
      </c>
      <c r="H16" s="93">
        <v>1</v>
      </c>
      <c r="I16" s="93">
        <v>1</v>
      </c>
      <c r="J16" s="93">
        <v>1</v>
      </c>
      <c r="K16" s="93">
        <v>1</v>
      </c>
      <c r="L16" s="93">
        <v>1</v>
      </c>
      <c r="M16" s="30">
        <f t="shared" si="0"/>
        <v>8</v>
      </c>
    </row>
    <row r="17" spans="2:13" ht="18" customHeight="1">
      <c r="B17" s="34">
        <v>2</v>
      </c>
      <c r="C17" s="35" t="s">
        <v>87</v>
      </c>
      <c r="D17" s="34" t="s">
        <v>89</v>
      </c>
      <c r="E17" s="93">
        <v>1</v>
      </c>
      <c r="F17" s="93">
        <v>1</v>
      </c>
      <c r="G17" s="93">
        <v>1</v>
      </c>
      <c r="H17" s="93">
        <v>1</v>
      </c>
      <c r="I17" s="93">
        <v>1</v>
      </c>
      <c r="J17" s="93"/>
      <c r="K17" s="93">
        <v>1</v>
      </c>
      <c r="L17" s="93">
        <v>1</v>
      </c>
      <c r="M17" s="30">
        <f t="shared" si="0"/>
        <v>7</v>
      </c>
    </row>
    <row r="18" spans="2:13" ht="18" customHeight="1">
      <c r="B18" s="38">
        <v>2</v>
      </c>
      <c r="C18" s="39" t="s">
        <v>90</v>
      </c>
      <c r="D18" s="28" t="s">
        <v>91</v>
      </c>
      <c r="E18" s="93">
        <v>1</v>
      </c>
      <c r="F18" s="93">
        <v>1</v>
      </c>
      <c r="G18" s="93">
        <v>1</v>
      </c>
      <c r="H18" s="93">
        <v>1</v>
      </c>
      <c r="I18" s="93">
        <v>1</v>
      </c>
      <c r="J18" s="93">
        <v>1</v>
      </c>
      <c r="K18" s="93">
        <v>1</v>
      </c>
      <c r="L18" s="93">
        <v>1</v>
      </c>
      <c r="M18" s="30">
        <f t="shared" si="0"/>
        <v>8</v>
      </c>
    </row>
    <row r="19" spans="2:13" ht="18" customHeight="1">
      <c r="B19" s="28">
        <v>2</v>
      </c>
      <c r="C19" s="39" t="s">
        <v>92</v>
      </c>
      <c r="D19" s="28" t="s">
        <v>93</v>
      </c>
      <c r="E19" s="93">
        <v>1</v>
      </c>
      <c r="F19" s="93">
        <v>1</v>
      </c>
      <c r="G19" s="93">
        <v>1</v>
      </c>
      <c r="H19" s="93">
        <v>1</v>
      </c>
      <c r="I19" s="93">
        <v>1</v>
      </c>
      <c r="J19" s="93">
        <v>1</v>
      </c>
      <c r="K19" s="93">
        <v>1</v>
      </c>
      <c r="L19" s="93">
        <v>1</v>
      </c>
      <c r="M19" s="30">
        <f t="shared" si="0"/>
        <v>8</v>
      </c>
    </row>
    <row r="20" spans="2:13" ht="18" customHeight="1">
      <c r="B20" s="28">
        <v>2</v>
      </c>
      <c r="C20" s="39" t="s">
        <v>94</v>
      </c>
      <c r="D20" s="28" t="s">
        <v>95</v>
      </c>
      <c r="E20" s="93">
        <v>1</v>
      </c>
      <c r="F20" s="93">
        <v>1</v>
      </c>
      <c r="G20" s="93">
        <v>1</v>
      </c>
      <c r="H20" s="93">
        <v>1</v>
      </c>
      <c r="I20" s="93">
        <v>1</v>
      </c>
      <c r="J20" s="93">
        <v>1</v>
      </c>
      <c r="K20" s="93">
        <v>1</v>
      </c>
      <c r="L20" s="93">
        <v>1</v>
      </c>
      <c r="M20" s="30">
        <f t="shared" si="0"/>
        <v>8</v>
      </c>
    </row>
    <row r="21" spans="2:13" ht="18" customHeight="1">
      <c r="B21" s="28">
        <v>2</v>
      </c>
      <c r="C21" s="39" t="s">
        <v>92</v>
      </c>
      <c r="D21" s="28" t="s">
        <v>96</v>
      </c>
      <c r="E21" s="93">
        <v>1</v>
      </c>
      <c r="F21" s="93">
        <v>1</v>
      </c>
      <c r="G21" s="93">
        <v>1</v>
      </c>
      <c r="H21" s="93">
        <v>1</v>
      </c>
      <c r="I21" s="93">
        <v>1</v>
      </c>
      <c r="J21" s="93"/>
      <c r="K21" s="93">
        <v>1</v>
      </c>
      <c r="L21" s="93">
        <v>1</v>
      </c>
      <c r="M21" s="30">
        <f t="shared" si="0"/>
        <v>7</v>
      </c>
    </row>
    <row r="22" spans="2:13" ht="18" customHeight="1">
      <c r="B22" s="40">
        <v>2</v>
      </c>
      <c r="C22" s="40" t="s">
        <v>97</v>
      </c>
      <c r="D22" s="37" t="s">
        <v>98</v>
      </c>
      <c r="E22" s="93">
        <v>1</v>
      </c>
      <c r="F22" s="93">
        <v>1</v>
      </c>
      <c r="G22" s="93">
        <v>1</v>
      </c>
      <c r="H22" s="93">
        <v>1</v>
      </c>
      <c r="I22" s="93">
        <v>1</v>
      </c>
      <c r="J22" s="93">
        <v>1</v>
      </c>
      <c r="K22" s="93">
        <v>1</v>
      </c>
      <c r="L22" s="93">
        <v>1</v>
      </c>
      <c r="M22" s="30">
        <f t="shared" si="0"/>
        <v>8</v>
      </c>
    </row>
    <row r="23" spans="2:13" ht="18" customHeight="1">
      <c r="B23" s="37">
        <v>2</v>
      </c>
      <c r="C23" s="40" t="s">
        <v>97</v>
      </c>
      <c r="D23" s="37" t="s">
        <v>99</v>
      </c>
      <c r="E23" s="93">
        <v>1</v>
      </c>
      <c r="F23" s="93">
        <v>1</v>
      </c>
      <c r="G23" s="93">
        <v>1</v>
      </c>
      <c r="H23" s="93">
        <v>1</v>
      </c>
      <c r="I23" s="93">
        <v>1</v>
      </c>
      <c r="J23" s="93">
        <v>1</v>
      </c>
      <c r="K23" s="93">
        <v>1</v>
      </c>
      <c r="L23" s="93">
        <v>1</v>
      </c>
      <c r="M23" s="30">
        <f t="shared" si="0"/>
        <v>8</v>
      </c>
    </row>
    <row r="24" spans="2:13" ht="18" customHeight="1">
      <c r="B24" s="34">
        <v>2</v>
      </c>
      <c r="C24" s="35" t="s">
        <v>97</v>
      </c>
      <c r="D24" s="34" t="s">
        <v>100</v>
      </c>
      <c r="E24" s="93">
        <v>1</v>
      </c>
      <c r="F24" s="93">
        <v>0</v>
      </c>
      <c r="G24" s="93">
        <v>1</v>
      </c>
      <c r="H24" s="93">
        <v>1</v>
      </c>
      <c r="I24" s="93">
        <v>1</v>
      </c>
      <c r="J24" s="93">
        <v>1</v>
      </c>
      <c r="K24" s="93">
        <v>1</v>
      </c>
      <c r="L24" s="93">
        <v>1</v>
      </c>
      <c r="M24" s="30">
        <f t="shared" si="0"/>
        <v>7</v>
      </c>
    </row>
    <row r="25" spans="2:13" ht="18" customHeight="1">
      <c r="B25" s="37">
        <v>2</v>
      </c>
      <c r="C25" s="40" t="s">
        <v>97</v>
      </c>
      <c r="D25" s="37" t="s">
        <v>101</v>
      </c>
      <c r="E25" s="93">
        <v>1</v>
      </c>
      <c r="F25" s="93">
        <v>1</v>
      </c>
      <c r="G25" s="93">
        <v>0</v>
      </c>
      <c r="H25" s="93">
        <v>1</v>
      </c>
      <c r="I25" s="93">
        <v>0</v>
      </c>
      <c r="J25" s="93">
        <v>0</v>
      </c>
      <c r="K25" s="93">
        <v>1</v>
      </c>
      <c r="L25" s="93">
        <v>1</v>
      </c>
      <c r="M25" s="30">
        <f t="shared" si="0"/>
        <v>5</v>
      </c>
    </row>
    <row r="26" spans="2:13" ht="18" customHeight="1">
      <c r="B26" s="37">
        <v>2</v>
      </c>
      <c r="C26" s="40" t="s">
        <v>102</v>
      </c>
      <c r="D26" s="37" t="s">
        <v>103</v>
      </c>
      <c r="E26" s="93">
        <v>0</v>
      </c>
      <c r="F26" s="93">
        <v>1</v>
      </c>
      <c r="G26" s="93">
        <v>1</v>
      </c>
      <c r="H26" s="93">
        <v>0</v>
      </c>
      <c r="I26" s="93">
        <v>1</v>
      </c>
      <c r="J26" s="93">
        <v>0</v>
      </c>
      <c r="K26" s="93">
        <v>1</v>
      </c>
      <c r="L26" s="93">
        <v>0</v>
      </c>
      <c r="M26" s="30">
        <f t="shared" si="0"/>
        <v>4</v>
      </c>
    </row>
    <row r="27" spans="2:13" ht="18" customHeight="1">
      <c r="B27" s="41">
        <v>2</v>
      </c>
      <c r="C27" s="41" t="s">
        <v>104</v>
      </c>
      <c r="D27" s="42" t="s">
        <v>105</v>
      </c>
      <c r="E27" s="93">
        <v>1</v>
      </c>
      <c r="F27" s="93">
        <v>1</v>
      </c>
      <c r="G27" s="93">
        <v>1</v>
      </c>
      <c r="H27" s="93">
        <v>1</v>
      </c>
      <c r="I27" s="93">
        <v>1</v>
      </c>
      <c r="J27" s="93">
        <v>1</v>
      </c>
      <c r="K27" s="93">
        <v>1</v>
      </c>
      <c r="L27" s="93">
        <v>1</v>
      </c>
      <c r="M27" s="30">
        <f t="shared" si="0"/>
        <v>8</v>
      </c>
    </row>
    <row r="28" spans="2:13" ht="18" customHeight="1">
      <c r="B28" s="42">
        <v>2</v>
      </c>
      <c r="C28" s="41" t="s">
        <v>104</v>
      </c>
      <c r="D28" s="42" t="s">
        <v>106</v>
      </c>
      <c r="E28" s="93">
        <v>1</v>
      </c>
      <c r="F28" s="93">
        <v>1</v>
      </c>
      <c r="G28" s="93">
        <v>1</v>
      </c>
      <c r="H28" s="93">
        <v>1</v>
      </c>
      <c r="I28" s="93">
        <v>1</v>
      </c>
      <c r="J28" s="93">
        <v>1</v>
      </c>
      <c r="K28" s="93">
        <v>1</v>
      </c>
      <c r="L28" s="93">
        <v>1</v>
      </c>
      <c r="M28" s="30">
        <f t="shared" si="0"/>
        <v>8</v>
      </c>
    </row>
    <row r="29" spans="2:13" ht="18" customHeight="1">
      <c r="B29" s="42">
        <v>2</v>
      </c>
      <c r="C29" s="41" t="s">
        <v>107</v>
      </c>
      <c r="D29" s="42" t="s">
        <v>108</v>
      </c>
      <c r="E29" s="93">
        <v>1</v>
      </c>
      <c r="F29" s="93">
        <v>1</v>
      </c>
      <c r="G29" s="93">
        <v>1</v>
      </c>
      <c r="H29" s="93">
        <v>1</v>
      </c>
      <c r="I29" s="93">
        <v>1</v>
      </c>
      <c r="J29" s="93">
        <v>1</v>
      </c>
      <c r="K29" s="93">
        <v>1</v>
      </c>
      <c r="L29" s="93">
        <v>1</v>
      </c>
      <c r="M29" s="30">
        <f t="shared" si="0"/>
        <v>8</v>
      </c>
    </row>
    <row r="30" spans="2:13" ht="18" customHeight="1">
      <c r="B30" s="42">
        <v>2</v>
      </c>
      <c r="C30" s="41" t="s">
        <v>109</v>
      </c>
      <c r="D30" s="42" t="s">
        <v>110</v>
      </c>
      <c r="E30" s="93">
        <v>1</v>
      </c>
      <c r="F30" s="93">
        <v>1</v>
      </c>
      <c r="G30" s="93">
        <v>1</v>
      </c>
      <c r="H30" s="93">
        <v>1</v>
      </c>
      <c r="I30" s="93">
        <v>1</v>
      </c>
      <c r="J30" s="93">
        <v>0</v>
      </c>
      <c r="K30" s="93">
        <v>1</v>
      </c>
      <c r="L30" s="93">
        <v>1</v>
      </c>
      <c r="M30" s="30">
        <f t="shared" si="0"/>
        <v>7</v>
      </c>
    </row>
    <row r="31" spans="2:13" ht="18" customHeight="1">
      <c r="B31" s="42">
        <v>2</v>
      </c>
      <c r="C31" s="41" t="s">
        <v>109</v>
      </c>
      <c r="D31" s="42" t="s">
        <v>111</v>
      </c>
      <c r="E31" s="93">
        <v>0</v>
      </c>
      <c r="F31" s="93">
        <v>1</v>
      </c>
      <c r="G31" s="93">
        <v>1</v>
      </c>
      <c r="H31" s="93">
        <v>1</v>
      </c>
      <c r="I31" s="93">
        <v>0</v>
      </c>
      <c r="J31" s="93">
        <v>1</v>
      </c>
      <c r="K31" s="93">
        <v>1</v>
      </c>
      <c r="L31" s="93">
        <v>1</v>
      </c>
      <c r="M31" s="30">
        <f t="shared" si="0"/>
        <v>6</v>
      </c>
    </row>
    <row r="32" spans="2:13" ht="18" customHeight="1">
      <c r="B32" s="43">
        <v>2</v>
      </c>
      <c r="C32" s="41" t="s">
        <v>107</v>
      </c>
      <c r="D32" s="44" t="s">
        <v>112</v>
      </c>
      <c r="E32" s="93">
        <v>0</v>
      </c>
      <c r="F32" s="93">
        <v>0</v>
      </c>
      <c r="G32" s="93">
        <v>1</v>
      </c>
      <c r="H32" s="93">
        <v>1</v>
      </c>
      <c r="I32" s="93">
        <v>1</v>
      </c>
      <c r="J32" s="93">
        <v>1</v>
      </c>
      <c r="K32" s="93">
        <v>1</v>
      </c>
      <c r="L32" s="93">
        <v>1</v>
      </c>
      <c r="M32" s="30">
        <f t="shared" si="0"/>
        <v>6</v>
      </c>
    </row>
    <row r="33" spans="2:13" ht="18" customHeight="1">
      <c r="B33" s="42">
        <v>2</v>
      </c>
      <c r="C33" s="41" t="s">
        <v>107</v>
      </c>
      <c r="D33" s="42" t="s">
        <v>113</v>
      </c>
      <c r="E33" s="93">
        <v>1</v>
      </c>
      <c r="F33" s="93">
        <v>1</v>
      </c>
      <c r="G33" s="93">
        <v>1</v>
      </c>
      <c r="H33" s="93">
        <v>1</v>
      </c>
      <c r="I33" s="93">
        <v>0</v>
      </c>
      <c r="J33" s="93">
        <v>1</v>
      </c>
      <c r="K33" s="93">
        <v>1</v>
      </c>
      <c r="L33" s="93">
        <v>1</v>
      </c>
      <c r="M33" s="30">
        <f t="shared" si="0"/>
        <v>7</v>
      </c>
    </row>
  </sheetData>
  <phoneticPr fontId="2" type="noConversion"/>
  <conditionalFormatting sqref="M6:M33">
    <cfRule type="dataBar" priority="1">
      <dataBar>
        <cfvo type="percentile" val="20"/>
        <cfvo type="percentile" val="80"/>
        <color rgb="FFFFFF00"/>
      </dataBar>
      <extLst>
        <ext xmlns:x14="http://schemas.microsoft.com/office/spreadsheetml/2009/9/main" uri="{B025F937-C7B1-47D3-B67F-A62EFF666E3E}">
          <x14:id>{516528A0-D444-41B0-AFE4-24595A85E78B}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Module1.서식적용1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Module1.그래프보기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16528A0-D444-41B0-AFE4-24595A85E78B}">
            <x14:dataBar minLength="0" maxLength="100">
              <x14:cfvo type="percentile">
                <xm:f>20</xm:f>
              </x14:cfvo>
              <x14:cfvo type="percentile">
                <xm:f>80</xm:f>
              </x14:cfvo>
              <x14:negativeFillColor rgb="FFFF0000"/>
              <x14:axisColor rgb="FF000000"/>
            </x14:dataBar>
          </x14:cfRule>
          <xm:sqref>M6:M33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B6:F39"/>
  <sheetViews>
    <sheetView zoomScaleNormal="100" workbookViewId="0">
      <selection activeCell="I3" sqref="I3"/>
    </sheetView>
  </sheetViews>
  <sheetFormatPr defaultColWidth="9" defaultRowHeight="15.75"/>
  <cols>
    <col min="1" max="1" width="9" style="53"/>
    <col min="2" max="2" width="9.625" style="57" customWidth="1"/>
    <col min="3" max="3" width="9.625" style="58" customWidth="1"/>
    <col min="4" max="4" width="12.375" style="58" customWidth="1"/>
    <col min="5" max="5" width="11.5" style="58" customWidth="1"/>
    <col min="6" max="6" width="9.625" style="53" customWidth="1"/>
    <col min="7" max="7" width="9" style="53"/>
    <col min="8" max="8" width="8.75" style="53" bestFit="1" customWidth="1"/>
    <col min="9" max="9" width="8.75" style="53" customWidth="1"/>
    <col min="10" max="10" width="6.75" style="53" bestFit="1" customWidth="1"/>
    <col min="11" max="12" width="9" style="53"/>
    <col min="13" max="13" width="8.75" style="53" bestFit="1" customWidth="1"/>
    <col min="14" max="14" width="8.75" style="53" customWidth="1"/>
    <col min="15" max="15" width="6.75" style="53" bestFit="1" customWidth="1"/>
    <col min="16" max="16384" width="9" style="53"/>
  </cols>
  <sheetData>
    <row r="6" spans="2:6">
      <c r="B6" s="51" t="s">
        <v>115</v>
      </c>
      <c r="C6" s="52" t="s">
        <v>26</v>
      </c>
      <c r="D6" s="52" t="s">
        <v>116</v>
      </c>
      <c r="E6" s="52" t="s">
        <v>117</v>
      </c>
      <c r="F6" s="52" t="s">
        <v>118</v>
      </c>
    </row>
    <row r="7" spans="2:6">
      <c r="B7" s="54" t="s">
        <v>119</v>
      </c>
      <c r="C7" s="55" t="s">
        <v>31</v>
      </c>
      <c r="D7" s="56">
        <v>42462</v>
      </c>
      <c r="E7" s="56">
        <v>42461</v>
      </c>
      <c r="F7" s="96">
        <f t="shared" ref="F7:F39" si="0">D7-E7</f>
        <v>1</v>
      </c>
    </row>
    <row r="8" spans="2:6">
      <c r="B8" s="54" t="s">
        <v>120</v>
      </c>
      <c r="C8" s="55" t="s">
        <v>31</v>
      </c>
      <c r="D8" s="56">
        <v>42456</v>
      </c>
      <c r="E8" s="56">
        <v>42457</v>
      </c>
      <c r="F8" s="96">
        <f t="shared" si="0"/>
        <v>-1</v>
      </c>
    </row>
    <row r="9" spans="2:6">
      <c r="B9" s="54" t="s">
        <v>121</v>
      </c>
      <c r="C9" s="55" t="s">
        <v>31</v>
      </c>
      <c r="D9" s="56">
        <v>42454</v>
      </c>
      <c r="E9" s="56">
        <v>42454</v>
      </c>
      <c r="F9" s="96">
        <f t="shared" si="0"/>
        <v>0</v>
      </c>
    </row>
    <row r="10" spans="2:6">
      <c r="B10" s="54" t="s">
        <v>122</v>
      </c>
      <c r="C10" s="55" t="s">
        <v>16</v>
      </c>
      <c r="D10" s="56">
        <v>42458</v>
      </c>
      <c r="E10" s="56">
        <v>42462</v>
      </c>
      <c r="F10" s="96">
        <f t="shared" si="0"/>
        <v>-4</v>
      </c>
    </row>
    <row r="11" spans="2:6">
      <c r="B11" s="54" t="s">
        <v>120</v>
      </c>
      <c r="C11" s="55" t="s">
        <v>16</v>
      </c>
      <c r="D11" s="56">
        <v>42456</v>
      </c>
      <c r="E11" s="56">
        <v>42456</v>
      </c>
      <c r="F11" s="96">
        <f t="shared" si="0"/>
        <v>0</v>
      </c>
    </row>
    <row r="12" spans="2:6">
      <c r="B12" s="54" t="s">
        <v>121</v>
      </c>
      <c r="C12" s="55" t="s">
        <v>16</v>
      </c>
      <c r="D12" s="56">
        <v>42448</v>
      </c>
      <c r="E12" s="56">
        <v>42452</v>
      </c>
      <c r="F12" s="96">
        <f t="shared" si="0"/>
        <v>-4</v>
      </c>
    </row>
    <row r="13" spans="2:6">
      <c r="B13" s="54" t="s">
        <v>122</v>
      </c>
      <c r="C13" s="55" t="s">
        <v>17</v>
      </c>
      <c r="D13" s="56">
        <v>42455</v>
      </c>
      <c r="E13" s="56">
        <v>42460</v>
      </c>
      <c r="F13" s="96">
        <f t="shared" si="0"/>
        <v>-5</v>
      </c>
    </row>
    <row r="14" spans="2:6">
      <c r="B14" s="54" t="s">
        <v>120</v>
      </c>
      <c r="C14" s="55" t="s">
        <v>17</v>
      </c>
      <c r="D14" s="56">
        <v>42453</v>
      </c>
      <c r="E14" s="56">
        <v>42455</v>
      </c>
      <c r="F14" s="96">
        <f t="shared" si="0"/>
        <v>-2</v>
      </c>
    </row>
    <row r="15" spans="2:6">
      <c r="B15" s="54" t="s">
        <v>121</v>
      </c>
      <c r="C15" s="55" t="s">
        <v>17</v>
      </c>
      <c r="D15" s="56">
        <v>42445</v>
      </c>
      <c r="E15" s="56">
        <v>42448</v>
      </c>
      <c r="F15" s="96">
        <f t="shared" si="0"/>
        <v>-3</v>
      </c>
    </row>
    <row r="16" spans="2:6">
      <c r="B16" s="54" t="s">
        <v>122</v>
      </c>
      <c r="C16" s="55" t="s">
        <v>34</v>
      </c>
      <c r="D16" s="56">
        <v>42460</v>
      </c>
      <c r="E16" s="56">
        <v>42465</v>
      </c>
      <c r="F16" s="96">
        <v>0</v>
      </c>
    </row>
    <row r="17" spans="2:6">
      <c r="B17" s="54" t="s">
        <v>120</v>
      </c>
      <c r="C17" s="55" t="s">
        <v>34</v>
      </c>
      <c r="D17" s="56">
        <v>42456</v>
      </c>
      <c r="E17" s="56">
        <v>42458</v>
      </c>
      <c r="F17" s="96">
        <f t="shared" si="0"/>
        <v>-2</v>
      </c>
    </row>
    <row r="18" spans="2:6">
      <c r="B18" s="54" t="s">
        <v>121</v>
      </c>
      <c r="C18" s="55" t="s">
        <v>34</v>
      </c>
      <c r="D18" s="56">
        <v>42452</v>
      </c>
      <c r="E18" s="56">
        <v>42450</v>
      </c>
      <c r="F18" s="96">
        <f t="shared" si="0"/>
        <v>2</v>
      </c>
    </row>
    <row r="19" spans="2:6">
      <c r="B19" s="54" t="s">
        <v>122</v>
      </c>
      <c r="C19" s="55" t="s">
        <v>15</v>
      </c>
      <c r="D19" s="56">
        <v>42455</v>
      </c>
      <c r="E19" s="56">
        <v>42457</v>
      </c>
      <c r="F19" s="96">
        <f t="shared" si="0"/>
        <v>-2</v>
      </c>
    </row>
    <row r="20" spans="2:6">
      <c r="B20" s="54" t="s">
        <v>120</v>
      </c>
      <c r="C20" s="55" t="s">
        <v>15</v>
      </c>
      <c r="D20" s="56">
        <v>42447</v>
      </c>
      <c r="E20" s="56">
        <v>42448</v>
      </c>
      <c r="F20" s="96">
        <f t="shared" si="0"/>
        <v>-1</v>
      </c>
    </row>
    <row r="21" spans="2:6">
      <c r="B21" s="54" t="s">
        <v>121</v>
      </c>
      <c r="C21" s="55" t="s">
        <v>15</v>
      </c>
      <c r="D21" s="56">
        <v>42445</v>
      </c>
      <c r="E21" s="56">
        <v>42446</v>
      </c>
      <c r="F21" s="96">
        <f t="shared" si="0"/>
        <v>-1</v>
      </c>
    </row>
    <row r="22" spans="2:6">
      <c r="B22" s="54" t="s">
        <v>122</v>
      </c>
      <c r="C22" s="55" t="s">
        <v>35</v>
      </c>
      <c r="D22" s="56">
        <v>42452</v>
      </c>
      <c r="E22" s="56">
        <v>42453</v>
      </c>
      <c r="F22" s="96">
        <f t="shared" si="0"/>
        <v>-1</v>
      </c>
    </row>
    <row r="23" spans="2:6">
      <c r="B23" s="54" t="s">
        <v>120</v>
      </c>
      <c r="C23" s="55" t="s">
        <v>35</v>
      </c>
      <c r="D23" s="56">
        <v>42445</v>
      </c>
      <c r="E23" s="56">
        <v>42449</v>
      </c>
      <c r="F23" s="96">
        <f t="shared" si="0"/>
        <v>-4</v>
      </c>
    </row>
    <row r="24" spans="2:6">
      <c r="B24" s="54" t="s">
        <v>121</v>
      </c>
      <c r="C24" s="55" t="s">
        <v>35</v>
      </c>
      <c r="D24" s="56">
        <v>42444</v>
      </c>
      <c r="E24" s="56">
        <v>42443</v>
      </c>
      <c r="F24" s="96">
        <f t="shared" si="0"/>
        <v>1</v>
      </c>
    </row>
    <row r="25" spans="2:6">
      <c r="B25" s="54" t="s">
        <v>122</v>
      </c>
      <c r="C25" s="55" t="s">
        <v>14</v>
      </c>
      <c r="D25" s="56">
        <v>42466</v>
      </c>
      <c r="E25" s="56">
        <v>42470</v>
      </c>
      <c r="F25" s="96">
        <f t="shared" si="0"/>
        <v>-4</v>
      </c>
    </row>
    <row r="26" spans="2:6">
      <c r="B26" s="54" t="s">
        <v>121</v>
      </c>
      <c r="C26" s="55" t="s">
        <v>14</v>
      </c>
      <c r="D26" s="56">
        <v>42456</v>
      </c>
      <c r="E26" s="56">
        <v>42455</v>
      </c>
      <c r="F26" s="96">
        <f t="shared" si="0"/>
        <v>1</v>
      </c>
    </row>
    <row r="27" spans="2:6">
      <c r="B27" s="54" t="s">
        <v>120</v>
      </c>
      <c r="C27" s="55" t="s">
        <v>14</v>
      </c>
      <c r="D27" s="56">
        <v>42456</v>
      </c>
      <c r="E27" s="56">
        <v>42458</v>
      </c>
      <c r="F27" s="96">
        <f t="shared" si="0"/>
        <v>-2</v>
      </c>
    </row>
    <row r="28" spans="2:6">
      <c r="B28" s="54" t="s">
        <v>122</v>
      </c>
      <c r="C28" s="55" t="s">
        <v>36</v>
      </c>
      <c r="D28" s="56">
        <v>42467</v>
      </c>
      <c r="E28" s="56">
        <v>42470</v>
      </c>
      <c r="F28" s="96">
        <f t="shared" si="0"/>
        <v>-3</v>
      </c>
    </row>
    <row r="29" spans="2:6">
      <c r="B29" s="54" t="s">
        <v>120</v>
      </c>
      <c r="C29" s="55" t="s">
        <v>36</v>
      </c>
      <c r="D29" s="56">
        <v>42459</v>
      </c>
      <c r="E29" s="56">
        <v>42460</v>
      </c>
      <c r="F29" s="96">
        <f t="shared" si="0"/>
        <v>-1</v>
      </c>
    </row>
    <row r="30" spans="2:6">
      <c r="B30" s="54" t="s">
        <v>121</v>
      </c>
      <c r="C30" s="55" t="s">
        <v>36</v>
      </c>
      <c r="D30" s="56">
        <v>42458</v>
      </c>
      <c r="E30" s="56">
        <v>42460</v>
      </c>
      <c r="F30" s="96">
        <f t="shared" si="0"/>
        <v>-2</v>
      </c>
    </row>
    <row r="31" spans="2:6">
      <c r="B31" s="54" t="s">
        <v>122</v>
      </c>
      <c r="C31" s="55" t="s">
        <v>37</v>
      </c>
      <c r="D31" s="56">
        <v>42458</v>
      </c>
      <c r="E31" s="56">
        <v>42462</v>
      </c>
      <c r="F31" s="96">
        <f t="shared" si="0"/>
        <v>-4</v>
      </c>
    </row>
    <row r="32" spans="2:6">
      <c r="B32" s="54" t="s">
        <v>121</v>
      </c>
      <c r="C32" s="55" t="s">
        <v>37</v>
      </c>
      <c r="D32" s="56">
        <v>42453</v>
      </c>
      <c r="E32" s="56">
        <v>42452</v>
      </c>
      <c r="F32" s="96">
        <f t="shared" si="0"/>
        <v>1</v>
      </c>
    </row>
    <row r="33" spans="2:6">
      <c r="B33" s="54" t="s">
        <v>120</v>
      </c>
      <c r="C33" s="55" t="s">
        <v>37</v>
      </c>
      <c r="D33" s="56">
        <v>42452</v>
      </c>
      <c r="E33" s="56">
        <v>42449</v>
      </c>
      <c r="F33" s="96">
        <f t="shared" si="0"/>
        <v>3</v>
      </c>
    </row>
    <row r="34" spans="2:6">
      <c r="B34" s="54" t="s">
        <v>122</v>
      </c>
      <c r="C34" s="55" t="s">
        <v>38</v>
      </c>
      <c r="D34" s="56">
        <v>42469</v>
      </c>
      <c r="E34" s="56">
        <v>42473</v>
      </c>
      <c r="F34" s="96">
        <f t="shared" si="0"/>
        <v>-4</v>
      </c>
    </row>
    <row r="35" spans="2:6">
      <c r="B35" s="54" t="s">
        <v>120</v>
      </c>
      <c r="C35" s="55" t="s">
        <v>38</v>
      </c>
      <c r="D35" s="56">
        <v>42464</v>
      </c>
      <c r="E35" s="56">
        <v>42464</v>
      </c>
      <c r="F35" s="96">
        <f t="shared" si="0"/>
        <v>0</v>
      </c>
    </row>
    <row r="36" spans="2:6">
      <c r="B36" s="54" t="s">
        <v>121</v>
      </c>
      <c r="C36" s="55" t="s">
        <v>38</v>
      </c>
      <c r="D36" s="56">
        <v>42462</v>
      </c>
      <c r="E36" s="56">
        <v>42462</v>
      </c>
      <c r="F36" s="96">
        <f t="shared" si="0"/>
        <v>0</v>
      </c>
    </row>
    <row r="37" spans="2:6">
      <c r="B37" s="54" t="s">
        <v>122</v>
      </c>
      <c r="C37" s="55" t="s">
        <v>39</v>
      </c>
      <c r="D37" s="56">
        <v>42460</v>
      </c>
      <c r="E37" s="56">
        <v>42465</v>
      </c>
      <c r="F37" s="96">
        <f t="shared" si="0"/>
        <v>-5</v>
      </c>
    </row>
    <row r="38" spans="2:6">
      <c r="B38" s="54" t="s">
        <v>120</v>
      </c>
      <c r="C38" s="55" t="s">
        <v>39</v>
      </c>
      <c r="D38" s="56">
        <v>42457</v>
      </c>
      <c r="E38" s="56">
        <v>42459</v>
      </c>
      <c r="F38" s="96">
        <f t="shared" si="0"/>
        <v>-2</v>
      </c>
    </row>
    <row r="39" spans="2:6">
      <c r="B39" s="54" t="s">
        <v>121</v>
      </c>
      <c r="C39" s="55" t="s">
        <v>39</v>
      </c>
      <c r="D39" s="56">
        <v>42452</v>
      </c>
      <c r="E39" s="56">
        <v>42455</v>
      </c>
      <c r="F39" s="96">
        <f t="shared" si="0"/>
        <v>-3</v>
      </c>
    </row>
  </sheetData>
  <dataConsolidate function="average" topLabels="1">
    <dataRefs count="3">
      <dataRef ref="B3:D18" sheet="차트작업2" r:id="rId1"/>
      <dataRef ref="F3:H18" sheet="차트작업2" r:id="rId2"/>
      <dataRef ref="J3:L18" sheet="차트작업2" r:id="rId3"/>
    </dataRefs>
  </dataConsolidate>
  <phoneticPr fontId="2" type="noConversion"/>
  <pageMargins left="0.7" right="0.7" top="0.75" bottom="0.75" header="0.3" footer="0.3"/>
  <pageSetup paperSize="9"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7" name="Button 1">
              <controlPr defaultSize="0" print="0" autoFill="0" autoPict="0" macro="[0]!서식적용2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서식해제1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B1:H33"/>
  <sheetViews>
    <sheetView zoomScaleNormal="100" workbookViewId="0">
      <selection activeCell="L6" sqref="L6"/>
    </sheetView>
  </sheetViews>
  <sheetFormatPr defaultRowHeight="16.899999999999999"/>
  <cols>
    <col min="1" max="1" width="1.625" customWidth="1"/>
    <col min="5" max="5" width="14.375" bestFit="1" customWidth="1"/>
    <col min="6" max="6" width="11.125" bestFit="1" customWidth="1"/>
    <col min="8" max="8" width="11.5" customWidth="1"/>
    <col min="10" max="10" width="11.8125" customWidth="1"/>
  </cols>
  <sheetData>
    <row r="1" spans="2:8">
      <c r="G1" t="s">
        <v>157</v>
      </c>
      <c r="H1" s="67">
        <v>44287</v>
      </c>
    </row>
    <row r="2" spans="2:8">
      <c r="B2" s="11" t="s">
        <v>41</v>
      </c>
      <c r="C2" s="11" t="s">
        <v>158</v>
      </c>
      <c r="D2" s="11" t="s">
        <v>159</v>
      </c>
      <c r="E2" s="11" t="s">
        <v>160</v>
      </c>
      <c r="F2" s="11" t="s">
        <v>161</v>
      </c>
      <c r="G2" s="11" t="s">
        <v>162</v>
      </c>
      <c r="H2" s="11" t="s">
        <v>163</v>
      </c>
    </row>
    <row r="3" spans="2:8">
      <c r="B3" s="11" t="s">
        <v>164</v>
      </c>
      <c r="C3" s="11" t="s">
        <v>165</v>
      </c>
      <c r="D3" s="8">
        <v>313</v>
      </c>
      <c r="E3" s="11" t="s">
        <v>166</v>
      </c>
      <c r="F3" s="68">
        <v>44324</v>
      </c>
      <c r="G3" s="97">
        <f>_xlfn.DAYS($H$1,F3)</f>
        <v>-37</v>
      </c>
      <c r="H3" s="11" t="s">
        <v>167</v>
      </c>
    </row>
    <row r="4" spans="2:8">
      <c r="B4" s="11" t="s">
        <v>168</v>
      </c>
      <c r="C4" s="11" t="s">
        <v>165</v>
      </c>
      <c r="D4" s="8">
        <v>320</v>
      </c>
      <c r="E4" s="11" t="s">
        <v>166</v>
      </c>
      <c r="F4" s="68">
        <v>44270</v>
      </c>
      <c r="G4" s="97">
        <f t="shared" ref="G4:G33" si="0">_xlfn.DAYS($H$1,F4)</f>
        <v>17</v>
      </c>
      <c r="H4" s="11" t="s">
        <v>169</v>
      </c>
    </row>
    <row r="5" spans="2:8">
      <c r="B5" s="11" t="s">
        <v>170</v>
      </c>
      <c r="C5" s="11" t="s">
        <v>171</v>
      </c>
      <c r="D5" s="8">
        <v>350</v>
      </c>
      <c r="E5" s="11" t="s">
        <v>172</v>
      </c>
      <c r="F5" s="68">
        <v>44325</v>
      </c>
      <c r="G5" s="97">
        <f t="shared" si="0"/>
        <v>-38</v>
      </c>
      <c r="H5" s="11" t="s">
        <v>173</v>
      </c>
    </row>
    <row r="6" spans="2:8">
      <c r="B6" s="11" t="s">
        <v>174</v>
      </c>
      <c r="C6" s="11" t="s">
        <v>171</v>
      </c>
      <c r="D6" s="8">
        <v>255</v>
      </c>
      <c r="E6" s="11" t="s">
        <v>172</v>
      </c>
      <c r="F6" s="68">
        <v>44287</v>
      </c>
      <c r="G6" s="97">
        <f t="shared" si="0"/>
        <v>0</v>
      </c>
      <c r="H6" s="11" t="s">
        <v>175</v>
      </c>
    </row>
    <row r="7" spans="2:8">
      <c r="B7" s="11" t="s">
        <v>176</v>
      </c>
      <c r="C7" s="11" t="s">
        <v>165</v>
      </c>
      <c r="D7" s="8">
        <v>80</v>
      </c>
      <c r="E7" s="11" t="s">
        <v>172</v>
      </c>
      <c r="F7" s="68">
        <v>44200</v>
      </c>
      <c r="G7" s="97">
        <f t="shared" si="0"/>
        <v>87</v>
      </c>
      <c r="H7" s="11"/>
    </row>
    <row r="8" spans="2:8">
      <c r="B8" s="11" t="s">
        <v>177</v>
      </c>
      <c r="C8" s="11" t="s">
        <v>171</v>
      </c>
      <c r="D8" s="8">
        <v>394</v>
      </c>
      <c r="E8" s="11" t="s">
        <v>172</v>
      </c>
      <c r="F8" s="68">
        <v>44275</v>
      </c>
      <c r="G8" s="97">
        <f t="shared" si="0"/>
        <v>12</v>
      </c>
      <c r="H8" s="11" t="s">
        <v>178</v>
      </c>
    </row>
    <row r="9" spans="2:8">
      <c r="B9" s="11" t="s">
        <v>179</v>
      </c>
      <c r="C9" s="11" t="s">
        <v>165</v>
      </c>
      <c r="D9" s="8">
        <v>380</v>
      </c>
      <c r="E9" s="11" t="s">
        <v>166</v>
      </c>
      <c r="F9" s="68">
        <v>44246</v>
      </c>
      <c r="G9" s="97">
        <f t="shared" si="0"/>
        <v>41</v>
      </c>
      <c r="H9" s="11" t="s">
        <v>180</v>
      </c>
    </row>
    <row r="10" spans="2:8">
      <c r="B10" s="11" t="s">
        <v>181</v>
      </c>
      <c r="C10" s="11" t="s">
        <v>165</v>
      </c>
      <c r="D10" s="8">
        <v>357</v>
      </c>
      <c r="E10" s="11" t="s">
        <v>166</v>
      </c>
      <c r="F10" s="68">
        <v>44307</v>
      </c>
      <c r="G10" s="97">
        <f t="shared" si="0"/>
        <v>-20</v>
      </c>
      <c r="H10" s="11" t="s">
        <v>182</v>
      </c>
    </row>
    <row r="11" spans="2:8">
      <c r="B11" s="11" t="s">
        <v>183</v>
      </c>
      <c r="C11" s="11" t="s">
        <v>165</v>
      </c>
      <c r="D11" s="8">
        <v>990</v>
      </c>
      <c r="E11" s="11" t="s">
        <v>184</v>
      </c>
      <c r="F11" s="68">
        <v>44280</v>
      </c>
      <c r="G11" s="97">
        <f t="shared" si="0"/>
        <v>7</v>
      </c>
      <c r="H11" s="11" t="s">
        <v>185</v>
      </c>
    </row>
    <row r="12" spans="2:8">
      <c r="B12" s="11" t="s">
        <v>186</v>
      </c>
      <c r="C12" s="11" t="s">
        <v>165</v>
      </c>
      <c r="D12" s="8">
        <v>430</v>
      </c>
      <c r="E12" s="11" t="s">
        <v>184</v>
      </c>
      <c r="F12" s="68">
        <v>44258</v>
      </c>
      <c r="G12" s="97">
        <f t="shared" si="0"/>
        <v>29</v>
      </c>
      <c r="H12" s="11" t="s">
        <v>187</v>
      </c>
    </row>
    <row r="13" spans="2:8">
      <c r="B13" s="11" t="s">
        <v>188</v>
      </c>
      <c r="C13" s="11" t="s">
        <v>165</v>
      </c>
      <c r="D13" s="8">
        <v>277</v>
      </c>
      <c r="E13" s="11" t="s">
        <v>166</v>
      </c>
      <c r="F13" s="68">
        <v>44357</v>
      </c>
      <c r="G13" s="97">
        <f t="shared" si="0"/>
        <v>-70</v>
      </c>
      <c r="H13" s="11" t="s">
        <v>189</v>
      </c>
    </row>
    <row r="14" spans="2:8">
      <c r="B14" s="11" t="s">
        <v>190</v>
      </c>
      <c r="C14" s="11" t="s">
        <v>171</v>
      </c>
      <c r="D14" s="8">
        <v>445</v>
      </c>
      <c r="E14" s="11" t="s">
        <v>166</v>
      </c>
      <c r="F14" s="68">
        <v>44342</v>
      </c>
      <c r="G14" s="97">
        <f t="shared" si="0"/>
        <v>-55</v>
      </c>
      <c r="H14" s="11" t="s">
        <v>191</v>
      </c>
    </row>
    <row r="15" spans="2:8">
      <c r="B15" s="11" t="s">
        <v>192</v>
      </c>
      <c r="C15" s="11" t="s">
        <v>165</v>
      </c>
      <c r="D15" s="8">
        <v>210</v>
      </c>
      <c r="E15" s="11" t="s">
        <v>166</v>
      </c>
      <c r="F15" s="68">
        <v>44257</v>
      </c>
      <c r="G15" s="97">
        <f t="shared" si="0"/>
        <v>30</v>
      </c>
      <c r="H15" s="11" t="s">
        <v>193</v>
      </c>
    </row>
    <row r="16" spans="2:8">
      <c r="B16" s="11" t="s">
        <v>194</v>
      </c>
      <c r="C16" s="11" t="s">
        <v>171</v>
      </c>
      <c r="D16" s="8">
        <v>521</v>
      </c>
      <c r="E16" s="11" t="s">
        <v>166</v>
      </c>
      <c r="F16" s="68">
        <v>44320</v>
      </c>
      <c r="G16" s="97">
        <f t="shared" si="0"/>
        <v>-33</v>
      </c>
      <c r="H16" s="11" t="s">
        <v>195</v>
      </c>
    </row>
    <row r="17" spans="2:8">
      <c r="B17" s="11" t="s">
        <v>196</v>
      </c>
      <c r="C17" s="11" t="s">
        <v>171</v>
      </c>
      <c r="D17" s="8">
        <v>558</v>
      </c>
      <c r="E17" s="11" t="s">
        <v>166</v>
      </c>
      <c r="F17" s="68">
        <v>44273</v>
      </c>
      <c r="G17" s="97">
        <f t="shared" si="0"/>
        <v>14</v>
      </c>
      <c r="H17" s="11" t="s">
        <v>197</v>
      </c>
    </row>
    <row r="18" spans="2:8">
      <c r="B18" s="11" t="s">
        <v>198</v>
      </c>
      <c r="C18" s="11" t="s">
        <v>171</v>
      </c>
      <c r="D18" s="8">
        <v>289</v>
      </c>
      <c r="E18" s="11" t="s">
        <v>172</v>
      </c>
      <c r="F18" s="68">
        <v>44315</v>
      </c>
      <c r="G18" s="97">
        <f t="shared" si="0"/>
        <v>-28</v>
      </c>
      <c r="H18" s="11" t="s">
        <v>199</v>
      </c>
    </row>
    <row r="19" spans="2:8">
      <c r="B19" s="11" t="s">
        <v>200</v>
      </c>
      <c r="C19" s="11" t="s">
        <v>171</v>
      </c>
      <c r="D19" s="8">
        <v>395</v>
      </c>
      <c r="E19" s="11" t="s">
        <v>172</v>
      </c>
      <c r="F19" s="68">
        <v>44365</v>
      </c>
      <c r="G19" s="97">
        <f t="shared" si="0"/>
        <v>-78</v>
      </c>
      <c r="H19" s="11" t="s">
        <v>201</v>
      </c>
    </row>
    <row r="20" spans="2:8">
      <c r="B20" s="11" t="s">
        <v>202</v>
      </c>
      <c r="C20" s="11" t="s">
        <v>165</v>
      </c>
      <c r="D20" s="8">
        <v>390</v>
      </c>
      <c r="E20" s="11" t="s">
        <v>166</v>
      </c>
      <c r="F20" s="68">
        <v>44265</v>
      </c>
      <c r="G20" s="97">
        <f t="shared" si="0"/>
        <v>22</v>
      </c>
      <c r="H20" s="11" t="s">
        <v>203</v>
      </c>
    </row>
    <row r="21" spans="2:8">
      <c r="B21" s="11" t="s">
        <v>204</v>
      </c>
      <c r="C21" s="11" t="s">
        <v>165</v>
      </c>
      <c r="D21" s="8">
        <v>250</v>
      </c>
      <c r="E21" s="11" t="s">
        <v>166</v>
      </c>
      <c r="F21" s="68">
        <v>44346</v>
      </c>
      <c r="G21" s="97">
        <f t="shared" si="0"/>
        <v>-59</v>
      </c>
      <c r="H21" s="11" t="s">
        <v>205</v>
      </c>
    </row>
    <row r="22" spans="2:8">
      <c r="B22" s="11" t="s">
        <v>206</v>
      </c>
      <c r="C22" s="11" t="s">
        <v>165</v>
      </c>
      <c r="D22" s="8">
        <v>170</v>
      </c>
      <c r="E22" s="11" t="s">
        <v>172</v>
      </c>
      <c r="F22" s="68">
        <v>44290</v>
      </c>
      <c r="G22" s="97">
        <f t="shared" si="0"/>
        <v>-3</v>
      </c>
      <c r="H22" s="11" t="s">
        <v>207</v>
      </c>
    </row>
    <row r="23" spans="2:8">
      <c r="B23" s="11" t="s">
        <v>208</v>
      </c>
      <c r="C23" s="11" t="s">
        <v>171</v>
      </c>
      <c r="D23" s="8">
        <v>110</v>
      </c>
      <c r="E23" s="11" t="s">
        <v>209</v>
      </c>
      <c r="F23" s="68">
        <v>44175</v>
      </c>
      <c r="G23" s="97">
        <f t="shared" si="0"/>
        <v>112</v>
      </c>
      <c r="H23" s="11"/>
    </row>
    <row r="24" spans="2:8">
      <c r="B24" s="11" t="s">
        <v>210</v>
      </c>
      <c r="C24" s="11" t="s">
        <v>165</v>
      </c>
      <c r="D24" s="8">
        <v>570</v>
      </c>
      <c r="E24" s="11" t="s">
        <v>184</v>
      </c>
      <c r="F24" s="68">
        <v>44295</v>
      </c>
      <c r="G24" s="97">
        <f t="shared" si="0"/>
        <v>-8</v>
      </c>
      <c r="H24" s="11" t="s">
        <v>211</v>
      </c>
    </row>
    <row r="25" spans="2:8">
      <c r="B25" s="11" t="s">
        <v>212</v>
      </c>
      <c r="C25" s="11" t="s">
        <v>165</v>
      </c>
      <c r="D25" s="8">
        <v>250</v>
      </c>
      <c r="E25" s="11" t="s">
        <v>166</v>
      </c>
      <c r="F25" s="68">
        <v>44369</v>
      </c>
      <c r="G25" s="97">
        <f t="shared" si="0"/>
        <v>-82</v>
      </c>
      <c r="H25" s="11" t="s">
        <v>213</v>
      </c>
    </row>
    <row r="26" spans="2:8">
      <c r="B26" s="11" t="s">
        <v>214</v>
      </c>
      <c r="C26" s="11" t="s">
        <v>165</v>
      </c>
      <c r="D26" s="8">
        <v>387</v>
      </c>
      <c r="E26" s="11" t="s">
        <v>166</v>
      </c>
      <c r="F26" s="68">
        <v>44343</v>
      </c>
      <c r="G26" s="97">
        <f t="shared" si="0"/>
        <v>-56</v>
      </c>
      <c r="H26" s="11" t="s">
        <v>215</v>
      </c>
    </row>
    <row r="27" spans="2:8">
      <c r="B27" s="11" t="s">
        <v>216</v>
      </c>
      <c r="C27" s="11" t="s">
        <v>171</v>
      </c>
      <c r="D27" s="8">
        <v>50</v>
      </c>
      <c r="E27" s="11" t="s">
        <v>209</v>
      </c>
      <c r="F27" s="68">
        <v>44233</v>
      </c>
      <c r="G27" s="97">
        <f t="shared" si="0"/>
        <v>54</v>
      </c>
      <c r="H27" s="11" t="s">
        <v>217</v>
      </c>
    </row>
    <row r="28" spans="2:8">
      <c r="B28" s="11" t="s">
        <v>218</v>
      </c>
      <c r="C28" s="11" t="s">
        <v>171</v>
      </c>
      <c r="D28" s="8">
        <v>153</v>
      </c>
      <c r="E28" s="11" t="s">
        <v>209</v>
      </c>
      <c r="F28" s="68">
        <v>44249</v>
      </c>
      <c r="G28" s="97">
        <f t="shared" si="0"/>
        <v>38</v>
      </c>
      <c r="H28" s="11" t="s">
        <v>219</v>
      </c>
    </row>
    <row r="29" spans="2:8">
      <c r="B29" s="11" t="s">
        <v>220</v>
      </c>
      <c r="C29" s="11" t="s">
        <v>165</v>
      </c>
      <c r="D29" s="8">
        <v>890</v>
      </c>
      <c r="E29" s="11" t="s">
        <v>184</v>
      </c>
      <c r="F29" s="68">
        <v>44283</v>
      </c>
      <c r="G29" s="97">
        <f t="shared" si="0"/>
        <v>4</v>
      </c>
      <c r="H29" s="11" t="s">
        <v>221</v>
      </c>
    </row>
    <row r="30" spans="2:8">
      <c r="B30" s="11" t="s">
        <v>222</v>
      </c>
      <c r="C30" s="11" t="s">
        <v>171</v>
      </c>
      <c r="D30" s="8">
        <v>415</v>
      </c>
      <c r="E30" s="11" t="s">
        <v>166</v>
      </c>
      <c r="F30" s="68">
        <v>44234</v>
      </c>
      <c r="G30" s="97">
        <f t="shared" si="0"/>
        <v>53</v>
      </c>
      <c r="H30" s="11" t="s">
        <v>223</v>
      </c>
    </row>
    <row r="31" spans="2:8">
      <c r="B31" s="11" t="s">
        <v>224</v>
      </c>
      <c r="C31" s="11" t="s">
        <v>171</v>
      </c>
      <c r="D31" s="8">
        <v>382</v>
      </c>
      <c r="E31" s="11" t="s">
        <v>172</v>
      </c>
      <c r="F31" s="68">
        <v>44236</v>
      </c>
      <c r="G31" s="97">
        <f t="shared" si="0"/>
        <v>51</v>
      </c>
      <c r="H31" s="11" t="s">
        <v>225</v>
      </c>
    </row>
    <row r="32" spans="2:8">
      <c r="B32" s="11" t="s">
        <v>226</v>
      </c>
      <c r="C32" s="11" t="s">
        <v>165</v>
      </c>
      <c r="D32" s="8">
        <v>280</v>
      </c>
      <c r="E32" s="11" t="s">
        <v>166</v>
      </c>
      <c r="F32" s="68">
        <v>44311</v>
      </c>
      <c r="G32" s="97">
        <f t="shared" si="0"/>
        <v>-24</v>
      </c>
      <c r="H32" s="11" t="s">
        <v>227</v>
      </c>
    </row>
    <row r="33" spans="2:8">
      <c r="B33" s="11" t="s">
        <v>228</v>
      </c>
      <c r="C33" s="11" t="s">
        <v>165</v>
      </c>
      <c r="D33" s="8">
        <v>597</v>
      </c>
      <c r="E33" s="11" t="s">
        <v>184</v>
      </c>
      <c r="F33" s="68">
        <v>44226</v>
      </c>
      <c r="G33" s="97">
        <f t="shared" si="0"/>
        <v>61</v>
      </c>
      <c r="H33" s="11"/>
    </row>
  </sheetData>
  <phoneticPr fontId="2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서식적용3">
                <anchor moveWithCells="1" sizeWithCells="1">
                  <from>
                    <xdr:col>9</xdr:col>
                    <xdr:colOff>0</xdr:colOff>
                    <xdr:row>1</xdr:row>
                    <xdr:rowOff>0</xdr:rowOff>
                  </from>
                  <to>
                    <xdr:col>10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별표">
                <anchor moveWithCells="1" sizeWithCells="1">
                  <from>
                    <xdr:col>8</xdr:col>
                    <xdr:colOff>666750</xdr:colOff>
                    <xdr:row>4</xdr:row>
                    <xdr:rowOff>0</xdr:rowOff>
                  </from>
                  <to>
                    <xdr:col>9</xdr:col>
                    <xdr:colOff>881063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E9633532-EDE9-46CA-99B5-1599BBECDF49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60</xm:f>
              </x14:cfvo>
            </x14:iconSet>
          </x14:cfRule>
          <x14:cfRule type="iconSet" priority="2" id="{EB72F0E1-1409-43A6-BBC3-7A23AE369084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60</xm:f>
              </x14:cfvo>
            </x14:iconSet>
          </x14:cfRule>
          <x14:cfRule type="iconSet" priority="3" id="{175EE31C-D108-4F76-B867-EF58AF1CD155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60</xm:f>
              </x14:cfvo>
            </x14:iconSet>
          </x14:cfRule>
          <x14:cfRule type="iconSet" priority="4" id="{0536FC0A-6EFA-421A-8FC3-3CBE8A4A8010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60</xm:f>
              </x14:cfvo>
            </x14:iconSet>
          </x14:cfRule>
          <xm:sqref>D3:D33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B2:H28"/>
  <sheetViews>
    <sheetView zoomScaleNormal="100" workbookViewId="0">
      <selection activeCell="I1" sqref="I1"/>
    </sheetView>
  </sheetViews>
  <sheetFormatPr defaultRowHeight="16.899999999999999"/>
  <cols>
    <col min="1" max="1" width="1.625" customWidth="1"/>
    <col min="2" max="2" width="12.125" bestFit="1" customWidth="1"/>
    <col min="3" max="3" width="21.375" bestFit="1" customWidth="1"/>
    <col min="4" max="4" width="12" customWidth="1"/>
    <col min="5" max="5" width="10" customWidth="1"/>
    <col min="6" max="6" width="11.875" customWidth="1"/>
    <col min="7" max="8" width="9.125" customWidth="1"/>
  </cols>
  <sheetData>
    <row r="2" spans="2:8">
      <c r="B2" s="69" t="s">
        <v>229</v>
      </c>
      <c r="C2" s="70" t="s">
        <v>230</v>
      </c>
      <c r="D2" s="71" t="s">
        <v>231</v>
      </c>
      <c r="E2" s="70" t="s">
        <v>232</v>
      </c>
      <c r="F2" s="70" t="s">
        <v>233</v>
      </c>
      <c r="G2" s="69" t="s">
        <v>234</v>
      </c>
      <c r="H2" s="69" t="s">
        <v>235</v>
      </c>
    </row>
    <row r="3" spans="2:8">
      <c r="B3" s="72" t="s">
        <v>236</v>
      </c>
      <c r="C3" s="72" t="s">
        <v>237</v>
      </c>
      <c r="D3" s="73">
        <v>43977</v>
      </c>
      <c r="E3" s="74">
        <v>13500</v>
      </c>
      <c r="F3" s="72" t="s">
        <v>238</v>
      </c>
      <c r="G3" s="98">
        <v>318</v>
      </c>
      <c r="H3" s="74">
        <v>500</v>
      </c>
    </row>
    <row r="4" spans="2:8">
      <c r="B4" s="72" t="s">
        <v>239</v>
      </c>
      <c r="C4" s="72" t="s">
        <v>240</v>
      </c>
      <c r="D4" s="73">
        <v>43980</v>
      </c>
      <c r="E4" s="74">
        <v>18000</v>
      </c>
      <c r="F4" s="72" t="s">
        <v>241</v>
      </c>
      <c r="G4" s="98">
        <v>125</v>
      </c>
      <c r="H4" s="74">
        <v>1000</v>
      </c>
    </row>
    <row r="5" spans="2:8">
      <c r="B5" s="72" t="s">
        <v>242</v>
      </c>
      <c r="C5" s="72" t="s">
        <v>243</v>
      </c>
      <c r="D5" s="73">
        <v>43983</v>
      </c>
      <c r="E5" s="74">
        <v>29500</v>
      </c>
      <c r="F5" s="72" t="s">
        <v>244</v>
      </c>
      <c r="G5" s="98">
        <v>152</v>
      </c>
      <c r="H5" s="74">
        <v>1000</v>
      </c>
    </row>
    <row r="6" spans="2:8">
      <c r="B6" s="72" t="s">
        <v>245</v>
      </c>
      <c r="C6" s="72" t="s">
        <v>246</v>
      </c>
      <c r="D6" s="73">
        <v>43986</v>
      </c>
      <c r="E6" s="74">
        <v>10350</v>
      </c>
      <c r="F6" s="72" t="s">
        <v>238</v>
      </c>
      <c r="G6" s="98">
        <v>336</v>
      </c>
      <c r="H6" s="74">
        <v>1500</v>
      </c>
    </row>
    <row r="7" spans="2:8">
      <c r="B7" s="72" t="s">
        <v>247</v>
      </c>
      <c r="C7" s="72" t="s">
        <v>248</v>
      </c>
      <c r="D7" s="73">
        <v>43989</v>
      </c>
      <c r="E7" s="74">
        <v>25000</v>
      </c>
      <c r="F7" s="72" t="s">
        <v>244</v>
      </c>
      <c r="G7" s="98">
        <v>352</v>
      </c>
      <c r="H7" s="74">
        <v>1000</v>
      </c>
    </row>
    <row r="8" spans="2:8">
      <c r="B8" s="72" t="s">
        <v>249</v>
      </c>
      <c r="C8" s="72" t="s">
        <v>250</v>
      </c>
      <c r="D8" s="73">
        <v>43992</v>
      </c>
      <c r="E8" s="74">
        <v>25000</v>
      </c>
      <c r="F8" s="72" t="s">
        <v>244</v>
      </c>
      <c r="G8" s="98">
        <v>196</v>
      </c>
      <c r="H8" s="74">
        <v>500</v>
      </c>
    </row>
    <row r="9" spans="2:8">
      <c r="B9" s="72" t="s">
        <v>251</v>
      </c>
      <c r="C9" s="72" t="s">
        <v>252</v>
      </c>
      <c r="D9" s="73">
        <v>44017</v>
      </c>
      <c r="E9" s="74">
        <v>5600</v>
      </c>
      <c r="F9" s="72" t="s">
        <v>253</v>
      </c>
      <c r="G9" s="98">
        <v>184</v>
      </c>
      <c r="H9" s="74">
        <v>500</v>
      </c>
    </row>
    <row r="10" spans="2:8">
      <c r="B10" s="72" t="s">
        <v>254</v>
      </c>
      <c r="C10" s="72" t="s">
        <v>255</v>
      </c>
      <c r="D10" s="73">
        <v>44042</v>
      </c>
      <c r="E10" s="74">
        <v>16500</v>
      </c>
      <c r="F10" s="72" t="s">
        <v>256</v>
      </c>
      <c r="G10" s="98">
        <v>320</v>
      </c>
      <c r="H10" s="74">
        <v>1000</v>
      </c>
    </row>
    <row r="11" spans="2:8">
      <c r="B11" s="72" t="s">
        <v>257</v>
      </c>
      <c r="C11" s="72" t="s">
        <v>258</v>
      </c>
      <c r="D11" s="73">
        <v>44067</v>
      </c>
      <c r="E11" s="74">
        <v>12600</v>
      </c>
      <c r="F11" s="72" t="s">
        <v>238</v>
      </c>
      <c r="G11" s="98">
        <v>214</v>
      </c>
      <c r="H11" s="74">
        <v>10000</v>
      </c>
    </row>
    <row r="12" spans="2:8">
      <c r="B12" s="72" t="s">
        <v>259</v>
      </c>
      <c r="C12" s="72" t="s">
        <v>260</v>
      </c>
      <c r="D12" s="73">
        <v>44092</v>
      </c>
      <c r="E12" s="74">
        <v>10800</v>
      </c>
      <c r="F12" s="72" t="s">
        <v>244</v>
      </c>
      <c r="G12" s="98">
        <v>367</v>
      </c>
      <c r="H12" s="74">
        <v>1000</v>
      </c>
    </row>
    <row r="13" spans="2:8">
      <c r="B13" s="72" t="s">
        <v>261</v>
      </c>
      <c r="C13" s="72" t="s">
        <v>262</v>
      </c>
      <c r="D13" s="73">
        <v>44117</v>
      </c>
      <c r="E13" s="74">
        <v>7200</v>
      </c>
      <c r="F13" s="72" t="s">
        <v>241</v>
      </c>
      <c r="G13" s="98">
        <v>191</v>
      </c>
      <c r="H13" s="74">
        <v>500</v>
      </c>
    </row>
    <row r="14" spans="2:8">
      <c r="B14" s="72" t="s">
        <v>263</v>
      </c>
      <c r="C14" s="72" t="s">
        <v>264</v>
      </c>
      <c r="D14" s="73">
        <v>44142</v>
      </c>
      <c r="E14" s="74">
        <v>9900</v>
      </c>
      <c r="F14" s="72" t="s">
        <v>244</v>
      </c>
      <c r="G14" s="98">
        <v>304</v>
      </c>
      <c r="H14" s="74">
        <v>1000</v>
      </c>
    </row>
    <row r="15" spans="2:8">
      <c r="B15" s="72" t="s">
        <v>265</v>
      </c>
      <c r="C15" s="72" t="s">
        <v>266</v>
      </c>
      <c r="D15" s="73">
        <v>44167</v>
      </c>
      <c r="E15" s="74">
        <v>13500</v>
      </c>
      <c r="F15" s="72" t="s">
        <v>241</v>
      </c>
      <c r="G15" s="98">
        <v>300</v>
      </c>
      <c r="H15" s="74">
        <v>2000</v>
      </c>
    </row>
    <row r="16" spans="2:8">
      <c r="B16" s="72" t="s">
        <v>267</v>
      </c>
      <c r="C16" s="72" t="s">
        <v>268</v>
      </c>
      <c r="D16" s="73">
        <v>44192</v>
      </c>
      <c r="E16" s="74">
        <v>14250</v>
      </c>
      <c r="F16" s="72" t="s">
        <v>241</v>
      </c>
      <c r="G16" s="98">
        <v>58</v>
      </c>
      <c r="H16" s="74">
        <v>1000</v>
      </c>
    </row>
    <row r="17" spans="2:8">
      <c r="B17" s="72" t="s">
        <v>269</v>
      </c>
      <c r="C17" s="72" t="s">
        <v>270</v>
      </c>
      <c r="D17" s="73">
        <v>44217</v>
      </c>
      <c r="E17" s="74">
        <v>20700</v>
      </c>
      <c r="F17" s="72" t="s">
        <v>256</v>
      </c>
      <c r="G17" s="98">
        <v>376</v>
      </c>
      <c r="H17" s="74">
        <v>1000</v>
      </c>
    </row>
    <row r="18" spans="2:8">
      <c r="B18" s="72" t="s">
        <v>271</v>
      </c>
      <c r="C18" s="72" t="s">
        <v>272</v>
      </c>
      <c r="D18" s="73">
        <v>44242</v>
      </c>
      <c r="E18" s="74">
        <v>13500</v>
      </c>
      <c r="F18" s="72" t="s">
        <v>256</v>
      </c>
      <c r="G18" s="98">
        <v>302</v>
      </c>
      <c r="H18" s="74">
        <v>1000</v>
      </c>
    </row>
    <row r="19" spans="2:8">
      <c r="B19" s="72" t="s">
        <v>273</v>
      </c>
      <c r="C19" s="72" t="s">
        <v>274</v>
      </c>
      <c r="D19" s="73">
        <v>44258</v>
      </c>
      <c r="E19" s="74">
        <v>24300</v>
      </c>
      <c r="F19" s="72" t="s">
        <v>238</v>
      </c>
      <c r="G19" s="98">
        <v>748</v>
      </c>
      <c r="H19" s="74">
        <v>2000</v>
      </c>
    </row>
    <row r="20" spans="2:8">
      <c r="B20" s="72" t="s">
        <v>275</v>
      </c>
      <c r="C20" s="72" t="s">
        <v>276</v>
      </c>
      <c r="D20" s="73">
        <v>44274</v>
      </c>
      <c r="E20" s="74">
        <v>25300</v>
      </c>
      <c r="F20" s="72" t="s">
        <v>256</v>
      </c>
      <c r="G20" s="98">
        <v>80</v>
      </c>
      <c r="H20" s="74">
        <v>500</v>
      </c>
    </row>
    <row r="21" spans="2:8">
      <c r="B21" s="72" t="s">
        <v>277</v>
      </c>
      <c r="C21" s="72" t="s">
        <v>278</v>
      </c>
      <c r="D21" s="73">
        <v>44290</v>
      </c>
      <c r="E21" s="74">
        <v>9900</v>
      </c>
      <c r="F21" s="72" t="s">
        <v>244</v>
      </c>
      <c r="G21" s="98">
        <v>91</v>
      </c>
      <c r="H21" s="74">
        <v>1000</v>
      </c>
    </row>
    <row r="22" spans="2:8">
      <c r="B22" s="72" t="s">
        <v>279</v>
      </c>
      <c r="C22" s="72" t="s">
        <v>280</v>
      </c>
      <c r="D22" s="73">
        <v>44306</v>
      </c>
      <c r="E22" s="74">
        <v>8100</v>
      </c>
      <c r="F22" s="72" t="s">
        <v>253</v>
      </c>
      <c r="G22" s="98">
        <v>146</v>
      </c>
      <c r="H22" s="74">
        <v>1000</v>
      </c>
    </row>
    <row r="23" spans="2:8">
      <c r="B23" s="72" t="s">
        <v>281</v>
      </c>
      <c r="C23" s="72" t="s">
        <v>282</v>
      </c>
      <c r="D23" s="73">
        <v>44322</v>
      </c>
      <c r="E23" s="74">
        <v>11700</v>
      </c>
      <c r="F23" s="72" t="s">
        <v>244</v>
      </c>
      <c r="G23" s="98">
        <v>392</v>
      </c>
      <c r="H23" s="74">
        <v>1500</v>
      </c>
    </row>
    <row r="24" spans="2:8">
      <c r="B24" s="72" t="s">
        <v>283</v>
      </c>
      <c r="C24" s="72" t="s">
        <v>284</v>
      </c>
      <c r="D24" s="73">
        <v>44338</v>
      </c>
      <c r="E24" s="74">
        <v>25200</v>
      </c>
      <c r="F24" s="72" t="s">
        <v>256</v>
      </c>
      <c r="G24" s="98">
        <v>518</v>
      </c>
      <c r="H24" s="74">
        <v>1500</v>
      </c>
    </row>
    <row r="25" spans="2:8">
      <c r="B25" s="72" t="s">
        <v>285</v>
      </c>
      <c r="C25" s="72" t="s">
        <v>286</v>
      </c>
      <c r="D25" s="73">
        <v>44354</v>
      </c>
      <c r="E25" s="74">
        <v>37800</v>
      </c>
      <c r="F25" s="72" t="s">
        <v>238</v>
      </c>
      <c r="G25" s="98">
        <v>1308</v>
      </c>
      <c r="H25" s="74">
        <v>2000</v>
      </c>
    </row>
    <row r="26" spans="2:8">
      <c r="B26" s="72" t="s">
        <v>287</v>
      </c>
      <c r="C26" s="72" t="s">
        <v>288</v>
      </c>
      <c r="D26" s="73">
        <v>44370</v>
      </c>
      <c r="E26" s="74">
        <v>7200</v>
      </c>
      <c r="F26" s="72" t="s">
        <v>244</v>
      </c>
      <c r="G26" s="98">
        <v>113</v>
      </c>
      <c r="H26" s="74">
        <v>1500</v>
      </c>
    </row>
    <row r="27" spans="2:8">
      <c r="B27" s="72" t="s">
        <v>289</v>
      </c>
      <c r="C27" s="72" t="s">
        <v>290</v>
      </c>
      <c r="D27" s="73">
        <v>44386</v>
      </c>
      <c r="E27" s="74">
        <v>17100</v>
      </c>
      <c r="F27" s="72" t="s">
        <v>241</v>
      </c>
      <c r="G27" s="98">
        <v>256</v>
      </c>
      <c r="H27" s="74">
        <v>500</v>
      </c>
    </row>
    <row r="28" spans="2:8">
      <c r="B28" s="72" t="s">
        <v>291</v>
      </c>
      <c r="C28" s="72" t="s">
        <v>292</v>
      </c>
      <c r="D28" s="73">
        <v>44402</v>
      </c>
      <c r="E28" s="74">
        <v>22000</v>
      </c>
      <c r="F28" s="72" t="s">
        <v>241</v>
      </c>
      <c r="G28" s="98">
        <v>78</v>
      </c>
      <c r="H28" s="74">
        <v>500</v>
      </c>
    </row>
  </sheetData>
  <phoneticPr fontId="2" type="noConversion"/>
  <conditionalFormatting sqref="E3:E28">
    <cfRule type="dataBar" priority="3">
      <dataBar>
        <cfvo type="num" val="5000"/>
        <cfvo type="num" val="40000"/>
        <color rgb="FFFFC000"/>
      </dataBar>
      <extLst>
        <ext xmlns:x14="http://schemas.microsoft.com/office/spreadsheetml/2009/9/main" uri="{B025F937-C7B1-47D3-B67F-A62EFF666E3E}">
          <x14:id>{D7A6E068-C5A7-46AE-A16C-188AD4645AAA}</x14:id>
        </ext>
      </extLst>
    </cfRule>
    <cfRule type="dataBar" priority="2">
      <dataBar>
        <cfvo type="num" val="5000"/>
        <cfvo type="num" val="40000"/>
        <color rgb="FFFFC000"/>
      </dataBar>
      <extLst>
        <ext xmlns:x14="http://schemas.microsoft.com/office/spreadsheetml/2009/9/main" uri="{B025F937-C7B1-47D3-B67F-A62EFF666E3E}">
          <x14:id>{01E7AC50-C6EC-4E6D-B8C7-A8E2896E71E7}</x14:id>
        </ext>
      </extLst>
    </cfRule>
    <cfRule type="dataBar" priority="1">
      <dataBar>
        <cfvo type="num" val="5000"/>
        <cfvo type="num" val="40000"/>
        <color rgb="FFFFC000"/>
      </dataBar>
      <extLst>
        <ext xmlns:x14="http://schemas.microsoft.com/office/spreadsheetml/2009/9/main" uri="{B025F937-C7B1-47D3-B67F-A62EFF666E3E}">
          <x14:id>{F3F3D137-DF82-4008-BCD5-2FB3CFDBEA4A}</x14:id>
        </ext>
      </extLs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그라데이션">
                <anchor moveWithCells="1" sizeWithCells="1">
                  <from>
                    <xdr:col>9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7A6E068-C5A7-46AE-A16C-188AD4645AAA}">
            <x14:dataBar minLength="0" maxLength="100">
              <x14:cfvo type="num">
                <xm:f>5000</xm:f>
              </x14:cfvo>
              <x14:cfvo type="num">
                <xm:f>40000</xm:f>
              </x14:cfvo>
              <x14:negativeFillColor rgb="FFFF0000"/>
              <x14:axisColor rgb="FF000000"/>
            </x14:dataBar>
          </x14:cfRule>
          <x14:cfRule type="dataBar" id="{01E7AC50-C6EC-4E6D-B8C7-A8E2896E71E7}">
            <x14:dataBar minLength="0" maxLength="100">
              <x14:cfvo type="num">
                <xm:f>5000</xm:f>
              </x14:cfvo>
              <x14:cfvo type="num">
                <xm:f>40000</xm:f>
              </x14:cfvo>
              <x14:negativeFillColor rgb="FFFF0000"/>
              <x14:axisColor rgb="FF000000"/>
            </x14:dataBar>
          </x14:cfRule>
          <x14:cfRule type="dataBar" id="{F3F3D137-DF82-4008-BCD5-2FB3CFDBEA4A}">
            <x14:dataBar minLength="0" maxLength="100">
              <x14:cfvo type="num">
                <xm:f>5000</xm:f>
              </x14:cfvo>
              <x14:cfvo type="num">
                <xm:f>40000</xm:f>
              </x14:cfvo>
              <x14:negativeFillColor rgb="FFFF0000"/>
              <x14:axisColor rgb="FF000000"/>
            </x14:dataBar>
          </x14:cfRule>
          <xm:sqref>E3:E28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2:F32"/>
  <sheetViews>
    <sheetView zoomScaleNormal="100" workbookViewId="0">
      <selection activeCell="K6" sqref="K6"/>
    </sheetView>
  </sheetViews>
  <sheetFormatPr defaultRowHeight="16.899999999999999"/>
  <cols>
    <col min="1" max="1" width="9.625" customWidth="1"/>
    <col min="2" max="2" width="13" bestFit="1" customWidth="1"/>
    <col min="3" max="5" width="7.125" customWidth="1"/>
  </cols>
  <sheetData>
    <row r="2" spans="1:6">
      <c r="A2" s="75" t="s">
        <v>293</v>
      </c>
      <c r="B2" s="76" t="s">
        <v>294</v>
      </c>
      <c r="C2" s="76" t="s">
        <v>295</v>
      </c>
      <c r="D2" s="76" t="s">
        <v>296</v>
      </c>
      <c r="E2" s="76" t="s">
        <v>297</v>
      </c>
      <c r="F2" s="77" t="s">
        <v>298</v>
      </c>
    </row>
    <row r="3" spans="1:6">
      <c r="A3" s="78" t="s">
        <v>299</v>
      </c>
      <c r="B3" s="79" t="s">
        <v>300</v>
      </c>
      <c r="C3" s="99">
        <v>87</v>
      </c>
      <c r="D3" s="99">
        <v>89</v>
      </c>
      <c r="E3" s="99">
        <f>AVERAGEA(C3:D3)</f>
        <v>88</v>
      </c>
      <c r="F3" s="8">
        <v>5</v>
      </c>
    </row>
    <row r="4" spans="1:6">
      <c r="A4" s="78" t="s">
        <v>301</v>
      </c>
      <c r="B4" s="79" t="s">
        <v>300</v>
      </c>
      <c r="C4" s="99">
        <v>56</v>
      </c>
      <c r="D4" s="99">
        <v>97</v>
      </c>
      <c r="E4" s="99">
        <f t="shared" ref="E4:E32" si="0">AVERAGEA(C4:D4)</f>
        <v>76.5</v>
      </c>
      <c r="F4" s="8">
        <v>4</v>
      </c>
    </row>
    <row r="5" spans="1:6">
      <c r="A5" s="78" t="s">
        <v>302</v>
      </c>
      <c r="B5" s="79" t="s">
        <v>300</v>
      </c>
      <c r="C5" s="99">
        <v>92</v>
      </c>
      <c r="D5" s="99">
        <v>89</v>
      </c>
      <c r="E5" s="99">
        <f t="shared" si="0"/>
        <v>90.5</v>
      </c>
      <c r="F5" s="8">
        <v>5</v>
      </c>
    </row>
    <row r="6" spans="1:6">
      <c r="A6" s="78" t="s">
        <v>303</v>
      </c>
      <c r="B6" s="79" t="s">
        <v>300</v>
      </c>
      <c r="C6" s="99">
        <v>86</v>
      </c>
      <c r="D6" s="99">
        <v>90</v>
      </c>
      <c r="E6" s="99">
        <f t="shared" si="0"/>
        <v>88</v>
      </c>
      <c r="F6" s="8">
        <v>5</v>
      </c>
    </row>
    <row r="7" spans="1:6">
      <c r="A7" s="78" t="s">
        <v>304</v>
      </c>
      <c r="B7" s="79" t="s">
        <v>300</v>
      </c>
      <c r="C7" s="99">
        <v>80</v>
      </c>
      <c r="D7" s="99">
        <v>93</v>
      </c>
      <c r="E7" s="99">
        <f t="shared" si="0"/>
        <v>86.5</v>
      </c>
      <c r="F7" s="8">
        <v>5</v>
      </c>
    </row>
    <row r="8" spans="1:6">
      <c r="A8" s="78" t="s">
        <v>305</v>
      </c>
      <c r="B8" s="79" t="s">
        <v>306</v>
      </c>
      <c r="C8" s="99">
        <v>30</v>
      </c>
      <c r="D8" s="99">
        <v>56</v>
      </c>
      <c r="E8" s="99">
        <f t="shared" si="0"/>
        <v>43</v>
      </c>
      <c r="F8" s="8">
        <v>3</v>
      </c>
    </row>
    <row r="9" spans="1:6">
      <c r="A9" s="78" t="s">
        <v>307</v>
      </c>
      <c r="B9" s="79" t="s">
        <v>300</v>
      </c>
      <c r="C9" s="99">
        <v>97</v>
      </c>
      <c r="D9" s="99">
        <v>69</v>
      </c>
      <c r="E9" s="99">
        <f t="shared" si="0"/>
        <v>83</v>
      </c>
      <c r="F9" s="8">
        <v>5</v>
      </c>
    </row>
    <row r="10" spans="1:6">
      <c r="A10" s="78" t="s">
        <v>308</v>
      </c>
      <c r="B10" s="79" t="s">
        <v>300</v>
      </c>
      <c r="C10" s="99">
        <v>93</v>
      </c>
      <c r="D10" s="99">
        <v>87</v>
      </c>
      <c r="E10" s="99">
        <f t="shared" si="0"/>
        <v>90</v>
      </c>
      <c r="F10" s="8">
        <v>5</v>
      </c>
    </row>
    <row r="11" spans="1:6">
      <c r="A11" s="78" t="s">
        <v>309</v>
      </c>
      <c r="B11" s="79" t="s">
        <v>300</v>
      </c>
      <c r="C11" s="99">
        <v>91</v>
      </c>
      <c r="D11" s="99">
        <v>95</v>
      </c>
      <c r="E11" s="99">
        <f t="shared" si="0"/>
        <v>93</v>
      </c>
      <c r="F11" s="8">
        <v>5</v>
      </c>
    </row>
    <row r="12" spans="1:6">
      <c r="A12" s="78" t="s">
        <v>310</v>
      </c>
      <c r="B12" s="79" t="s">
        <v>311</v>
      </c>
      <c r="C12" s="99" t="s">
        <v>312</v>
      </c>
      <c r="D12" s="99">
        <v>95</v>
      </c>
      <c r="E12" s="99">
        <f t="shared" si="0"/>
        <v>47.5</v>
      </c>
      <c r="F12" s="8">
        <v>2</v>
      </c>
    </row>
    <row r="13" spans="1:6">
      <c r="A13" s="78" t="s">
        <v>313</v>
      </c>
      <c r="B13" s="79" t="s">
        <v>311</v>
      </c>
      <c r="C13" s="99">
        <v>45</v>
      </c>
      <c r="D13" s="99">
        <v>97</v>
      </c>
      <c r="E13" s="99">
        <f t="shared" si="0"/>
        <v>71</v>
      </c>
      <c r="F13" s="8">
        <v>3.5</v>
      </c>
    </row>
    <row r="14" spans="1:6">
      <c r="A14" s="78" t="s">
        <v>314</v>
      </c>
      <c r="B14" s="79" t="s">
        <v>311</v>
      </c>
      <c r="C14" s="99">
        <v>60</v>
      </c>
      <c r="D14" s="99">
        <v>95</v>
      </c>
      <c r="E14" s="99">
        <f t="shared" si="0"/>
        <v>77.5</v>
      </c>
      <c r="F14" s="8">
        <v>3.5</v>
      </c>
    </row>
    <row r="15" spans="1:6">
      <c r="A15" s="78" t="s">
        <v>315</v>
      </c>
      <c r="B15" s="79" t="s">
        <v>311</v>
      </c>
      <c r="C15" s="99">
        <v>95</v>
      </c>
      <c r="D15" s="99">
        <v>82</v>
      </c>
      <c r="E15" s="99">
        <f t="shared" si="0"/>
        <v>88.5</v>
      </c>
      <c r="F15" s="8">
        <v>4</v>
      </c>
    </row>
    <row r="16" spans="1:6">
      <c r="A16" s="78" t="s">
        <v>316</v>
      </c>
      <c r="B16" s="79" t="s">
        <v>311</v>
      </c>
      <c r="C16" s="99">
        <v>93</v>
      </c>
      <c r="D16" s="99" t="s">
        <v>312</v>
      </c>
      <c r="E16" s="99">
        <f t="shared" si="0"/>
        <v>46.5</v>
      </c>
      <c r="F16" s="8">
        <v>2</v>
      </c>
    </row>
    <row r="17" spans="1:6">
      <c r="A17" s="78" t="s">
        <v>317</v>
      </c>
      <c r="B17" s="79" t="s">
        <v>311</v>
      </c>
      <c r="C17" s="99">
        <v>87</v>
      </c>
      <c r="D17" s="99">
        <v>89</v>
      </c>
      <c r="E17" s="99">
        <f t="shared" si="0"/>
        <v>88</v>
      </c>
      <c r="F17" s="8">
        <v>4</v>
      </c>
    </row>
    <row r="18" spans="1:6">
      <c r="A18" s="78" t="s">
        <v>318</v>
      </c>
      <c r="B18" s="79" t="s">
        <v>311</v>
      </c>
      <c r="C18" s="99">
        <v>93</v>
      </c>
      <c r="D18" s="99">
        <v>91</v>
      </c>
      <c r="E18" s="99">
        <f t="shared" si="0"/>
        <v>92</v>
      </c>
      <c r="F18" s="8">
        <v>4</v>
      </c>
    </row>
    <row r="19" spans="1:6">
      <c r="A19" s="78" t="s">
        <v>319</v>
      </c>
      <c r="B19" s="79" t="s">
        <v>311</v>
      </c>
      <c r="C19" s="99" t="s">
        <v>312</v>
      </c>
      <c r="D19" s="99">
        <v>93</v>
      </c>
      <c r="E19" s="99">
        <f t="shared" si="0"/>
        <v>46.5</v>
      </c>
      <c r="F19" s="8">
        <v>2</v>
      </c>
    </row>
    <row r="20" spans="1:6">
      <c r="A20" s="78" t="s">
        <v>320</v>
      </c>
      <c r="B20" s="79" t="s">
        <v>321</v>
      </c>
      <c r="C20" s="99">
        <v>80</v>
      </c>
      <c r="D20" s="99">
        <v>97</v>
      </c>
      <c r="E20" s="99">
        <f t="shared" si="0"/>
        <v>88.5</v>
      </c>
      <c r="F20" s="8">
        <v>5</v>
      </c>
    </row>
    <row r="21" spans="1:6">
      <c r="A21" s="78" t="s">
        <v>322</v>
      </c>
      <c r="B21" s="79" t="s">
        <v>321</v>
      </c>
      <c r="C21" s="99">
        <v>75</v>
      </c>
      <c r="D21" s="99">
        <v>82</v>
      </c>
      <c r="E21" s="99">
        <f t="shared" si="0"/>
        <v>78.5</v>
      </c>
      <c r="F21" s="8">
        <v>4</v>
      </c>
    </row>
    <row r="22" spans="1:6">
      <c r="A22" s="78" t="s">
        <v>23</v>
      </c>
      <c r="B22" s="79" t="s">
        <v>321</v>
      </c>
      <c r="C22" s="99">
        <v>91</v>
      </c>
      <c r="D22" s="99">
        <v>70</v>
      </c>
      <c r="E22" s="99">
        <f t="shared" si="0"/>
        <v>80.5</v>
      </c>
      <c r="F22" s="8">
        <v>5</v>
      </c>
    </row>
    <row r="23" spans="1:6">
      <c r="A23" s="78" t="s">
        <v>18</v>
      </c>
      <c r="B23" s="79" t="s">
        <v>321</v>
      </c>
      <c r="C23" s="99">
        <v>55</v>
      </c>
      <c r="D23" s="99" t="s">
        <v>312</v>
      </c>
      <c r="E23" s="99">
        <f t="shared" si="0"/>
        <v>27.5</v>
      </c>
      <c r="F23" s="8">
        <v>2</v>
      </c>
    </row>
    <row r="24" spans="1:6">
      <c r="A24" s="78" t="s">
        <v>21</v>
      </c>
      <c r="B24" s="79" t="s">
        <v>321</v>
      </c>
      <c r="C24" s="99">
        <v>86</v>
      </c>
      <c r="D24" s="99" t="s">
        <v>312</v>
      </c>
      <c r="E24" s="99">
        <f t="shared" si="0"/>
        <v>43</v>
      </c>
      <c r="F24" s="8">
        <v>2</v>
      </c>
    </row>
    <row r="25" spans="1:6">
      <c r="A25" s="78" t="s">
        <v>20</v>
      </c>
      <c r="B25" s="79" t="s">
        <v>321</v>
      </c>
      <c r="C25" s="99">
        <v>97</v>
      </c>
      <c r="D25" s="99">
        <v>97</v>
      </c>
      <c r="E25" s="99">
        <f t="shared" si="0"/>
        <v>97</v>
      </c>
      <c r="F25" s="8">
        <v>5</v>
      </c>
    </row>
    <row r="26" spans="1:6">
      <c r="A26" s="78" t="s">
        <v>323</v>
      </c>
      <c r="B26" s="79" t="s">
        <v>321</v>
      </c>
      <c r="C26" s="99">
        <v>43</v>
      </c>
      <c r="D26" s="99">
        <v>80</v>
      </c>
      <c r="E26" s="99">
        <f t="shared" si="0"/>
        <v>61.5</v>
      </c>
      <c r="F26" s="8">
        <v>4</v>
      </c>
    </row>
    <row r="27" spans="1:6">
      <c r="A27" s="78" t="s">
        <v>19</v>
      </c>
      <c r="B27" s="79" t="s">
        <v>324</v>
      </c>
      <c r="C27" s="99">
        <v>92</v>
      </c>
      <c r="D27" s="99">
        <v>64</v>
      </c>
      <c r="E27" s="99">
        <f t="shared" si="0"/>
        <v>78</v>
      </c>
      <c r="F27" s="8">
        <v>3.5</v>
      </c>
    </row>
    <row r="28" spans="1:6">
      <c r="A28" s="78" t="s">
        <v>325</v>
      </c>
      <c r="B28" s="79" t="s">
        <v>324</v>
      </c>
      <c r="C28" s="99">
        <v>80</v>
      </c>
      <c r="D28" s="99">
        <v>44</v>
      </c>
      <c r="E28" s="99">
        <f t="shared" si="0"/>
        <v>62</v>
      </c>
      <c r="F28" s="8">
        <v>3.5</v>
      </c>
    </row>
    <row r="29" spans="1:6">
      <c r="A29" s="78" t="s">
        <v>24</v>
      </c>
      <c r="B29" s="79" t="s">
        <v>324</v>
      </c>
      <c r="C29" s="99">
        <v>75</v>
      </c>
      <c r="D29" s="99" t="s">
        <v>312</v>
      </c>
      <c r="E29" s="99">
        <f t="shared" si="0"/>
        <v>37.5</v>
      </c>
      <c r="F29" s="8">
        <v>3</v>
      </c>
    </row>
    <row r="30" spans="1:6">
      <c r="A30" s="78" t="s">
        <v>326</v>
      </c>
      <c r="B30" s="79" t="s">
        <v>324</v>
      </c>
      <c r="C30" s="99" t="s">
        <v>312</v>
      </c>
      <c r="D30" s="99">
        <v>86</v>
      </c>
      <c r="E30" s="99">
        <f t="shared" si="0"/>
        <v>43</v>
      </c>
      <c r="F30" s="8">
        <v>3</v>
      </c>
    </row>
    <row r="31" spans="1:6">
      <c r="A31" s="78" t="s">
        <v>327</v>
      </c>
      <c r="B31" s="79" t="s">
        <v>324</v>
      </c>
      <c r="C31" s="99">
        <v>53</v>
      </c>
      <c r="D31" s="99">
        <v>73</v>
      </c>
      <c r="E31" s="99">
        <f t="shared" si="0"/>
        <v>63</v>
      </c>
      <c r="F31" s="8">
        <v>3.5</v>
      </c>
    </row>
    <row r="32" spans="1:6">
      <c r="A32" s="78" t="s">
        <v>22</v>
      </c>
      <c r="B32" s="79" t="s">
        <v>324</v>
      </c>
      <c r="C32" s="99">
        <v>99</v>
      </c>
      <c r="D32" s="99">
        <v>87</v>
      </c>
      <c r="E32" s="99">
        <f t="shared" si="0"/>
        <v>93</v>
      </c>
      <c r="F32" s="8">
        <v>4</v>
      </c>
    </row>
  </sheetData>
  <phoneticPr fontId="2" type="noConversion"/>
  <conditionalFormatting sqref="F3:F32">
    <cfRule type="iconSet" priority="3">
      <iconSet iconSet="3Arrows">
        <cfvo type="percent" val="0"/>
        <cfvo type="num" val="3"/>
        <cfvo type="num" val="4"/>
      </iconSet>
    </cfRule>
    <cfRule type="iconSet" priority="2">
      <iconSet iconSet="3Arrows">
        <cfvo type="percent" val="0"/>
        <cfvo type="num" val="3"/>
        <cfvo type="num" val="4"/>
      </iconSet>
    </cfRule>
    <cfRule type="iconSet" priority="1">
      <iconSet iconSet="3Arrows">
        <cfvo type="percent" val="0"/>
        <cfvo type="num" val="3"/>
        <cfvo type="num" val="4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점수표시">
                <anchor moveWithCells="1" sizeWithCells="1">
                  <from>
                    <xdr:col>7</xdr:col>
                    <xdr:colOff>0</xdr:colOff>
                    <xdr:row>1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E31"/>
  <sheetViews>
    <sheetView zoomScaleNormal="100" workbookViewId="0">
      <selection activeCell="J6" sqref="J6"/>
    </sheetView>
  </sheetViews>
  <sheetFormatPr defaultRowHeight="16.899999999999999"/>
  <cols>
    <col min="1" max="1" width="10.5" customWidth="1"/>
    <col min="2" max="2" width="27.125" customWidth="1"/>
    <col min="3" max="3" width="11" bestFit="1" customWidth="1"/>
    <col min="4" max="4" width="10.125" bestFit="1" customWidth="1"/>
    <col min="5" max="5" width="10.5" bestFit="1" customWidth="1"/>
  </cols>
  <sheetData>
    <row r="1" spans="1:5">
      <c r="A1" t="s">
        <v>328</v>
      </c>
    </row>
    <row r="2" spans="1:5">
      <c r="A2" s="80" t="s">
        <v>329</v>
      </c>
      <c r="B2" s="81" t="s">
        <v>330</v>
      </c>
      <c r="C2" s="80" t="s">
        <v>331</v>
      </c>
      <c r="D2" s="81" t="s">
        <v>332</v>
      </c>
      <c r="E2" s="81" t="s">
        <v>333</v>
      </c>
    </row>
    <row r="3" spans="1:5">
      <c r="A3" s="62" t="s">
        <v>334</v>
      </c>
      <c r="B3" s="82" t="s">
        <v>335</v>
      </c>
      <c r="C3" s="83">
        <v>44217</v>
      </c>
      <c r="D3" s="62">
        <v>15</v>
      </c>
      <c r="E3" s="84">
        <v>56000</v>
      </c>
    </row>
    <row r="4" spans="1:5">
      <c r="A4" s="62" t="s">
        <v>336</v>
      </c>
      <c r="B4" s="82" t="s">
        <v>337</v>
      </c>
      <c r="C4" s="83">
        <v>44169</v>
      </c>
      <c r="D4" s="62">
        <v>15</v>
      </c>
      <c r="E4" s="84">
        <v>87000</v>
      </c>
    </row>
    <row r="5" spans="1:5">
      <c r="A5" s="62" t="s">
        <v>336</v>
      </c>
      <c r="B5" s="82" t="s">
        <v>338</v>
      </c>
      <c r="C5" s="83">
        <v>44207</v>
      </c>
      <c r="D5" s="62">
        <v>15</v>
      </c>
      <c r="E5" s="84">
        <v>78000</v>
      </c>
    </row>
    <row r="6" spans="1:5">
      <c r="A6" s="62" t="s">
        <v>336</v>
      </c>
      <c r="B6" s="82" t="s">
        <v>338</v>
      </c>
      <c r="C6" s="83">
        <v>44169</v>
      </c>
      <c r="D6" s="62">
        <v>20</v>
      </c>
      <c r="E6" s="84">
        <v>78000</v>
      </c>
    </row>
    <row r="7" spans="1:5">
      <c r="A7" s="62" t="s">
        <v>339</v>
      </c>
      <c r="B7" s="82" t="s">
        <v>340</v>
      </c>
      <c r="C7" s="83">
        <v>44174</v>
      </c>
      <c r="D7" s="62">
        <v>20</v>
      </c>
      <c r="E7" s="84">
        <v>18000</v>
      </c>
    </row>
    <row r="8" spans="1:5">
      <c r="A8" s="62" t="s">
        <v>336</v>
      </c>
      <c r="B8" s="82" t="s">
        <v>337</v>
      </c>
      <c r="C8" s="83">
        <v>44176</v>
      </c>
      <c r="D8" s="62">
        <v>15</v>
      </c>
      <c r="E8" s="84">
        <v>87000</v>
      </c>
    </row>
    <row r="9" spans="1:5">
      <c r="A9" s="62" t="s">
        <v>339</v>
      </c>
      <c r="B9" s="82" t="s">
        <v>340</v>
      </c>
      <c r="C9" s="83">
        <v>44176</v>
      </c>
      <c r="D9" s="62">
        <v>15</v>
      </c>
      <c r="E9" s="84">
        <v>18000</v>
      </c>
    </row>
    <row r="10" spans="1:5">
      <c r="A10" s="62" t="s">
        <v>334</v>
      </c>
      <c r="B10" s="82" t="s">
        <v>335</v>
      </c>
      <c r="C10" s="83">
        <v>44217</v>
      </c>
      <c r="D10" s="62">
        <v>15</v>
      </c>
      <c r="E10" s="84">
        <v>56000</v>
      </c>
    </row>
    <row r="11" spans="1:5">
      <c r="A11" s="62" t="s">
        <v>336</v>
      </c>
      <c r="B11" s="82" t="s">
        <v>340</v>
      </c>
      <c r="C11" s="83">
        <v>44211</v>
      </c>
      <c r="D11" s="62">
        <v>15</v>
      </c>
      <c r="E11" s="84">
        <v>155000</v>
      </c>
    </row>
    <row r="12" spans="1:5">
      <c r="A12" s="62" t="s">
        <v>339</v>
      </c>
      <c r="B12" s="82" t="s">
        <v>335</v>
      </c>
      <c r="C12" s="83">
        <v>44181</v>
      </c>
      <c r="D12" s="62">
        <v>10</v>
      </c>
      <c r="E12" s="84">
        <v>18000</v>
      </c>
    </row>
    <row r="13" spans="1:5">
      <c r="A13" s="62" t="s">
        <v>336</v>
      </c>
      <c r="B13" s="82" t="s">
        <v>340</v>
      </c>
      <c r="C13" s="83">
        <v>44217</v>
      </c>
      <c r="D13" s="62">
        <v>10</v>
      </c>
      <c r="E13" s="84">
        <v>155000</v>
      </c>
    </row>
    <row r="14" spans="1:5">
      <c r="A14" s="62" t="s">
        <v>336</v>
      </c>
      <c r="B14" s="82" t="s">
        <v>338</v>
      </c>
      <c r="C14" s="83">
        <v>44225</v>
      </c>
      <c r="D14" s="62">
        <v>10</v>
      </c>
      <c r="E14" s="84">
        <v>78000</v>
      </c>
    </row>
    <row r="15" spans="1:5">
      <c r="A15" s="62" t="s">
        <v>336</v>
      </c>
      <c r="B15" s="82" t="s">
        <v>337</v>
      </c>
      <c r="C15" s="83">
        <v>44217</v>
      </c>
      <c r="D15" s="62">
        <v>10</v>
      </c>
      <c r="E15" s="84">
        <v>87000</v>
      </c>
    </row>
    <row r="16" spans="1:5">
      <c r="A16" s="62" t="s">
        <v>334</v>
      </c>
      <c r="B16" s="82" t="s">
        <v>335</v>
      </c>
      <c r="C16" s="83">
        <v>44181</v>
      </c>
      <c r="D16" s="62">
        <v>10</v>
      </c>
      <c r="E16" s="84">
        <v>56000</v>
      </c>
    </row>
    <row r="17" spans="1:5">
      <c r="A17" s="62" t="s">
        <v>336</v>
      </c>
      <c r="B17" s="82" t="s">
        <v>338</v>
      </c>
      <c r="C17" s="83">
        <v>44225</v>
      </c>
      <c r="D17" s="62">
        <v>10</v>
      </c>
      <c r="E17" s="84">
        <v>78000</v>
      </c>
    </row>
    <row r="18" spans="1:5">
      <c r="A18" s="62" t="s">
        <v>336</v>
      </c>
      <c r="B18" s="82" t="s">
        <v>340</v>
      </c>
      <c r="C18" s="83">
        <v>44211</v>
      </c>
      <c r="D18" s="62">
        <v>10</v>
      </c>
      <c r="E18" s="84">
        <v>155000</v>
      </c>
    </row>
    <row r="19" spans="1:5">
      <c r="A19" s="62" t="s">
        <v>339</v>
      </c>
      <c r="B19" s="82" t="s">
        <v>335</v>
      </c>
      <c r="C19" s="83">
        <v>44181</v>
      </c>
      <c r="D19" s="62">
        <v>10</v>
      </c>
      <c r="E19" s="84">
        <v>18000</v>
      </c>
    </row>
    <row r="20" spans="1:5">
      <c r="A20" s="62" t="s">
        <v>336</v>
      </c>
      <c r="B20" s="82" t="s">
        <v>338</v>
      </c>
      <c r="C20" s="83">
        <v>44204</v>
      </c>
      <c r="D20" s="62">
        <v>15</v>
      </c>
      <c r="E20" s="84">
        <v>78000</v>
      </c>
    </row>
    <row r="21" spans="1:5">
      <c r="A21" s="62" t="s">
        <v>336</v>
      </c>
      <c r="B21" s="82" t="s">
        <v>338</v>
      </c>
      <c r="C21" s="83">
        <v>44225</v>
      </c>
      <c r="D21" s="62">
        <v>15</v>
      </c>
      <c r="E21" s="84">
        <v>78000</v>
      </c>
    </row>
    <row r="22" spans="1:5">
      <c r="A22" s="62" t="s">
        <v>336</v>
      </c>
      <c r="B22" s="82" t="s">
        <v>337</v>
      </c>
      <c r="C22" s="83">
        <v>44169</v>
      </c>
      <c r="D22" s="62">
        <v>15</v>
      </c>
      <c r="E22" s="84">
        <v>87000</v>
      </c>
    </row>
    <row r="23" spans="1:5">
      <c r="A23" s="62" t="s">
        <v>336</v>
      </c>
      <c r="B23" s="82" t="s">
        <v>340</v>
      </c>
      <c r="C23" s="83">
        <v>44211</v>
      </c>
      <c r="D23" s="62">
        <v>15</v>
      </c>
      <c r="E23" s="84">
        <v>155000</v>
      </c>
    </row>
    <row r="24" spans="1:5">
      <c r="A24" s="62" t="s">
        <v>336</v>
      </c>
      <c r="B24" s="82" t="s">
        <v>338</v>
      </c>
      <c r="C24" s="83">
        <v>44204</v>
      </c>
      <c r="D24" s="62">
        <v>15</v>
      </c>
      <c r="E24" s="84">
        <v>78000</v>
      </c>
    </row>
    <row r="25" spans="1:5">
      <c r="A25" s="62" t="s">
        <v>336</v>
      </c>
      <c r="B25" s="82" t="s">
        <v>340</v>
      </c>
      <c r="C25" s="83">
        <v>44207</v>
      </c>
      <c r="D25" s="62">
        <v>5</v>
      </c>
      <c r="E25" s="84">
        <v>155000</v>
      </c>
    </row>
    <row r="26" spans="1:5">
      <c r="A26" s="62" t="s">
        <v>336</v>
      </c>
      <c r="B26" s="82" t="s">
        <v>338</v>
      </c>
      <c r="C26" s="83">
        <v>44181</v>
      </c>
      <c r="D26" s="62">
        <v>5</v>
      </c>
      <c r="E26" s="84">
        <v>78000</v>
      </c>
    </row>
    <row r="27" spans="1:5">
      <c r="A27" s="62" t="s">
        <v>336</v>
      </c>
      <c r="B27" s="82" t="s">
        <v>337</v>
      </c>
      <c r="C27" s="83">
        <v>44211</v>
      </c>
      <c r="D27" s="62">
        <v>5</v>
      </c>
      <c r="E27" s="84">
        <v>87000</v>
      </c>
    </row>
    <row r="28" spans="1:5">
      <c r="A28" s="62" t="s">
        <v>339</v>
      </c>
      <c r="B28" s="82" t="s">
        <v>337</v>
      </c>
      <c r="C28" s="83">
        <v>44181</v>
      </c>
      <c r="D28" s="62">
        <v>5</v>
      </c>
      <c r="E28" s="84">
        <v>18000</v>
      </c>
    </row>
    <row r="29" spans="1:5">
      <c r="A29" s="62" t="s">
        <v>339</v>
      </c>
      <c r="B29" s="82" t="s">
        <v>338</v>
      </c>
      <c r="C29" s="83">
        <v>44217</v>
      </c>
      <c r="D29" s="62">
        <v>5</v>
      </c>
      <c r="E29" s="84">
        <v>18000</v>
      </c>
    </row>
    <row r="30" spans="1:5">
      <c r="A30" s="62" t="s">
        <v>336</v>
      </c>
      <c r="B30" s="82" t="s">
        <v>340</v>
      </c>
      <c r="C30" s="83">
        <v>44211</v>
      </c>
      <c r="D30" s="62">
        <v>5</v>
      </c>
      <c r="E30" s="84">
        <v>155000</v>
      </c>
    </row>
    <row r="31" spans="1:5">
      <c r="A31" s="62" t="s">
        <v>336</v>
      </c>
      <c r="B31" s="82" t="s">
        <v>340</v>
      </c>
      <c r="C31" s="83">
        <v>44181</v>
      </c>
      <c r="D31" s="62">
        <v>5</v>
      </c>
      <c r="E31" s="84">
        <v>155000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서식해제2">
                <anchor moveWithCells="1" sizeWithCells="1">
                  <from>
                    <xdr:col>6</xdr:col>
                    <xdr:colOff>0</xdr:colOff>
                    <xdr:row>5</xdr:row>
                    <xdr:rowOff>0</xdr:rowOff>
                  </from>
                  <to>
                    <xdr:col>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2:G32"/>
  <sheetViews>
    <sheetView zoomScaleNormal="100" workbookViewId="0">
      <selection activeCell="H1" sqref="H1"/>
    </sheetView>
  </sheetViews>
  <sheetFormatPr defaultRowHeight="16.899999999999999"/>
  <cols>
    <col min="1" max="1" width="9" style="86"/>
    <col min="2" max="2" width="11.375" style="86" customWidth="1"/>
    <col min="3" max="4" width="9" style="86"/>
    <col min="5" max="5" width="10.625" style="86" bestFit="1" customWidth="1"/>
    <col min="6" max="16384" width="9" style="86"/>
  </cols>
  <sheetData>
    <row r="2" spans="1:7">
      <c r="A2" s="85" t="s">
        <v>341</v>
      </c>
      <c r="B2" s="85" t="s">
        <v>342</v>
      </c>
      <c r="C2" s="85" t="s">
        <v>44</v>
      </c>
      <c r="D2" s="85" t="s">
        <v>343</v>
      </c>
      <c r="E2" s="85" t="s">
        <v>344</v>
      </c>
      <c r="F2" s="85" t="s">
        <v>42</v>
      </c>
      <c r="G2" s="85" t="s">
        <v>43</v>
      </c>
    </row>
    <row r="3" spans="1:7">
      <c r="A3" s="87">
        <v>1</v>
      </c>
      <c r="B3" s="88">
        <v>201846129</v>
      </c>
      <c r="C3" s="88" t="s">
        <v>345</v>
      </c>
      <c r="D3" s="89" t="s">
        <v>346</v>
      </c>
      <c r="E3" s="90">
        <v>44397</v>
      </c>
      <c r="F3" s="100">
        <v>871</v>
      </c>
      <c r="G3" s="100">
        <v>893</v>
      </c>
    </row>
    <row r="4" spans="1:7">
      <c r="A4" s="87">
        <v>2</v>
      </c>
      <c r="B4" s="88">
        <v>202112153</v>
      </c>
      <c r="C4" s="88" t="s">
        <v>301</v>
      </c>
      <c r="D4" s="89" t="s">
        <v>346</v>
      </c>
      <c r="E4" s="90">
        <v>44425</v>
      </c>
      <c r="F4" s="100">
        <v>562</v>
      </c>
      <c r="G4" s="100">
        <v>975</v>
      </c>
    </row>
    <row r="5" spans="1:7">
      <c r="A5" s="87">
        <v>3</v>
      </c>
      <c r="B5" s="88">
        <v>201984432</v>
      </c>
      <c r="C5" s="88" t="s">
        <v>302</v>
      </c>
      <c r="D5" s="89" t="s">
        <v>346</v>
      </c>
      <c r="E5" s="90">
        <v>44477</v>
      </c>
      <c r="F5" s="100">
        <v>0</v>
      </c>
      <c r="G5" s="100">
        <v>893</v>
      </c>
    </row>
    <row r="6" spans="1:7">
      <c r="A6" s="87">
        <v>4</v>
      </c>
      <c r="B6" s="88">
        <v>201846148</v>
      </c>
      <c r="C6" s="88" t="s">
        <v>347</v>
      </c>
      <c r="D6" s="89" t="s">
        <v>346</v>
      </c>
      <c r="E6" s="90">
        <v>44425</v>
      </c>
      <c r="F6" s="100">
        <v>914</v>
      </c>
      <c r="G6" s="100">
        <v>936</v>
      </c>
    </row>
    <row r="7" spans="1:7">
      <c r="A7" s="87">
        <v>5</v>
      </c>
      <c r="B7" s="88">
        <v>201984161</v>
      </c>
      <c r="C7" s="88" t="s">
        <v>304</v>
      </c>
      <c r="D7" s="89" t="s">
        <v>346</v>
      </c>
      <c r="E7" s="90">
        <v>44449</v>
      </c>
      <c r="F7" s="100" t="s">
        <v>348</v>
      </c>
      <c r="G7" s="100">
        <v>936</v>
      </c>
    </row>
    <row r="8" spans="1:7">
      <c r="A8" s="87">
        <v>6</v>
      </c>
      <c r="B8" s="88">
        <v>201834126</v>
      </c>
      <c r="C8" s="88" t="s">
        <v>305</v>
      </c>
      <c r="D8" s="89" t="s">
        <v>346</v>
      </c>
      <c r="E8" s="90">
        <v>44397</v>
      </c>
      <c r="F8" s="100">
        <v>300</v>
      </c>
      <c r="G8" s="100">
        <v>0</v>
      </c>
    </row>
    <row r="9" spans="1:7">
      <c r="A9" s="87">
        <v>7</v>
      </c>
      <c r="B9" s="88">
        <v>201984128</v>
      </c>
      <c r="C9" s="88" t="s">
        <v>307</v>
      </c>
      <c r="D9" s="89" t="s">
        <v>346</v>
      </c>
      <c r="E9" s="90">
        <v>44425</v>
      </c>
      <c r="F9" s="100">
        <v>975</v>
      </c>
      <c r="G9" s="100">
        <v>690</v>
      </c>
    </row>
    <row r="10" spans="1:7">
      <c r="A10" s="87">
        <v>8</v>
      </c>
      <c r="B10" s="88">
        <v>201984149</v>
      </c>
      <c r="C10" s="88" t="s">
        <v>308</v>
      </c>
      <c r="D10" s="89" t="s">
        <v>346</v>
      </c>
      <c r="E10" s="90">
        <v>44449</v>
      </c>
      <c r="F10" s="100">
        <v>936</v>
      </c>
      <c r="G10" s="100">
        <v>871</v>
      </c>
    </row>
    <row r="11" spans="1:7">
      <c r="A11" s="87">
        <v>9</v>
      </c>
      <c r="B11" s="88">
        <v>201886155</v>
      </c>
      <c r="C11" s="88" t="s">
        <v>349</v>
      </c>
      <c r="D11" s="89" t="s">
        <v>346</v>
      </c>
      <c r="E11" s="90">
        <v>44449</v>
      </c>
      <c r="F11" s="100">
        <v>914</v>
      </c>
      <c r="G11" s="100">
        <v>950</v>
      </c>
    </row>
    <row r="12" spans="1:7">
      <c r="A12" s="87">
        <v>10</v>
      </c>
      <c r="B12" s="88">
        <v>201884127</v>
      </c>
      <c r="C12" s="88" t="s">
        <v>310</v>
      </c>
      <c r="D12" s="89" t="s">
        <v>350</v>
      </c>
      <c r="E12" s="90">
        <v>44477</v>
      </c>
      <c r="F12" s="100">
        <v>870</v>
      </c>
      <c r="G12" s="100" t="s">
        <v>348</v>
      </c>
    </row>
    <row r="13" spans="1:7">
      <c r="A13" s="87">
        <v>11</v>
      </c>
      <c r="B13" s="88">
        <v>202105143</v>
      </c>
      <c r="C13" s="88" t="s">
        <v>351</v>
      </c>
      <c r="D13" s="89" t="s">
        <v>350</v>
      </c>
      <c r="E13" s="90">
        <v>44425</v>
      </c>
      <c r="F13" s="100">
        <v>450</v>
      </c>
      <c r="G13" s="100">
        <v>979</v>
      </c>
    </row>
    <row r="14" spans="1:7">
      <c r="A14" s="87">
        <v>12</v>
      </c>
      <c r="B14" s="88">
        <v>202184164</v>
      </c>
      <c r="C14" s="88" t="s">
        <v>314</v>
      </c>
      <c r="D14" s="89" t="s">
        <v>350</v>
      </c>
      <c r="E14" s="90">
        <v>44425</v>
      </c>
      <c r="F14" s="100">
        <v>600</v>
      </c>
      <c r="G14" s="100">
        <v>0</v>
      </c>
    </row>
    <row r="15" spans="1:7">
      <c r="A15" s="87">
        <v>13</v>
      </c>
      <c r="B15" s="88">
        <v>202113149</v>
      </c>
      <c r="C15" s="88" t="s">
        <v>315</v>
      </c>
      <c r="D15" s="89" t="s">
        <v>350</v>
      </c>
      <c r="E15" s="90">
        <v>44449</v>
      </c>
      <c r="F15" s="100">
        <v>957</v>
      </c>
      <c r="G15" s="100">
        <v>829</v>
      </c>
    </row>
    <row r="16" spans="1:7">
      <c r="A16" s="87">
        <v>14</v>
      </c>
      <c r="B16" s="88">
        <v>202146140</v>
      </c>
      <c r="C16" s="88" t="s">
        <v>316</v>
      </c>
      <c r="D16" s="89" t="s">
        <v>350</v>
      </c>
      <c r="E16" s="90">
        <v>44397</v>
      </c>
      <c r="F16" s="100">
        <v>0</v>
      </c>
      <c r="G16" s="100">
        <v>60</v>
      </c>
    </row>
    <row r="17" spans="1:7">
      <c r="A17" s="87">
        <v>15</v>
      </c>
      <c r="B17" s="88">
        <v>202164127</v>
      </c>
      <c r="C17" s="88" t="s">
        <v>317</v>
      </c>
      <c r="D17" s="89" t="s">
        <v>350</v>
      </c>
      <c r="E17" s="90">
        <v>44449</v>
      </c>
      <c r="F17" s="100">
        <v>875</v>
      </c>
      <c r="G17" s="100">
        <v>893</v>
      </c>
    </row>
    <row r="18" spans="1:7">
      <c r="A18" s="87">
        <v>16</v>
      </c>
      <c r="B18" s="88">
        <v>201846153</v>
      </c>
      <c r="C18" s="88" t="s">
        <v>352</v>
      </c>
      <c r="D18" s="89" t="s">
        <v>353</v>
      </c>
      <c r="E18" s="90">
        <v>44449</v>
      </c>
      <c r="F18" s="100">
        <v>936</v>
      </c>
      <c r="G18" s="100">
        <v>914</v>
      </c>
    </row>
    <row r="19" spans="1:7">
      <c r="A19" s="87">
        <v>17</v>
      </c>
      <c r="B19" s="88">
        <v>201984135</v>
      </c>
      <c r="C19" s="88" t="s">
        <v>319</v>
      </c>
      <c r="D19" s="89" t="s">
        <v>353</v>
      </c>
      <c r="E19" s="90">
        <v>44397</v>
      </c>
      <c r="F19" s="100">
        <v>450</v>
      </c>
      <c r="G19" s="100" t="s">
        <v>348</v>
      </c>
    </row>
    <row r="20" spans="1:7">
      <c r="A20" s="87">
        <v>18</v>
      </c>
      <c r="B20" s="88">
        <v>201816161</v>
      </c>
      <c r="C20" s="88" t="s">
        <v>320</v>
      </c>
      <c r="D20" s="89" t="s">
        <v>354</v>
      </c>
      <c r="E20" s="90">
        <v>44425</v>
      </c>
      <c r="F20" s="100">
        <v>800</v>
      </c>
      <c r="G20" s="100">
        <v>975</v>
      </c>
    </row>
    <row r="21" spans="1:7">
      <c r="A21" s="87">
        <v>19</v>
      </c>
      <c r="B21" s="88">
        <v>202016144</v>
      </c>
      <c r="C21" s="88" t="s">
        <v>322</v>
      </c>
      <c r="D21" s="89" t="s">
        <v>355</v>
      </c>
      <c r="E21" s="90">
        <v>44397</v>
      </c>
      <c r="F21" s="100">
        <v>750</v>
      </c>
      <c r="G21" s="100">
        <v>825</v>
      </c>
    </row>
    <row r="22" spans="1:7">
      <c r="A22" s="87">
        <v>20</v>
      </c>
      <c r="B22" s="88">
        <v>201984431</v>
      </c>
      <c r="C22" s="88" t="s">
        <v>23</v>
      </c>
      <c r="D22" s="89" t="s">
        <v>356</v>
      </c>
      <c r="E22" s="90">
        <v>44449</v>
      </c>
      <c r="F22" s="100">
        <v>0</v>
      </c>
      <c r="G22" s="100">
        <v>700</v>
      </c>
    </row>
    <row r="23" spans="1:7">
      <c r="A23" s="87">
        <v>21</v>
      </c>
      <c r="B23" s="88">
        <v>202084155</v>
      </c>
      <c r="C23" s="88" t="s">
        <v>18</v>
      </c>
      <c r="D23" s="89" t="s">
        <v>357</v>
      </c>
      <c r="E23" s="90">
        <v>44477</v>
      </c>
      <c r="F23" s="100">
        <v>550</v>
      </c>
      <c r="G23" s="100">
        <v>450</v>
      </c>
    </row>
    <row r="24" spans="1:7">
      <c r="A24" s="87">
        <v>22</v>
      </c>
      <c r="B24" s="88">
        <v>202007162</v>
      </c>
      <c r="C24" s="88" t="s">
        <v>21</v>
      </c>
      <c r="D24" s="89" t="s">
        <v>355</v>
      </c>
      <c r="E24" s="90">
        <v>44477</v>
      </c>
      <c r="F24" s="100">
        <v>860</v>
      </c>
      <c r="G24" s="100">
        <v>350</v>
      </c>
    </row>
    <row r="25" spans="1:7">
      <c r="A25" s="87">
        <v>23</v>
      </c>
      <c r="B25" s="88">
        <v>201984141</v>
      </c>
      <c r="C25" s="88" t="s">
        <v>20</v>
      </c>
      <c r="D25" s="89" t="s">
        <v>354</v>
      </c>
      <c r="E25" s="90">
        <v>44477</v>
      </c>
      <c r="F25" s="100">
        <v>975</v>
      </c>
      <c r="G25" s="100">
        <v>0</v>
      </c>
    </row>
    <row r="26" spans="1:7">
      <c r="A26" s="87">
        <v>24</v>
      </c>
      <c r="B26" s="88">
        <v>201984150</v>
      </c>
      <c r="C26" s="88" t="s">
        <v>323</v>
      </c>
      <c r="D26" s="89" t="s">
        <v>357</v>
      </c>
      <c r="E26" s="90">
        <v>44477</v>
      </c>
      <c r="F26" s="100" t="s">
        <v>358</v>
      </c>
      <c r="G26" s="100">
        <v>800</v>
      </c>
    </row>
    <row r="27" spans="1:7">
      <c r="A27" s="87">
        <v>25</v>
      </c>
      <c r="B27" s="88">
        <v>201984151</v>
      </c>
      <c r="C27" s="88" t="s">
        <v>19</v>
      </c>
      <c r="D27" s="89" t="s">
        <v>359</v>
      </c>
      <c r="E27" s="90">
        <v>44397</v>
      </c>
      <c r="F27" s="100">
        <v>925</v>
      </c>
      <c r="G27" s="100">
        <v>642</v>
      </c>
    </row>
    <row r="28" spans="1:7">
      <c r="A28" s="87">
        <v>26</v>
      </c>
      <c r="B28" s="88">
        <v>201984143</v>
      </c>
      <c r="C28" s="88" t="s">
        <v>325</v>
      </c>
      <c r="D28" s="89" t="s">
        <v>360</v>
      </c>
      <c r="E28" s="90">
        <v>44425</v>
      </c>
      <c r="F28" s="100">
        <v>800</v>
      </c>
      <c r="G28" s="100">
        <v>440</v>
      </c>
    </row>
    <row r="29" spans="1:7">
      <c r="A29" s="87">
        <v>27</v>
      </c>
      <c r="B29" s="88">
        <v>201984133</v>
      </c>
      <c r="C29" s="88" t="s">
        <v>24</v>
      </c>
      <c r="D29" s="89" t="s">
        <v>359</v>
      </c>
      <c r="E29" s="90">
        <v>44449</v>
      </c>
      <c r="F29" s="100">
        <v>40</v>
      </c>
      <c r="G29" s="100">
        <v>800</v>
      </c>
    </row>
    <row r="30" spans="1:7">
      <c r="A30" s="87">
        <v>28</v>
      </c>
      <c r="B30" s="88">
        <v>202105160</v>
      </c>
      <c r="C30" s="88" t="s">
        <v>326</v>
      </c>
      <c r="D30" s="89" t="s">
        <v>359</v>
      </c>
      <c r="E30" s="90">
        <v>44425</v>
      </c>
      <c r="F30" s="100">
        <v>0</v>
      </c>
      <c r="G30" s="100">
        <v>862</v>
      </c>
    </row>
    <row r="31" spans="1:7">
      <c r="A31" s="87">
        <v>29</v>
      </c>
      <c r="B31" s="88">
        <v>202113139</v>
      </c>
      <c r="C31" s="88" t="s">
        <v>327</v>
      </c>
      <c r="D31" s="89" t="s">
        <v>361</v>
      </c>
      <c r="E31" s="90">
        <v>44449</v>
      </c>
      <c r="F31" s="100">
        <v>533</v>
      </c>
      <c r="G31" s="100">
        <v>733</v>
      </c>
    </row>
    <row r="32" spans="1:7">
      <c r="A32" s="87">
        <v>30</v>
      </c>
      <c r="B32" s="88">
        <v>201984153</v>
      </c>
      <c r="C32" s="88" t="s">
        <v>22</v>
      </c>
      <c r="D32" s="89" t="s">
        <v>362</v>
      </c>
      <c r="E32" s="90">
        <v>44397</v>
      </c>
      <c r="F32" s="100">
        <v>999</v>
      </c>
      <c r="G32" s="100" t="s">
        <v>363</v>
      </c>
    </row>
  </sheetData>
  <phoneticPr fontId="2" type="noConversion"/>
  <conditionalFormatting sqref="A3:G32">
    <cfRule type="expression" dxfId="0" priority="1">
      <formula>AND(LEFT($B3,4)=2021,MONTH($E3)=8)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서식적용5">
                <anchor moveWithCells="1" sizeWithCells="1">
                  <from>
                    <xdr:col>8</xdr:col>
                    <xdr:colOff>0</xdr:colOff>
                    <xdr:row>1</xdr:row>
                    <xdr:rowOff>0</xdr:rowOff>
                  </from>
                  <to>
                    <xdr:col>10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서식해제3">
                <anchor moveWithCells="1" siz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B2:F33"/>
  <sheetViews>
    <sheetView zoomScaleNormal="100" workbookViewId="0">
      <selection activeCell="K10" sqref="K10"/>
    </sheetView>
  </sheetViews>
  <sheetFormatPr defaultRowHeight="16.899999999999999"/>
  <cols>
    <col min="3" max="3" width="14" customWidth="1"/>
    <col min="4" max="5" width="11.125" bestFit="1" customWidth="1"/>
  </cols>
  <sheetData>
    <row r="2" spans="2:6">
      <c r="B2" s="2" t="s">
        <v>25</v>
      </c>
      <c r="C2" s="3" t="s">
        <v>26</v>
      </c>
      <c r="D2" s="3" t="s">
        <v>27</v>
      </c>
      <c r="E2" s="3" t="s">
        <v>28</v>
      </c>
      <c r="F2" s="4" t="s">
        <v>29</v>
      </c>
    </row>
    <row r="3" spans="2:6">
      <c r="B3" s="5" t="s">
        <v>30</v>
      </c>
      <c r="C3" s="6" t="s">
        <v>31</v>
      </c>
      <c r="D3" s="7">
        <v>43854</v>
      </c>
      <c r="E3" s="7">
        <v>43914</v>
      </c>
      <c r="F3" s="101">
        <v>0</v>
      </c>
    </row>
    <row r="4" spans="2:6">
      <c r="B4" s="5" t="s">
        <v>32</v>
      </c>
      <c r="C4" s="6" t="s">
        <v>31</v>
      </c>
      <c r="D4" s="7">
        <v>43891</v>
      </c>
      <c r="E4" s="7">
        <v>43925</v>
      </c>
      <c r="F4" s="101">
        <v>-3</v>
      </c>
    </row>
    <row r="5" spans="2:6">
      <c r="B5" s="5" t="s">
        <v>33</v>
      </c>
      <c r="C5" s="6" t="s">
        <v>31</v>
      </c>
      <c r="D5" s="7">
        <v>43951</v>
      </c>
      <c r="E5" s="7">
        <v>43917</v>
      </c>
      <c r="F5" s="101">
        <v>-1</v>
      </c>
    </row>
    <row r="6" spans="2:6">
      <c r="B6" s="5" t="s">
        <v>30</v>
      </c>
      <c r="C6" s="6" t="s">
        <v>16</v>
      </c>
      <c r="D6" s="7">
        <v>43908</v>
      </c>
      <c r="E6" s="7">
        <v>43912</v>
      </c>
      <c r="F6" s="101">
        <v>-4</v>
      </c>
    </row>
    <row r="7" spans="2:6">
      <c r="B7" s="5" t="s">
        <v>30</v>
      </c>
      <c r="C7" s="6" t="s">
        <v>17</v>
      </c>
      <c r="D7" s="7">
        <v>43905</v>
      </c>
      <c r="E7" s="7">
        <v>43908</v>
      </c>
      <c r="F7" s="101">
        <v>-3</v>
      </c>
    </row>
    <row r="8" spans="2:6">
      <c r="B8" s="5" t="s">
        <v>30</v>
      </c>
      <c r="C8" s="6" t="s">
        <v>34</v>
      </c>
      <c r="D8" s="7">
        <v>43912</v>
      </c>
      <c r="E8" s="7">
        <v>43915</v>
      </c>
      <c r="F8" s="101">
        <v>-3</v>
      </c>
    </row>
    <row r="9" spans="2:6">
      <c r="B9" s="5" t="s">
        <v>30</v>
      </c>
      <c r="C9" s="6" t="s">
        <v>15</v>
      </c>
      <c r="D9" s="7">
        <v>44058</v>
      </c>
      <c r="E9" s="7">
        <v>43906</v>
      </c>
      <c r="F9" s="101">
        <v>-1</v>
      </c>
    </row>
    <row r="10" spans="2:6">
      <c r="B10" s="5" t="s">
        <v>30</v>
      </c>
      <c r="C10" s="6" t="s">
        <v>35</v>
      </c>
      <c r="D10" s="7">
        <v>43904</v>
      </c>
      <c r="E10" s="7">
        <v>43905</v>
      </c>
      <c r="F10" s="101">
        <v>-1</v>
      </c>
    </row>
    <row r="11" spans="2:6">
      <c r="B11" s="5" t="s">
        <v>30</v>
      </c>
      <c r="C11" s="6" t="s">
        <v>14</v>
      </c>
      <c r="D11" s="7">
        <v>43916</v>
      </c>
      <c r="E11" s="7">
        <v>43915</v>
      </c>
      <c r="F11" s="101">
        <v>1</v>
      </c>
    </row>
    <row r="12" spans="2:6">
      <c r="B12" s="5" t="s">
        <v>30</v>
      </c>
      <c r="C12" s="6" t="s">
        <v>36</v>
      </c>
      <c r="D12" s="7">
        <v>43918</v>
      </c>
      <c r="E12" s="7">
        <v>43920</v>
      </c>
      <c r="F12" s="101">
        <v>-2</v>
      </c>
    </row>
    <row r="13" spans="2:6">
      <c r="B13" s="5" t="s">
        <v>30</v>
      </c>
      <c r="C13" s="6" t="s">
        <v>37</v>
      </c>
      <c r="D13" s="7">
        <v>43913</v>
      </c>
      <c r="E13" s="7">
        <v>43912</v>
      </c>
      <c r="F13" s="101">
        <v>1</v>
      </c>
    </row>
    <row r="14" spans="2:6">
      <c r="B14" s="5" t="s">
        <v>30</v>
      </c>
      <c r="C14" s="6" t="s">
        <v>38</v>
      </c>
      <c r="D14" s="7">
        <v>43922</v>
      </c>
      <c r="E14" s="7">
        <v>43922</v>
      </c>
      <c r="F14" s="101">
        <v>0</v>
      </c>
    </row>
    <row r="15" spans="2:6">
      <c r="B15" s="5" t="s">
        <v>30</v>
      </c>
      <c r="C15" s="6" t="s">
        <v>39</v>
      </c>
      <c r="D15" s="7">
        <v>43912</v>
      </c>
      <c r="E15" s="7">
        <v>43915</v>
      </c>
      <c r="F15" s="101">
        <v>-3</v>
      </c>
    </row>
    <row r="16" spans="2:6">
      <c r="B16" s="5" t="s">
        <v>32</v>
      </c>
      <c r="C16" s="6" t="s">
        <v>16</v>
      </c>
      <c r="D16" s="7">
        <v>43918</v>
      </c>
      <c r="E16" s="7">
        <v>43922</v>
      </c>
      <c r="F16" s="101">
        <v>-4</v>
      </c>
    </row>
    <row r="17" spans="2:6">
      <c r="B17" s="5" t="s">
        <v>32</v>
      </c>
      <c r="C17" s="6" t="s">
        <v>17</v>
      </c>
      <c r="D17" s="7">
        <v>43915</v>
      </c>
      <c r="E17" s="7">
        <v>43920</v>
      </c>
      <c r="F17" s="101">
        <v>-5</v>
      </c>
    </row>
    <row r="18" spans="2:6">
      <c r="B18" s="5" t="s">
        <v>32</v>
      </c>
      <c r="C18" s="6" t="s">
        <v>34</v>
      </c>
      <c r="D18" s="7">
        <v>43920</v>
      </c>
      <c r="E18" s="7">
        <v>43925</v>
      </c>
      <c r="F18" s="101">
        <v>-5</v>
      </c>
    </row>
    <row r="19" spans="2:6">
      <c r="B19" s="5" t="s">
        <v>32</v>
      </c>
      <c r="C19" s="6" t="s">
        <v>15</v>
      </c>
      <c r="D19" s="7">
        <v>43915</v>
      </c>
      <c r="E19" s="7">
        <v>43917</v>
      </c>
      <c r="F19" s="101">
        <v>-2</v>
      </c>
    </row>
    <row r="20" spans="2:6">
      <c r="B20" s="5" t="s">
        <v>32</v>
      </c>
      <c r="C20" s="6" t="s">
        <v>35</v>
      </c>
      <c r="D20" s="7">
        <v>43912</v>
      </c>
      <c r="E20" s="7">
        <v>43913</v>
      </c>
      <c r="F20" s="101">
        <v>-1</v>
      </c>
    </row>
    <row r="21" spans="2:6">
      <c r="B21" s="5" t="s">
        <v>32</v>
      </c>
      <c r="C21" s="6" t="s">
        <v>14</v>
      </c>
      <c r="D21" s="7">
        <v>43926</v>
      </c>
      <c r="E21" s="7">
        <v>43930</v>
      </c>
      <c r="F21" s="101">
        <v>-4</v>
      </c>
    </row>
    <row r="22" spans="2:6">
      <c r="B22" s="5" t="s">
        <v>32</v>
      </c>
      <c r="C22" s="6" t="s">
        <v>36</v>
      </c>
      <c r="D22" s="7">
        <v>43927</v>
      </c>
      <c r="E22" s="7">
        <v>43930</v>
      </c>
      <c r="F22" s="101">
        <v>-3</v>
      </c>
    </row>
    <row r="23" spans="2:6">
      <c r="B23" s="5" t="s">
        <v>32</v>
      </c>
      <c r="C23" s="6" t="s">
        <v>37</v>
      </c>
      <c r="D23" s="7">
        <v>43979</v>
      </c>
      <c r="E23" s="7">
        <v>43891</v>
      </c>
      <c r="F23" s="101">
        <v>2</v>
      </c>
    </row>
    <row r="24" spans="2:6">
      <c r="B24" s="5" t="s">
        <v>32</v>
      </c>
      <c r="C24" s="6" t="s">
        <v>38</v>
      </c>
      <c r="D24" s="7">
        <v>43929</v>
      </c>
      <c r="E24" s="7">
        <v>43933</v>
      </c>
      <c r="F24" s="101">
        <v>-4</v>
      </c>
    </row>
    <row r="25" spans="2:6">
      <c r="B25" s="5" t="s">
        <v>32</v>
      </c>
      <c r="C25" s="6" t="s">
        <v>39</v>
      </c>
      <c r="D25" s="7">
        <v>43951</v>
      </c>
      <c r="E25" s="7">
        <v>43894</v>
      </c>
      <c r="F25" s="101">
        <v>1</v>
      </c>
    </row>
    <row r="26" spans="2:6">
      <c r="B26" s="5" t="s">
        <v>33</v>
      </c>
      <c r="C26" s="6" t="s">
        <v>16</v>
      </c>
      <c r="D26" s="7">
        <v>43916</v>
      </c>
      <c r="E26" s="7">
        <v>43916</v>
      </c>
      <c r="F26" s="101">
        <v>0</v>
      </c>
    </row>
    <row r="27" spans="2:6">
      <c r="B27" s="5" t="s">
        <v>33</v>
      </c>
      <c r="C27" s="6" t="s">
        <v>17</v>
      </c>
      <c r="D27" s="7">
        <v>43913</v>
      </c>
      <c r="E27" s="7">
        <v>43915</v>
      </c>
      <c r="F27" s="101">
        <v>-2</v>
      </c>
    </row>
    <row r="28" spans="2:6">
      <c r="B28" s="5" t="s">
        <v>33</v>
      </c>
      <c r="C28" s="6" t="s">
        <v>34</v>
      </c>
      <c r="D28" s="7">
        <v>43916</v>
      </c>
      <c r="E28" s="7">
        <v>43918</v>
      </c>
      <c r="F28" s="101">
        <v>-2</v>
      </c>
    </row>
    <row r="29" spans="2:6">
      <c r="B29" s="5" t="s">
        <v>33</v>
      </c>
      <c r="C29" s="6" t="s">
        <v>15</v>
      </c>
      <c r="D29" s="7">
        <v>43907</v>
      </c>
      <c r="E29" s="7">
        <v>43908</v>
      </c>
      <c r="F29" s="101">
        <v>-1</v>
      </c>
    </row>
    <row r="30" spans="2:6">
      <c r="B30" s="5" t="s">
        <v>33</v>
      </c>
      <c r="C30" s="6" t="s">
        <v>35</v>
      </c>
      <c r="D30" s="7">
        <v>43845</v>
      </c>
      <c r="E30" s="7">
        <v>43909</v>
      </c>
      <c r="F30" s="101">
        <v>-4</v>
      </c>
    </row>
    <row r="31" spans="2:6">
      <c r="B31" s="5" t="s">
        <v>33</v>
      </c>
      <c r="C31" s="6" t="s">
        <v>14</v>
      </c>
      <c r="D31" s="7">
        <v>43947</v>
      </c>
      <c r="E31" s="7">
        <v>43918</v>
      </c>
      <c r="F31" s="101">
        <v>1</v>
      </c>
    </row>
    <row r="32" spans="2:6">
      <c r="B32" s="5" t="s">
        <v>33</v>
      </c>
      <c r="C32" s="6" t="s">
        <v>36</v>
      </c>
      <c r="D32" s="7">
        <v>43919</v>
      </c>
      <c r="E32" s="7">
        <v>43920</v>
      </c>
      <c r="F32" s="101">
        <v>-1</v>
      </c>
    </row>
    <row r="33" spans="2:6">
      <c r="B33" s="5" t="s">
        <v>33</v>
      </c>
      <c r="C33" s="6" t="s">
        <v>37</v>
      </c>
      <c r="D33" s="7">
        <v>43912</v>
      </c>
      <c r="E33" s="7">
        <v>43909</v>
      </c>
      <c r="F33" s="101">
        <v>3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서식적용6">
                <anchor moveWithCells="1" sizeWithCells="1">
                  <from>
                    <xdr:col>7</xdr:col>
                    <xdr:colOff>0</xdr:colOff>
                    <xdr:row>2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4" name="Button 3">
              <controlPr defaultSize="0" print="0" autoFill="0" autoPict="0" macro="[0]!서식해제4">
                <anchor moveWithCells="1" sizeWithCells="1">
                  <from>
                    <xdr:col>7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7</xdr:row>
                    <xdr:rowOff>4763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B2:H32"/>
  <sheetViews>
    <sheetView zoomScaleNormal="100" workbookViewId="0">
      <selection activeCell="M7" sqref="M7"/>
    </sheetView>
  </sheetViews>
  <sheetFormatPr defaultRowHeight="16.899999999999999"/>
  <cols>
    <col min="4" max="4" width="12.875" bestFit="1" customWidth="1"/>
    <col min="8" max="8" width="9.875" bestFit="1" customWidth="1"/>
  </cols>
  <sheetData>
    <row r="2" spans="2:8">
      <c r="B2" s="91" t="s">
        <v>1</v>
      </c>
      <c r="C2" s="91" t="s">
        <v>2</v>
      </c>
      <c r="D2" s="91" t="s">
        <v>3</v>
      </c>
      <c r="E2" s="91" t="s">
        <v>4</v>
      </c>
      <c r="F2" s="91" t="s">
        <v>5</v>
      </c>
      <c r="G2" s="91" t="s">
        <v>364</v>
      </c>
      <c r="H2" s="91" t="s">
        <v>365</v>
      </c>
    </row>
    <row r="3" spans="2:8">
      <c r="B3" s="11">
        <v>24</v>
      </c>
      <c r="C3" s="11" t="s">
        <v>6</v>
      </c>
      <c r="D3" s="11" t="s">
        <v>7</v>
      </c>
      <c r="E3" s="9">
        <v>13200</v>
      </c>
      <c r="F3" s="11">
        <v>5</v>
      </c>
      <c r="G3" s="11">
        <v>3</v>
      </c>
      <c r="H3" s="102">
        <v>-1</v>
      </c>
    </row>
    <row r="4" spans="2:8">
      <c r="B4" s="11">
        <v>41</v>
      </c>
      <c r="C4" s="11" t="s">
        <v>8</v>
      </c>
      <c r="D4" s="11" t="s">
        <v>9</v>
      </c>
      <c r="E4" s="9">
        <v>22500</v>
      </c>
      <c r="F4" s="11">
        <v>3</v>
      </c>
      <c r="G4" s="11">
        <v>0</v>
      </c>
      <c r="H4" s="102">
        <v>1</v>
      </c>
    </row>
    <row r="5" spans="2:8">
      <c r="B5" s="11">
        <v>50</v>
      </c>
      <c r="C5" s="11" t="s">
        <v>10</v>
      </c>
      <c r="D5" s="11" t="s">
        <v>11</v>
      </c>
      <c r="E5" s="9">
        <v>45000</v>
      </c>
      <c r="F5" s="11">
        <v>15</v>
      </c>
      <c r="G5" s="11">
        <v>0</v>
      </c>
      <c r="H5" s="102">
        <v>0</v>
      </c>
    </row>
    <row r="6" spans="2:8">
      <c r="B6" s="11">
        <v>29</v>
      </c>
      <c r="C6" s="11" t="s">
        <v>12</v>
      </c>
      <c r="D6" s="11" t="s">
        <v>13</v>
      </c>
      <c r="E6" s="9">
        <v>14200</v>
      </c>
      <c r="F6" s="11">
        <v>15</v>
      </c>
      <c r="G6" s="11">
        <v>0</v>
      </c>
      <c r="H6" s="102">
        <v>-1</v>
      </c>
    </row>
    <row r="7" spans="2:8">
      <c r="B7" s="11">
        <v>42</v>
      </c>
      <c r="C7" s="11" t="s">
        <v>12</v>
      </c>
      <c r="D7" s="11" t="s">
        <v>13</v>
      </c>
      <c r="E7" s="9">
        <v>28400</v>
      </c>
      <c r="F7" s="11">
        <v>5</v>
      </c>
      <c r="G7" s="11">
        <v>1</v>
      </c>
      <c r="H7" s="102">
        <v>1</v>
      </c>
    </row>
    <row r="8" spans="2:8">
      <c r="B8" s="11">
        <v>7</v>
      </c>
      <c r="C8" s="11" t="s">
        <v>12</v>
      </c>
      <c r="D8" s="11" t="s">
        <v>13</v>
      </c>
      <c r="E8" s="9">
        <v>13000</v>
      </c>
      <c r="F8" s="11">
        <v>10</v>
      </c>
      <c r="G8" s="11">
        <v>0</v>
      </c>
      <c r="H8" s="102">
        <v>0</v>
      </c>
    </row>
    <row r="9" spans="2:8">
      <c r="B9" s="11">
        <v>45</v>
      </c>
      <c r="C9" s="11" t="s">
        <v>10</v>
      </c>
      <c r="D9" s="11" t="s">
        <v>11</v>
      </c>
      <c r="E9" s="9">
        <v>24000</v>
      </c>
      <c r="F9" s="11">
        <v>14</v>
      </c>
      <c r="G9" s="11">
        <v>1</v>
      </c>
      <c r="H9" s="102">
        <v>1</v>
      </c>
    </row>
    <row r="10" spans="2:8">
      <c r="B10" s="11">
        <v>16</v>
      </c>
      <c r="C10" s="11" t="s">
        <v>12</v>
      </c>
      <c r="D10" s="11" t="s">
        <v>13</v>
      </c>
      <c r="E10" s="9">
        <v>12900</v>
      </c>
      <c r="F10" s="11">
        <v>5</v>
      </c>
      <c r="G10" s="11">
        <v>1</v>
      </c>
      <c r="H10" s="102">
        <v>-1</v>
      </c>
    </row>
    <row r="11" spans="2:8">
      <c r="B11" s="11">
        <v>16</v>
      </c>
      <c r="C11" s="11" t="s">
        <v>6</v>
      </c>
      <c r="D11" s="11" t="s">
        <v>7</v>
      </c>
      <c r="E11" s="9">
        <v>12800</v>
      </c>
      <c r="F11" s="11">
        <v>6</v>
      </c>
      <c r="G11" s="11">
        <v>1</v>
      </c>
      <c r="H11" s="102">
        <v>1</v>
      </c>
    </row>
    <row r="12" spans="2:8">
      <c r="B12" s="11">
        <v>51</v>
      </c>
      <c r="C12" s="11" t="s">
        <v>6</v>
      </c>
      <c r="D12" s="11" t="s">
        <v>7</v>
      </c>
      <c r="E12" s="9">
        <v>33000</v>
      </c>
      <c r="F12" s="11">
        <v>8</v>
      </c>
      <c r="G12" s="11">
        <v>0</v>
      </c>
      <c r="H12" s="102">
        <v>0</v>
      </c>
    </row>
    <row r="13" spans="2:8">
      <c r="B13" s="11">
        <v>46</v>
      </c>
      <c r="C13" s="11" t="s">
        <v>6</v>
      </c>
      <c r="D13" s="11" t="s">
        <v>7</v>
      </c>
      <c r="E13" s="9">
        <v>19800</v>
      </c>
      <c r="F13" s="11">
        <v>8</v>
      </c>
      <c r="G13" s="11">
        <v>2</v>
      </c>
      <c r="H13" s="102">
        <v>0</v>
      </c>
    </row>
    <row r="14" spans="2:8">
      <c r="B14" s="11">
        <v>22</v>
      </c>
      <c r="C14" s="11" t="s">
        <v>6</v>
      </c>
      <c r="D14" s="11" t="s">
        <v>7</v>
      </c>
      <c r="E14" s="9">
        <v>13200</v>
      </c>
      <c r="F14" s="11">
        <v>21</v>
      </c>
      <c r="G14" s="11">
        <v>0</v>
      </c>
      <c r="H14" s="102">
        <v>-1</v>
      </c>
    </row>
    <row r="15" spans="2:8">
      <c r="B15" s="11">
        <v>6</v>
      </c>
      <c r="C15" s="11" t="s">
        <v>6</v>
      </c>
      <c r="D15" s="11" t="s">
        <v>7</v>
      </c>
      <c r="E15" s="9">
        <v>12800</v>
      </c>
      <c r="F15" s="11">
        <v>7</v>
      </c>
      <c r="G15" s="11">
        <v>0</v>
      </c>
      <c r="H15" s="102">
        <v>1</v>
      </c>
    </row>
    <row r="16" spans="2:8">
      <c r="B16" s="11">
        <v>22</v>
      </c>
      <c r="C16" s="11" t="s">
        <v>8</v>
      </c>
      <c r="D16" s="11" t="s">
        <v>9</v>
      </c>
      <c r="E16" s="9">
        <v>13500</v>
      </c>
      <c r="F16" s="11">
        <v>21</v>
      </c>
      <c r="G16" s="11">
        <v>2</v>
      </c>
      <c r="H16" s="102">
        <v>-1</v>
      </c>
    </row>
    <row r="17" spans="2:8">
      <c r="B17" s="11">
        <v>21</v>
      </c>
      <c r="C17" s="11" t="s">
        <v>10</v>
      </c>
      <c r="D17" s="11" t="s">
        <v>11</v>
      </c>
      <c r="E17" s="9">
        <v>13700</v>
      </c>
      <c r="F17" s="11">
        <v>20</v>
      </c>
      <c r="G17" s="11">
        <v>0</v>
      </c>
      <c r="H17" s="102">
        <v>1</v>
      </c>
    </row>
    <row r="18" spans="2:8">
      <c r="B18" s="11">
        <v>13</v>
      </c>
      <c r="C18" s="11" t="s">
        <v>12</v>
      </c>
      <c r="D18" s="11" t="s">
        <v>13</v>
      </c>
      <c r="E18" s="9">
        <v>12900</v>
      </c>
      <c r="F18" s="11">
        <v>8</v>
      </c>
      <c r="G18" s="11">
        <v>0</v>
      </c>
      <c r="H18" s="102">
        <v>-1</v>
      </c>
    </row>
    <row r="19" spans="2:8">
      <c r="B19" s="11">
        <v>29</v>
      </c>
      <c r="C19" s="11" t="s">
        <v>6</v>
      </c>
      <c r="D19" s="11" t="s">
        <v>7</v>
      </c>
      <c r="E19" s="9">
        <v>13200</v>
      </c>
      <c r="F19" s="11">
        <v>24</v>
      </c>
      <c r="G19" s="11">
        <v>0</v>
      </c>
      <c r="H19" s="102">
        <v>-1</v>
      </c>
    </row>
    <row r="20" spans="2:8">
      <c r="B20" s="11">
        <v>61</v>
      </c>
      <c r="C20" s="11" t="s">
        <v>8</v>
      </c>
      <c r="D20" s="11" t="s">
        <v>9</v>
      </c>
      <c r="E20" s="9">
        <v>32200</v>
      </c>
      <c r="F20" s="11">
        <v>23</v>
      </c>
      <c r="G20" s="11">
        <v>1</v>
      </c>
      <c r="H20" s="102">
        <v>1</v>
      </c>
    </row>
    <row r="21" spans="2:8">
      <c r="B21" s="11">
        <v>12</v>
      </c>
      <c r="C21" s="11" t="s">
        <v>8</v>
      </c>
      <c r="D21" s="11" t="s">
        <v>9</v>
      </c>
      <c r="E21" s="9">
        <v>12600</v>
      </c>
      <c r="F21" s="11">
        <v>20</v>
      </c>
      <c r="G21" s="11">
        <v>2</v>
      </c>
      <c r="H21" s="102">
        <v>-1</v>
      </c>
    </row>
    <row r="22" spans="2:8">
      <c r="B22" s="11">
        <v>64</v>
      </c>
      <c r="C22" s="11" t="s">
        <v>12</v>
      </c>
      <c r="D22" s="11" t="s">
        <v>13</v>
      </c>
      <c r="E22" s="9">
        <v>43900</v>
      </c>
      <c r="F22" s="11">
        <v>7</v>
      </c>
      <c r="G22" s="11">
        <v>0</v>
      </c>
      <c r="H22" s="102">
        <v>1</v>
      </c>
    </row>
    <row r="23" spans="2:8">
      <c r="B23" s="11">
        <v>29</v>
      </c>
      <c r="C23" s="11" t="s">
        <v>6</v>
      </c>
      <c r="D23" s="11" t="s">
        <v>7</v>
      </c>
      <c r="E23" s="9">
        <v>13200</v>
      </c>
      <c r="F23" s="11">
        <v>17</v>
      </c>
      <c r="G23" s="11">
        <v>2</v>
      </c>
      <c r="H23" s="102">
        <v>-1</v>
      </c>
    </row>
    <row r="24" spans="2:8">
      <c r="B24" s="11">
        <v>17</v>
      </c>
      <c r="C24" s="11" t="s">
        <v>8</v>
      </c>
      <c r="D24" s="11" t="s">
        <v>9</v>
      </c>
      <c r="E24" s="9">
        <v>12600</v>
      </c>
      <c r="F24" s="11">
        <v>21</v>
      </c>
      <c r="G24" s="11">
        <v>2</v>
      </c>
      <c r="H24" s="102">
        <v>1</v>
      </c>
    </row>
    <row r="25" spans="2:8">
      <c r="B25" s="11">
        <v>29</v>
      </c>
      <c r="C25" s="11" t="s">
        <v>10</v>
      </c>
      <c r="D25" s="11" t="s">
        <v>11</v>
      </c>
      <c r="E25" s="9">
        <v>13700</v>
      </c>
      <c r="F25" s="11">
        <v>2</v>
      </c>
      <c r="G25" s="11">
        <v>2</v>
      </c>
      <c r="H25" s="102">
        <v>1</v>
      </c>
    </row>
    <row r="26" spans="2:8">
      <c r="B26" s="11">
        <v>26</v>
      </c>
      <c r="C26" s="11" t="s">
        <v>10</v>
      </c>
      <c r="D26" s="11" t="s">
        <v>11</v>
      </c>
      <c r="E26" s="9">
        <v>13700</v>
      </c>
      <c r="F26" s="11">
        <v>4</v>
      </c>
      <c r="G26" s="11">
        <v>1</v>
      </c>
      <c r="H26" s="102">
        <v>0</v>
      </c>
    </row>
    <row r="27" spans="2:8">
      <c r="B27" s="11">
        <v>59</v>
      </c>
      <c r="C27" s="11" t="s">
        <v>10</v>
      </c>
      <c r="D27" s="11" t="s">
        <v>11</v>
      </c>
      <c r="E27" s="9">
        <v>45000</v>
      </c>
      <c r="F27" s="11">
        <v>2</v>
      </c>
      <c r="G27" s="11">
        <v>1</v>
      </c>
      <c r="H27" s="102">
        <v>1</v>
      </c>
    </row>
    <row r="28" spans="2:8">
      <c r="B28" s="11">
        <v>43</v>
      </c>
      <c r="C28" s="11" t="s">
        <v>8</v>
      </c>
      <c r="D28" s="11" t="s">
        <v>9</v>
      </c>
      <c r="E28" s="9">
        <v>22500</v>
      </c>
      <c r="F28" s="11">
        <v>5</v>
      </c>
      <c r="G28" s="11">
        <v>2</v>
      </c>
      <c r="H28" s="102">
        <v>-1</v>
      </c>
    </row>
    <row r="29" spans="2:8">
      <c r="B29" s="11">
        <v>53</v>
      </c>
      <c r="C29" s="11" t="s">
        <v>10</v>
      </c>
      <c r="D29" s="11" t="s">
        <v>11</v>
      </c>
      <c r="E29" s="9">
        <v>45000</v>
      </c>
      <c r="F29" s="11">
        <v>21</v>
      </c>
      <c r="G29" s="11">
        <v>2</v>
      </c>
      <c r="H29" s="102">
        <v>1</v>
      </c>
    </row>
    <row r="30" spans="2:8">
      <c r="B30" s="11">
        <v>29</v>
      </c>
      <c r="C30" s="11" t="s">
        <v>12</v>
      </c>
      <c r="D30" s="11" t="s">
        <v>13</v>
      </c>
      <c r="E30" s="9">
        <v>14200</v>
      </c>
      <c r="F30" s="11">
        <v>18</v>
      </c>
      <c r="G30" s="11">
        <v>1</v>
      </c>
      <c r="H30" s="102">
        <v>0</v>
      </c>
    </row>
    <row r="31" spans="2:8">
      <c r="B31" s="11">
        <v>18</v>
      </c>
      <c r="C31" s="11" t="s">
        <v>6</v>
      </c>
      <c r="D31" s="11" t="s">
        <v>7</v>
      </c>
      <c r="E31" s="9">
        <v>12800</v>
      </c>
      <c r="F31" s="11">
        <v>9</v>
      </c>
      <c r="G31" s="11">
        <v>1</v>
      </c>
      <c r="H31" s="102">
        <v>-1</v>
      </c>
    </row>
    <row r="32" spans="2:8">
      <c r="B32" s="11">
        <v>41</v>
      </c>
      <c r="C32" s="11" t="s">
        <v>8</v>
      </c>
      <c r="D32" s="11" t="s">
        <v>9</v>
      </c>
      <c r="E32" s="9">
        <v>22500</v>
      </c>
      <c r="F32" s="11">
        <v>7</v>
      </c>
      <c r="G32" s="11">
        <v>0</v>
      </c>
      <c r="H32" s="102">
        <v>-1</v>
      </c>
    </row>
  </sheetData>
  <phoneticPr fontId="2" type="noConversion"/>
  <conditionalFormatting sqref="F3:F32">
    <cfRule type="iconSet" priority="2">
      <iconSet iconSet="4TrafficLights">
        <cfvo type="percent" val="0"/>
        <cfvo type="num" val="5"/>
        <cfvo type="num" val="10"/>
        <cfvo type="num" val="20"/>
      </iconSet>
    </cfRule>
    <cfRule type="iconSet" priority="1">
      <iconSet iconSet="4TrafficLights">
        <cfvo type="percent" val="0"/>
        <cfvo type="num" val="5"/>
        <cfvo type="num" val="10"/>
        <cfvo type="num" val="20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서식적용7">
                <anchor moveWithCells="1" sizeWithCells="1">
                  <from>
                    <xdr:col>9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B2:J32"/>
  <sheetViews>
    <sheetView tabSelected="1" zoomScaleNormal="100" workbookViewId="0">
      <selection activeCell="K1" sqref="K1"/>
    </sheetView>
  </sheetViews>
  <sheetFormatPr defaultRowHeight="16.899999999999999"/>
  <cols>
    <col min="5" max="5" width="10.125" bestFit="1" customWidth="1"/>
    <col min="6" max="6" width="12" bestFit="1" customWidth="1"/>
    <col min="7" max="7" width="10.125" bestFit="1" customWidth="1"/>
    <col min="8" max="8" width="13.375" bestFit="1" customWidth="1"/>
    <col min="9" max="9" width="11.375" bestFit="1" customWidth="1"/>
    <col min="10" max="10" width="10.125" bestFit="1" customWidth="1"/>
  </cols>
  <sheetData>
    <row r="2" spans="2:10">
      <c r="B2" t="s">
        <v>408</v>
      </c>
    </row>
    <row r="3" spans="2:10">
      <c r="B3" s="91" t="s">
        <v>41</v>
      </c>
      <c r="C3" s="91" t="s">
        <v>366</v>
      </c>
      <c r="D3" s="91" t="s">
        <v>367</v>
      </c>
      <c r="E3" s="91" t="s">
        <v>368</v>
      </c>
      <c r="F3" s="91" t="s">
        <v>369</v>
      </c>
      <c r="G3" s="91" t="s">
        <v>370</v>
      </c>
      <c r="H3" s="91" t="s">
        <v>371</v>
      </c>
      <c r="I3" s="91" t="s">
        <v>372</v>
      </c>
      <c r="J3" s="91" t="s">
        <v>407</v>
      </c>
    </row>
    <row r="4" spans="2:10">
      <c r="B4" s="11" t="s">
        <v>373</v>
      </c>
      <c r="C4" s="11" t="s">
        <v>374</v>
      </c>
      <c r="D4" s="11" t="s">
        <v>375</v>
      </c>
      <c r="E4" s="11" t="s">
        <v>376</v>
      </c>
      <c r="F4" s="11" t="s">
        <v>377</v>
      </c>
      <c r="G4" s="11" t="s">
        <v>378</v>
      </c>
      <c r="H4" s="11" t="s">
        <v>379</v>
      </c>
      <c r="I4" s="9">
        <v>612700</v>
      </c>
      <c r="J4" s="92">
        <f t="shared" ref="J4:J32" si="0">I4/SUM($I$5:$I$32)</f>
        <v>0.10696727607927485</v>
      </c>
    </row>
    <row r="5" spans="2:10">
      <c r="B5" s="11" t="s">
        <v>373</v>
      </c>
      <c r="C5" s="11" t="s">
        <v>374</v>
      </c>
      <c r="D5" s="11" t="s">
        <v>375</v>
      </c>
      <c r="E5" s="11" t="s">
        <v>380</v>
      </c>
      <c r="F5" s="11" t="s">
        <v>381</v>
      </c>
      <c r="G5" s="11" t="s">
        <v>382</v>
      </c>
      <c r="H5" s="11" t="s">
        <v>383</v>
      </c>
      <c r="I5" s="9">
        <v>13000</v>
      </c>
      <c r="J5" s="92">
        <f t="shared" si="0"/>
        <v>2.2695847707370214E-3</v>
      </c>
    </row>
    <row r="6" spans="2:10">
      <c r="B6" s="11" t="s">
        <v>373</v>
      </c>
      <c r="C6" s="11" t="s">
        <v>374</v>
      </c>
      <c r="D6" s="11" t="s">
        <v>375</v>
      </c>
      <c r="E6" s="11" t="s">
        <v>380</v>
      </c>
      <c r="F6" s="11" t="s">
        <v>381</v>
      </c>
      <c r="G6" s="11" t="s">
        <v>382</v>
      </c>
      <c r="H6" s="11" t="s">
        <v>383</v>
      </c>
      <c r="I6" s="9">
        <v>46000</v>
      </c>
      <c r="J6" s="92">
        <f t="shared" si="0"/>
        <v>8.0308384195309987E-3</v>
      </c>
    </row>
    <row r="7" spans="2:10">
      <c r="B7" s="11" t="s">
        <v>373</v>
      </c>
      <c r="C7" s="11" t="s">
        <v>374</v>
      </c>
      <c r="D7" s="11" t="s">
        <v>375</v>
      </c>
      <c r="E7" s="11" t="s">
        <v>384</v>
      </c>
      <c r="F7" s="11" t="s">
        <v>385</v>
      </c>
      <c r="G7" s="11" t="s">
        <v>386</v>
      </c>
      <c r="H7" s="11" t="s">
        <v>386</v>
      </c>
      <c r="I7" s="9">
        <v>3000</v>
      </c>
      <c r="J7" s="92">
        <f t="shared" si="0"/>
        <v>5.2375033170854346E-4</v>
      </c>
    </row>
    <row r="8" spans="2:10">
      <c r="B8" s="11" t="s">
        <v>373</v>
      </c>
      <c r="C8" s="11" t="s">
        <v>374</v>
      </c>
      <c r="D8" s="11" t="s">
        <v>375</v>
      </c>
      <c r="E8" s="11" t="s">
        <v>380</v>
      </c>
      <c r="F8" s="11" t="s">
        <v>385</v>
      </c>
      <c r="G8" s="11" t="s">
        <v>382</v>
      </c>
      <c r="H8" s="11" t="s">
        <v>383</v>
      </c>
      <c r="I8" s="9">
        <v>536790</v>
      </c>
      <c r="J8" s="92">
        <f t="shared" si="0"/>
        <v>9.3714646852609676E-2</v>
      </c>
    </row>
    <row r="9" spans="2:10">
      <c r="B9" s="11" t="s">
        <v>373</v>
      </c>
      <c r="C9" s="11" t="s">
        <v>374</v>
      </c>
      <c r="D9" s="11" t="s">
        <v>375</v>
      </c>
      <c r="E9" s="11" t="s">
        <v>380</v>
      </c>
      <c r="F9" s="11" t="s">
        <v>385</v>
      </c>
      <c r="G9" s="11" t="s">
        <v>382</v>
      </c>
      <c r="H9" s="11" t="s">
        <v>383</v>
      </c>
      <c r="I9" s="9">
        <v>1738200</v>
      </c>
      <c r="J9" s="92">
        <f t="shared" si="0"/>
        <v>0.30346094219193004</v>
      </c>
    </row>
    <row r="10" spans="2:10">
      <c r="B10" s="11" t="s">
        <v>373</v>
      </c>
      <c r="C10" s="11" t="s">
        <v>374</v>
      </c>
      <c r="D10" s="11" t="s">
        <v>375</v>
      </c>
      <c r="E10" s="11" t="s">
        <v>380</v>
      </c>
      <c r="F10" s="11" t="s">
        <v>387</v>
      </c>
      <c r="G10" s="11" t="s">
        <v>382</v>
      </c>
      <c r="H10" s="11" t="s">
        <v>383</v>
      </c>
      <c r="I10" s="9">
        <v>23520</v>
      </c>
      <c r="J10" s="92">
        <f t="shared" si="0"/>
        <v>4.1062026005949806E-3</v>
      </c>
    </row>
    <row r="11" spans="2:10">
      <c r="B11" s="11" t="s">
        <v>373</v>
      </c>
      <c r="C11" s="11" t="s">
        <v>374</v>
      </c>
      <c r="D11" s="11" t="s">
        <v>375</v>
      </c>
      <c r="E11" s="11" t="s">
        <v>376</v>
      </c>
      <c r="F11" s="11" t="s">
        <v>377</v>
      </c>
      <c r="G11" s="11" t="s">
        <v>388</v>
      </c>
      <c r="H11" s="11" t="s">
        <v>389</v>
      </c>
      <c r="I11" s="9">
        <v>58600</v>
      </c>
      <c r="J11" s="92">
        <f t="shared" si="0"/>
        <v>1.0230589812706881E-2</v>
      </c>
    </row>
    <row r="12" spans="2:10">
      <c r="B12" s="11" t="s">
        <v>373</v>
      </c>
      <c r="C12" s="11" t="s">
        <v>374</v>
      </c>
      <c r="D12" s="11" t="s">
        <v>375</v>
      </c>
      <c r="E12" s="11" t="s">
        <v>376</v>
      </c>
      <c r="F12" s="11" t="s">
        <v>377</v>
      </c>
      <c r="G12" s="11" t="s">
        <v>388</v>
      </c>
      <c r="H12" s="11" t="s">
        <v>389</v>
      </c>
      <c r="I12" s="9">
        <v>117840</v>
      </c>
      <c r="J12" s="92">
        <f t="shared" si="0"/>
        <v>2.0572913029511586E-2</v>
      </c>
    </row>
    <row r="13" spans="2:10">
      <c r="B13" s="11" t="s">
        <v>390</v>
      </c>
      <c r="C13" s="11" t="s">
        <v>391</v>
      </c>
      <c r="D13" s="11" t="s">
        <v>392</v>
      </c>
      <c r="E13" s="11" t="s">
        <v>393</v>
      </c>
      <c r="F13" s="11" t="s">
        <v>394</v>
      </c>
      <c r="G13" s="11" t="s">
        <v>395</v>
      </c>
      <c r="H13" s="11" t="s">
        <v>386</v>
      </c>
      <c r="I13" s="9">
        <v>220000</v>
      </c>
      <c r="J13" s="92">
        <f t="shared" si="0"/>
        <v>3.8408357658626519E-2</v>
      </c>
    </row>
    <row r="14" spans="2:10">
      <c r="B14" s="11" t="s">
        <v>390</v>
      </c>
      <c r="C14" s="11" t="s">
        <v>391</v>
      </c>
      <c r="D14" s="11" t="s">
        <v>392</v>
      </c>
      <c r="E14" s="11" t="s">
        <v>376</v>
      </c>
      <c r="F14" s="11" t="s">
        <v>377</v>
      </c>
      <c r="G14" s="11" t="s">
        <v>378</v>
      </c>
      <c r="H14" s="11" t="s">
        <v>379</v>
      </c>
      <c r="I14" s="9">
        <v>44700</v>
      </c>
      <c r="J14" s="92">
        <f t="shared" si="0"/>
        <v>7.8038799424572968E-3</v>
      </c>
    </row>
    <row r="15" spans="2:10">
      <c r="B15" s="11" t="s">
        <v>390</v>
      </c>
      <c r="C15" s="11" t="s">
        <v>391</v>
      </c>
      <c r="D15" s="11" t="s">
        <v>392</v>
      </c>
      <c r="E15" s="11" t="s">
        <v>376</v>
      </c>
      <c r="F15" s="11" t="s">
        <v>377</v>
      </c>
      <c r="G15" s="11" t="s">
        <v>378</v>
      </c>
      <c r="H15" s="11" t="s">
        <v>379</v>
      </c>
      <c r="I15" s="9">
        <v>88400</v>
      </c>
      <c r="J15" s="92">
        <f t="shared" si="0"/>
        <v>1.5433176441011746E-2</v>
      </c>
    </row>
    <row r="16" spans="2:10">
      <c r="B16" s="11" t="s">
        <v>390</v>
      </c>
      <c r="C16" s="11" t="s">
        <v>391</v>
      </c>
      <c r="D16" s="11" t="s">
        <v>392</v>
      </c>
      <c r="E16" s="11" t="s">
        <v>376</v>
      </c>
      <c r="F16" s="11" t="s">
        <v>377</v>
      </c>
      <c r="G16" s="11" t="s">
        <v>388</v>
      </c>
      <c r="H16" s="11" t="s">
        <v>389</v>
      </c>
      <c r="I16" s="9">
        <v>107190</v>
      </c>
      <c r="J16" s="92">
        <f t="shared" si="0"/>
        <v>1.8713599351946258E-2</v>
      </c>
    </row>
    <row r="17" spans="2:10">
      <c r="B17" s="11" t="s">
        <v>396</v>
      </c>
      <c r="C17" s="11" t="s">
        <v>397</v>
      </c>
      <c r="D17" s="11" t="s">
        <v>375</v>
      </c>
      <c r="E17" s="11" t="s">
        <v>376</v>
      </c>
      <c r="F17" s="11" t="s">
        <v>377</v>
      </c>
      <c r="G17" s="11" t="s">
        <v>388</v>
      </c>
      <c r="H17" s="11" t="s">
        <v>389</v>
      </c>
      <c r="I17" s="9">
        <v>360600</v>
      </c>
      <c r="J17" s="92">
        <f t="shared" si="0"/>
        <v>6.295478987136692E-2</v>
      </c>
    </row>
    <row r="18" spans="2:10">
      <c r="B18" s="11" t="s">
        <v>396</v>
      </c>
      <c r="C18" s="11" t="s">
        <v>397</v>
      </c>
      <c r="D18" s="11" t="s">
        <v>375</v>
      </c>
      <c r="E18" s="11" t="s">
        <v>384</v>
      </c>
      <c r="F18" s="11" t="s">
        <v>385</v>
      </c>
      <c r="G18" s="11" t="s">
        <v>386</v>
      </c>
      <c r="H18" s="11" t="s">
        <v>386</v>
      </c>
      <c r="I18" s="9">
        <v>145000</v>
      </c>
      <c r="J18" s="92">
        <f t="shared" si="0"/>
        <v>2.5314599365912932E-2</v>
      </c>
    </row>
    <row r="19" spans="2:10">
      <c r="B19" s="11" t="s">
        <v>396</v>
      </c>
      <c r="C19" s="11" t="s">
        <v>397</v>
      </c>
      <c r="D19" s="11" t="s">
        <v>375</v>
      </c>
      <c r="E19" s="11" t="s">
        <v>384</v>
      </c>
      <c r="F19" s="11" t="s">
        <v>385</v>
      </c>
      <c r="G19" s="11" t="s">
        <v>386</v>
      </c>
      <c r="H19" s="11" t="s">
        <v>386</v>
      </c>
      <c r="I19" s="9">
        <v>231000</v>
      </c>
      <c r="J19" s="92">
        <f t="shared" si="0"/>
        <v>4.0328775541557844E-2</v>
      </c>
    </row>
    <row r="20" spans="2:10">
      <c r="B20" s="11" t="s">
        <v>396</v>
      </c>
      <c r="C20" s="11" t="s">
        <v>397</v>
      </c>
      <c r="D20" s="11" t="s">
        <v>375</v>
      </c>
      <c r="E20" s="11" t="s">
        <v>376</v>
      </c>
      <c r="F20" s="11" t="s">
        <v>377</v>
      </c>
      <c r="G20" s="11" t="s">
        <v>388</v>
      </c>
      <c r="H20" s="11" t="s">
        <v>389</v>
      </c>
      <c r="I20" s="9">
        <v>50620</v>
      </c>
      <c r="J20" s="92">
        <f t="shared" si="0"/>
        <v>8.8374139303621559E-3</v>
      </c>
    </row>
    <row r="21" spans="2:10">
      <c r="B21" s="11" t="s">
        <v>398</v>
      </c>
      <c r="C21" s="11" t="s">
        <v>399</v>
      </c>
      <c r="D21" s="11" t="s">
        <v>375</v>
      </c>
      <c r="E21" s="11" t="s">
        <v>400</v>
      </c>
      <c r="F21" s="11" t="s">
        <v>381</v>
      </c>
      <c r="G21" s="11" t="s">
        <v>401</v>
      </c>
      <c r="H21" s="11" t="s">
        <v>402</v>
      </c>
      <c r="I21" s="9">
        <v>46360</v>
      </c>
      <c r="J21" s="92">
        <f t="shared" si="0"/>
        <v>8.093688459336024E-3</v>
      </c>
    </row>
    <row r="22" spans="2:10">
      <c r="B22" s="11" t="s">
        <v>398</v>
      </c>
      <c r="C22" s="11" t="s">
        <v>399</v>
      </c>
      <c r="D22" s="11" t="s">
        <v>375</v>
      </c>
      <c r="E22" s="11" t="s">
        <v>400</v>
      </c>
      <c r="F22" s="11" t="s">
        <v>381</v>
      </c>
      <c r="G22" s="11" t="s">
        <v>401</v>
      </c>
      <c r="H22" s="11" t="s">
        <v>402</v>
      </c>
      <c r="I22" s="9">
        <v>143040</v>
      </c>
      <c r="J22" s="92">
        <f t="shared" si="0"/>
        <v>2.497241581586335E-2</v>
      </c>
    </row>
    <row r="23" spans="2:10">
      <c r="B23" s="11" t="s">
        <v>398</v>
      </c>
      <c r="C23" s="11" t="s">
        <v>399</v>
      </c>
      <c r="D23" s="11" t="s">
        <v>375</v>
      </c>
      <c r="E23" s="11" t="s">
        <v>400</v>
      </c>
      <c r="F23" s="11" t="s">
        <v>385</v>
      </c>
      <c r="G23" s="11" t="s">
        <v>401</v>
      </c>
      <c r="H23" s="11" t="s">
        <v>402</v>
      </c>
      <c r="I23" s="9">
        <v>138660</v>
      </c>
      <c r="J23" s="92">
        <f t="shared" si="0"/>
        <v>2.4207740331568875E-2</v>
      </c>
    </row>
    <row r="24" spans="2:10">
      <c r="B24" s="11" t="s">
        <v>398</v>
      </c>
      <c r="C24" s="11" t="s">
        <v>399</v>
      </c>
      <c r="D24" s="11" t="s">
        <v>375</v>
      </c>
      <c r="E24" s="11" t="s">
        <v>400</v>
      </c>
      <c r="F24" s="11" t="s">
        <v>385</v>
      </c>
      <c r="G24" s="11" t="s">
        <v>401</v>
      </c>
      <c r="H24" s="11" t="s">
        <v>402</v>
      </c>
      <c r="I24" s="9">
        <v>239250</v>
      </c>
      <c r="J24" s="92">
        <f t="shared" si="0"/>
        <v>4.1769088953756341E-2</v>
      </c>
    </row>
    <row r="25" spans="2:10">
      <c r="B25" s="11" t="s">
        <v>398</v>
      </c>
      <c r="C25" s="11" t="s">
        <v>399</v>
      </c>
      <c r="D25" s="11" t="s">
        <v>375</v>
      </c>
      <c r="E25" s="11" t="s">
        <v>400</v>
      </c>
      <c r="F25" s="11" t="s">
        <v>387</v>
      </c>
      <c r="G25" s="11" t="s">
        <v>401</v>
      </c>
      <c r="H25" s="11" t="s">
        <v>402</v>
      </c>
      <c r="I25" s="9">
        <v>4000</v>
      </c>
      <c r="J25" s="92">
        <f t="shared" si="0"/>
        <v>6.9833377561139118E-4</v>
      </c>
    </row>
    <row r="26" spans="2:10">
      <c r="B26" s="11" t="s">
        <v>398</v>
      </c>
      <c r="C26" s="11" t="s">
        <v>399</v>
      </c>
      <c r="D26" s="11" t="s">
        <v>375</v>
      </c>
      <c r="E26" s="11" t="s">
        <v>376</v>
      </c>
      <c r="F26" s="11" t="s">
        <v>377</v>
      </c>
      <c r="G26" s="11" t="s">
        <v>388</v>
      </c>
      <c r="H26" s="11" t="s">
        <v>389</v>
      </c>
      <c r="I26" s="9">
        <v>81970</v>
      </c>
      <c r="J26" s="92">
        <f t="shared" si="0"/>
        <v>1.4310604896716435E-2</v>
      </c>
    </row>
    <row r="27" spans="2:10">
      <c r="B27" s="11" t="s">
        <v>403</v>
      </c>
      <c r="C27" s="11" t="s">
        <v>404</v>
      </c>
      <c r="D27" s="11" t="s">
        <v>375</v>
      </c>
      <c r="E27" s="11" t="s">
        <v>380</v>
      </c>
      <c r="F27" s="11" t="s">
        <v>381</v>
      </c>
      <c r="G27" s="11" t="s">
        <v>405</v>
      </c>
      <c r="H27" s="11" t="s">
        <v>406</v>
      </c>
      <c r="I27" s="9">
        <v>15000</v>
      </c>
      <c r="J27" s="92">
        <f t="shared" si="0"/>
        <v>2.6187516585427172E-3</v>
      </c>
    </row>
    <row r="28" spans="2:10">
      <c r="B28" s="11" t="s">
        <v>403</v>
      </c>
      <c r="C28" s="11" t="s">
        <v>404</v>
      </c>
      <c r="D28" s="11" t="s">
        <v>375</v>
      </c>
      <c r="E28" s="11" t="s">
        <v>380</v>
      </c>
      <c r="F28" s="11" t="s">
        <v>381</v>
      </c>
      <c r="G28" s="11" t="s">
        <v>382</v>
      </c>
      <c r="H28" s="11" t="s">
        <v>383</v>
      </c>
      <c r="I28" s="9">
        <v>111980</v>
      </c>
      <c r="J28" s="92">
        <f t="shared" si="0"/>
        <v>1.9549854048240896E-2</v>
      </c>
    </row>
    <row r="29" spans="2:10">
      <c r="B29" s="11" t="s">
        <v>403</v>
      </c>
      <c r="C29" s="11" t="s">
        <v>404</v>
      </c>
      <c r="D29" s="11" t="s">
        <v>375</v>
      </c>
      <c r="E29" s="11" t="s">
        <v>380</v>
      </c>
      <c r="F29" s="11" t="s">
        <v>381</v>
      </c>
      <c r="G29" s="11" t="s">
        <v>382</v>
      </c>
      <c r="H29" s="11" t="s">
        <v>383</v>
      </c>
      <c r="I29" s="9">
        <v>213200</v>
      </c>
      <c r="J29" s="92">
        <f t="shared" si="0"/>
        <v>3.7221190240087153E-2</v>
      </c>
    </row>
    <row r="30" spans="2:10">
      <c r="B30" s="11" t="s">
        <v>403</v>
      </c>
      <c r="C30" s="11" t="s">
        <v>404</v>
      </c>
      <c r="D30" s="11" t="s">
        <v>375</v>
      </c>
      <c r="E30" s="11" t="s">
        <v>393</v>
      </c>
      <c r="F30" s="11" t="s">
        <v>394</v>
      </c>
      <c r="G30" s="11" t="s">
        <v>395</v>
      </c>
      <c r="H30" s="11" t="s">
        <v>386</v>
      </c>
      <c r="I30" s="9">
        <v>110000</v>
      </c>
      <c r="J30" s="92">
        <f t="shared" si="0"/>
        <v>1.9204178829313259E-2</v>
      </c>
    </row>
    <row r="31" spans="2:10">
      <c r="B31" s="11" t="s">
        <v>403</v>
      </c>
      <c r="C31" s="11" t="s">
        <v>404</v>
      </c>
      <c r="D31" s="11" t="s">
        <v>375</v>
      </c>
      <c r="E31" s="11" t="s">
        <v>393</v>
      </c>
      <c r="F31" s="11" t="s">
        <v>394</v>
      </c>
      <c r="G31" s="11" t="s">
        <v>395</v>
      </c>
      <c r="H31" s="11" t="s">
        <v>386</v>
      </c>
      <c r="I31" s="9">
        <v>240000</v>
      </c>
      <c r="J31" s="92">
        <f t="shared" si="0"/>
        <v>4.1900026536683475E-2</v>
      </c>
    </row>
    <row r="32" spans="2:10">
      <c r="B32" s="11" t="s">
        <v>403</v>
      </c>
      <c r="C32" s="11" t="s">
        <v>404</v>
      </c>
      <c r="D32" s="11" t="s">
        <v>375</v>
      </c>
      <c r="E32" s="11" t="s">
        <v>393</v>
      </c>
      <c r="F32" s="11" t="s">
        <v>394</v>
      </c>
      <c r="G32" s="11" t="s">
        <v>395</v>
      </c>
      <c r="H32" s="11" t="s">
        <v>386</v>
      </c>
      <c r="I32" s="9">
        <v>600000</v>
      </c>
      <c r="J32" s="92">
        <f t="shared" si="0"/>
        <v>0.10475006634170868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서식적용8">
                <anchor moveWithCells="1" siz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서식해제5">
                <anchor moveWithCells="1" sizeWithCells="1">
                  <from>
                    <xdr:col>11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17</vt:i4>
      </vt:variant>
    </vt:vector>
  </HeadingPairs>
  <TitlesOfParts>
    <vt:vector size="17" baseType="lpstr">
      <vt:lpstr>홈</vt:lpstr>
      <vt:lpstr>차트1</vt:lpstr>
      <vt:lpstr>차트2</vt:lpstr>
      <vt:lpstr>차트3</vt:lpstr>
      <vt:lpstr>차트4</vt:lpstr>
      <vt:lpstr>차트5</vt:lpstr>
      <vt:lpstr>차트6</vt:lpstr>
      <vt:lpstr>매크로1</vt:lpstr>
      <vt:lpstr>매크로2</vt:lpstr>
      <vt:lpstr>매크로3</vt:lpstr>
      <vt:lpstr>매크로4</vt:lpstr>
      <vt:lpstr>매크로5</vt:lpstr>
      <vt:lpstr>매크로6</vt:lpstr>
      <vt:lpstr>매크로7</vt:lpstr>
      <vt:lpstr>매크로8</vt:lpstr>
      <vt:lpstr>매크로9</vt:lpstr>
      <vt:lpstr>매크로10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기풍쌤</dc:creator>
  <cp:lastModifiedBy>Jieun Park</cp:lastModifiedBy>
  <dcterms:created xsi:type="dcterms:W3CDTF">2022-01-11T01:03:54Z</dcterms:created>
  <dcterms:modified xsi:type="dcterms:W3CDTF">2023-06-15T14:11:47Z</dcterms:modified>
</cp:coreProperties>
</file>