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database\Spreadsheet\08_B형 샘플문제\"/>
    </mc:Choice>
  </mc:AlternateContent>
  <xr:revisionPtr revIDLastSave="0" documentId="13_ncr:1_{0BB86B8D-C165-4261-8E55-6F0BB48E2F05}" xr6:coauthVersionLast="47" xr6:coauthVersionMax="47" xr10:uidLastSave="{00000000-0000-0000-0000-000000000000}"/>
  <bookViews>
    <workbookView xWindow="-98" yWindow="-98" windowWidth="21795" windowHeight="12975" firstSheet="1" activeTab="7" xr2:uid="{00000000-000D-0000-FFFF-FFFF00000000}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26" r:id="rId7"/>
    <sheet name="기타작업-3" sheetId="14" r:id="rId8"/>
  </sheets>
  <functionGroups builtInGroupCount="19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_FilterDatabase" localSheetId="4" hidden="1">'분석작업-2'!$B$2:$F$35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'기본작업-2'!$B$3:$D$42</definedName>
    <definedName name="_xlnm.Print_Titles" localSheetId="1">'기본작업-2'!$2:$2</definedName>
  </definedNames>
  <calcPr calcId="191029"/>
  <pivotCaches>
    <pivotCache cacheId="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7" l="1" a="1"/>
  <c r="N22" i="17"/>
  <c r="N23" i="17" a="1"/>
  <c r="N23" i="17"/>
  <c r="N24" i="17" a="1"/>
  <c r="N24" i="17"/>
  <c r="N21" i="17" a="1"/>
  <c r="N21" i="17" s="1"/>
  <c r="O14" i="17" a="1"/>
  <c r="O14" i="17" s="1"/>
  <c r="P14" i="17" a="1"/>
  <c r="P14" i="17" s="1"/>
  <c r="O15" i="17" a="1"/>
  <c r="O15" i="17" s="1"/>
  <c r="P15" i="17" a="1"/>
  <c r="P15" i="17" s="1"/>
  <c r="O16" i="17" a="1"/>
  <c r="O16" i="17" s="1"/>
  <c r="P16" i="17" a="1"/>
  <c r="P16" i="17" s="1"/>
  <c r="N15" i="17" a="1"/>
  <c r="N15" i="17" s="1"/>
  <c r="N16" i="17" a="1"/>
  <c r="N16" i="17" s="1"/>
  <c r="N14" i="17" a="1"/>
  <c r="N14" i="17" s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I3" i="13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5" i="26"/>
  <c r="F14" i="26"/>
  <c r="F13" i="26"/>
  <c r="F12" i="26"/>
  <c r="F11" i="26"/>
  <c r="F10" i="26"/>
  <c r="F9" i="26"/>
  <c r="F8" i="26"/>
  <c r="F7" i="26"/>
  <c r="J5" i="17" a="1"/>
  <c r="J13" i="17" a="1"/>
  <c r="J21" i="17" a="1"/>
  <c r="J29" i="17" a="1"/>
  <c r="J37" i="17" a="1"/>
  <c r="J6" i="17" a="1"/>
  <c r="J14" i="17" a="1"/>
  <c r="J22" i="17" a="1"/>
  <c r="J30" i="17" a="1"/>
  <c r="J38" i="17" a="1"/>
  <c r="J7" i="17" a="1"/>
  <c r="J15" i="17" a="1"/>
  <c r="J23" i="17" a="1"/>
  <c r="J31" i="17" a="1"/>
  <c r="J39" i="17" a="1"/>
  <c r="J8" i="17" a="1"/>
  <c r="J16" i="17" a="1"/>
  <c r="J24" i="17" a="1"/>
  <c r="J32" i="17" a="1"/>
  <c r="J40" i="17" a="1"/>
  <c r="J9" i="17" a="1"/>
  <c r="J17" i="17" a="1"/>
  <c r="J25" i="17" a="1"/>
  <c r="J33" i="17" a="1"/>
  <c r="J41" i="17" a="1"/>
  <c r="J10" i="17" a="1"/>
  <c r="J18" i="17" a="1"/>
  <c r="J26" i="17" a="1"/>
  <c r="J34" i="17" a="1"/>
  <c r="J42" i="17" a="1"/>
  <c r="J11" i="17" a="1"/>
  <c r="J19" i="17" a="1"/>
  <c r="J27" i="17" a="1"/>
  <c r="J35" i="17" a="1"/>
  <c r="J12" i="17" a="1"/>
  <c r="J20" i="17" a="1"/>
  <c r="J28" i="17" a="1"/>
  <c r="J36" i="17" a="1"/>
  <c r="J4" i="17" a="1"/>
  <c r="J36" i="17" l="1"/>
  <c r="J28" i="17"/>
  <c r="J20" i="17"/>
  <c r="J12" i="17"/>
  <c r="J35" i="17"/>
  <c r="J27" i="17"/>
  <c r="J19" i="17"/>
  <c r="J11" i="17"/>
  <c r="J42" i="17"/>
  <c r="J34" i="17"/>
  <c r="J26" i="17"/>
  <c r="J18" i="17"/>
  <c r="J10" i="17"/>
  <c r="J41" i="17"/>
  <c r="J33" i="17"/>
  <c r="J25" i="17"/>
  <c r="J17" i="17"/>
  <c r="J9" i="17"/>
  <c r="J40" i="17"/>
  <c r="J32" i="17"/>
  <c r="J24" i="17"/>
  <c r="J16" i="17"/>
  <c r="J8" i="17"/>
  <c r="J39" i="17"/>
  <c r="J31" i="17"/>
  <c r="J23" i="17"/>
  <c r="J15" i="17"/>
  <c r="J7" i="17"/>
  <c r="J38" i="17"/>
  <c r="J30" i="17"/>
  <c r="J22" i="17"/>
  <c r="J14" i="17"/>
  <c r="J6" i="17"/>
  <c r="J37" i="17"/>
  <c r="J29" i="17"/>
  <c r="J21" i="17"/>
  <c r="J13" i="17"/>
  <c r="J5" i="17"/>
  <c r="J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xr16:uid="{00000000-0015-0000-FFFF-FFFF01000000}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xr16:uid="{00000000-0015-0000-FFFF-FFFF02000000}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xr16:uid="{00000000-0015-0000-FFFF-FFFF03000000}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  <connection id="5" xr16:uid="{143C6682-714B-41E9-93DC-B78BDD6292FE}" name="MS Access Database_Query4" type="1" refreshedVersion="8" background="1">
    <dbPr connection="DSN=MS Access Database;DBQ=C:\Users\mondi\Desktop\database\Spreadsheet\08_B형 샘플문제\생활기상정보.accdb;DefaultDir=C:\Users\mondi\Desktop\database\Spreadsheet\08_B형 샘플문제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<sst xmlns="http://schemas.openxmlformats.org/spreadsheetml/2006/main" count="761" uniqueCount="281">
  <si>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</si>
  <si>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</si>
  <si>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</si>
  <si>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</si>
  <si>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</si>
  <si>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</si>
  <si>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</si>
  <si>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</si>
  <si>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</si>
  <si>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</si>
  <si>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</si>
  <si>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</si>
  <si>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</si>
  <si>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</si>
  <si>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</si>
  <si>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</si>
  <si>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</si>
  <si>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</si>
  <si>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</si>
  <si>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</si>
  <si>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</si>
  <si>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</si>
  <si>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</si>
  <si>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</si>
  <si>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</si>
  <si>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</si>
  <si>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</si>
  <si>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</si>
  <si>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</si>
  <si>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</si>
  <si>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</si>
  <si>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</si>
  <si>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</si>
  <si>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</si>
  <si>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</si>
  <si>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</si>
  <si>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</si>
  <si>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</si>
  <si>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</si>
  <si>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</si>
  <si>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</si>
  <si>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</si>
  <si>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</si>
  <si>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</si>
  <si>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</si>
  <si>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</si>
  <si>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</si>
  <si>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</si>
  <si>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</si>
  <si>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</si>
  <si>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</si>
  <si>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</si>
  <si>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</si>
  <si>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</si>
  <si>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</si>
  <si>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</si>
  <si>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</si>
  <si>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</si>
  <si>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</si>
  <si>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</si>
  <si>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</si>
  <si>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</si>
  <si>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</si>
  <si>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</si>
  <si>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</si>
  <si>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</si>
  <si>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</si>
  <si>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</si>
  <si>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</si>
  <si>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</si>
  <si>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</si>
  <si>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</si>
  <si>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</si>
  <si>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</si>
  <si>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</si>
  <si>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</si>
  <si>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</si>
  <si>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</si>
  <si>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</si>
  <si>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</si>
  <si>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</si>
  <si>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</si>
  <si>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</si>
  <si>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</si>
  <si>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</si>
  <si>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</si>
  <si>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</si>
  <si>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</si>
  <si>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</si>
  <si>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</si>
  <si>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</si>
  <si>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</si>
  <si>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</si>
  <si>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</si>
  <si>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</si>
  <si>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</si>
  <si>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</si>
  <si>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</si>
  <si>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</si>
  <si>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</si>
  <si>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</si>
  <si>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</si>
  <si>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</si>
  <si>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</si>
  <si>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</si>
  <si>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</si>
  <si>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</si>
  <si>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</si>
  <si>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</si>
  <si>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</si>
  <si>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</si>
  <si>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</si>
  <si>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</si>
  <si>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</si>
  <si>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</si>
  <si>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</si>
  <si>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</si>
  <si>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</si>
  <si>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</si>
  <si>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</si>
  <si>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</si>
  <si>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</si>
  <si>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</si>
  <si>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</si>
  <si>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</si>
  <si>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</si>
  <si>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</si>
  <si>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</si>
  <si>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</si>
  <si>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</si>
  <si>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</si>
  <si>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</si>
  <si>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</si>
  <si>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</si>
  <si>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</si>
  <si>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</si>
  <si>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</si>
  <si>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</si>
  <si>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</si>
  <si>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</si>
  <si>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</si>
  <si>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</si>
  <si>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</si>
  <si>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</si>
  <si>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</si>
  <si>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</si>
  <si>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</si>
  <si>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</si>
  <si>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</si>
  <si>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</si>
  <si>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</si>
  <si>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</si>
  <si>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</si>
  <si>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</si>
  <si>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</si>
  <si>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</si>
  <si>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</si>
  <si>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</si>
  <si>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</si>
  <si>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</si>
  <si>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</si>
  <si>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</si>
  <si>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</si>
  <si>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</si>
  <si>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</si>
  <si>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</si>
  <si>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</si>
  <si>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</si>
  <si>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</si>
  <si>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</si>
  <si>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</si>
  <si>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</si>
  <si>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</si>
  <si>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</si>
  <si>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</si>
  <si>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</si>
  <si>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</si>
  <si>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</si>
  <si>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</si>
  <si>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</si>
  <si>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</si>
  <si>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</si>
  <si>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</si>
  <si>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</si>
  <si>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</si>
  <si>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</si>
  <si>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</si>
  <si>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</si>
  <si>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</si>
  <si>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</si>
  <si>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</si>
  <si>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</si>
  <si>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</si>
  <si>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</si>
  <si>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</si>
  <si>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</si>
  <si>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</si>
  <si>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</si>
  <si>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</si>
  <si>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</si>
  <si>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</si>
  <si>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</si>
  <si>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</si>
  <si>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</si>
  <si>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</si>
  <si>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</si>
  <si>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</si>
  <si>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</si>
  <si>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</si>
  <si>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</si>
  <si>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</si>
  <si>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</si>
  <si>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</si>
  <si>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</si>
  <si>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</si>
  <si>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</si>
  <si>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</si>
  <si>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</si>
  <si>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</si>
  <si>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</si>
  <si>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</si>
  <si>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</si>
  <si>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</si>
  <si>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</si>
  <si>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</si>
  <si>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</si>
  <si>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</si>
  <si>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</si>
  <si>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</si>
  <si>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</si>
  <si>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</si>
  <si>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</si>
  <si>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</si>
  <si>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</si>
  <si>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</si>
  <si>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</si>
  <si>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</si>
  <si>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</si>
  <si>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</si>
  <si>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</si>
  <si>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</si>
  <si>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</si>
  <si>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</si>
  <si>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</si>
  <si>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</si>
  <si>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</si>
  <si>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평년차</t>
    <phoneticPr fontId="1" type="noConversion"/>
  </si>
  <si>
    <t>진달래</t>
    <phoneticPr fontId="1" type="noConversion"/>
  </si>
  <si>
    <t>개나리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</si>
  <si>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</si>
  <si>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</si>
  <si>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</si>
  <si>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</si>
  <si>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</si>
  <si>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</si>
  <si>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</si>
  <si>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</si>
  <si>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평년</t>
    <phoneticPr fontId="3" type="noConversion"/>
  </si>
  <si>
    <t>벚꽃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</si>
  <si>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</si>
  <si>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</si>
  <si>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</si>
  <si>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</si>
  <si>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조건</t>
    <phoneticPr fontId="1" type="noConversion"/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</si>
  <si>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</si>
  <si>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</si>
  <si>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</si>
  <si>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</si>
  <si>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</si>
  <si>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</si>
  <si>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</si>
  <si>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</si>
  <si>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</si>
  <si>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</si>
  <si>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기상</t>
  </si>
  <si>
    <t>지역</t>
  </si>
  <si>
    <t>합계 : 겨울기상</t>
  </si>
  <si>
    <t>값</t>
  </si>
  <si>
    <t>전체 합계 : 겨울기상</t>
  </si>
  <si>
    <t>전체 합계 : 봄기상</t>
  </si>
  <si>
    <t>합계 : 봄기상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</si>
</sst>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"/>
    <numFmt numFmtId="178" formatCode="mm&quot;월&quot;\ dd&quot;일&quot;;@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5" xfId="5" applyNumberFormat="1" applyFont="1" applyBorder="1">
      <alignment vertical="center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8" fillId="0" borderId="5" xfId="1" applyNumberFormat="1" applyFont="1" applyBorder="1" applyAlignment="1">
      <alignment horizontal="center" wrapText="1"/>
    </xf>
  </cellXfs>
  <cellStyles count="9">
    <cellStyle name="강조색1" xfId="8" builtinId="29"/>
    <cellStyle name="백분율 2" xfId="2" xr:uid="{00000000-0005-0000-0000-000001000000}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 xr:uid="{00000000-0005-0000-0000-000008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v>대전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v>대구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v>부산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096.977333449075" backgroundQuery="1" createdVersion="8" refreshedVersion="8" minRefreshableVersion="3" recordCount="88" xr:uid="{7CDFA3FF-64D7-44AB-9C8F-EB3CF9F89F5A}">
  <cacheSource type="external" connectionId="5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 +'1월' +'2월'" databaseField="0"/>
    <cacheField name="봄기상" numFmtId="0" formula="'3월'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B2AA49-DC04-45A2-8D9C-449CF6FD71F5}" name="피벗 테이블1" cacheId="5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workbookViewId="0"/>
  </sheetViews>
  <sheetFormatPr defaultRowHeight="16.899999999999999" x14ac:dyDescent="0.6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6">
      <c r="B2" s="42" t="s">
        <v>13</v>
      </c>
      <c r="C2" s="42" t="s">
        <v>14</v>
      </c>
      <c r="D2" s="42" t="s">
        <v>15</v>
      </c>
      <c r="E2" s="42" t="s">
        <v>16</v>
      </c>
      <c r="F2" s="42" t="s">
        <v>17</v>
      </c>
      <c r="G2" s="42" t="s">
        <v>18</v>
      </c>
      <c r="I2" s="17" t="s">
        <v>263</v>
      </c>
    </row>
    <row r="3" spans="2:13" x14ac:dyDescent="0.6">
      <c r="B3" s="4" t="s">
        <v>20</v>
      </c>
      <c r="C3" s="4" t="s">
        <v>21</v>
      </c>
      <c r="D3" s="5">
        <v>2015</v>
      </c>
      <c r="E3" s="5" t="s">
        <v>68</v>
      </c>
      <c r="F3" s="5" t="s">
        <v>19</v>
      </c>
      <c r="G3" s="5"/>
      <c r="I3" t="b">
        <f>AND(NOT(ISBLANK(G3)),G3&lt;&gt;"품절도서")</f>
        <v>0</v>
      </c>
    </row>
    <row r="4" spans="2:13" ht="17.25" customHeight="1" x14ac:dyDescent="0.6">
      <c r="B4" s="7" t="s">
        <v>22</v>
      </c>
      <c r="C4" s="7" t="s">
        <v>23</v>
      </c>
      <c r="D4" s="6">
        <v>2015</v>
      </c>
      <c r="E4" s="6" t="s">
        <v>68</v>
      </c>
      <c r="F4" s="6" t="s">
        <v>19</v>
      </c>
      <c r="G4" s="6"/>
    </row>
    <row r="5" spans="2:13" x14ac:dyDescent="0.6">
      <c r="B5" s="7" t="s">
        <v>24</v>
      </c>
      <c r="C5" s="7" t="s">
        <v>25</v>
      </c>
      <c r="D5" s="6">
        <v>2016</v>
      </c>
      <c r="E5" s="6" t="s">
        <v>69</v>
      </c>
      <c r="F5" s="6" t="s">
        <v>26</v>
      </c>
      <c r="G5" s="6" t="s">
        <v>88</v>
      </c>
    </row>
    <row r="6" spans="2:13" x14ac:dyDescent="0.6">
      <c r="B6" s="7" t="s">
        <v>27</v>
      </c>
      <c r="C6" s="7" t="s">
        <v>28</v>
      </c>
      <c r="D6" s="6">
        <v>2016</v>
      </c>
      <c r="E6" s="6" t="s">
        <v>69</v>
      </c>
      <c r="F6" s="6" t="s">
        <v>90</v>
      </c>
      <c r="G6" s="6"/>
    </row>
    <row r="7" spans="2:13" x14ac:dyDescent="0.6">
      <c r="B7" s="7" t="s">
        <v>29</v>
      </c>
      <c r="C7" s="7" t="s">
        <v>30</v>
      </c>
      <c r="D7" s="6">
        <v>2015</v>
      </c>
      <c r="E7" s="6" t="s">
        <v>69</v>
      </c>
      <c r="F7" s="6" t="s">
        <v>94</v>
      </c>
      <c r="G7" s="6"/>
      <c r="I7" s="42" t="s">
        <v>16</v>
      </c>
      <c r="J7" s="42" t="s">
        <v>17</v>
      </c>
      <c r="K7" s="42" t="s">
        <v>13</v>
      </c>
      <c r="L7" s="42" t="s">
        <v>14</v>
      </c>
      <c r="M7" s="42" t="s">
        <v>18</v>
      </c>
    </row>
    <row r="8" spans="2:13" x14ac:dyDescent="0.6">
      <c r="B8" s="7" t="s">
        <v>31</v>
      </c>
      <c r="C8" s="7" t="s">
        <v>32</v>
      </c>
      <c r="D8" s="6">
        <v>2016</v>
      </c>
      <c r="E8" s="6" t="s">
        <v>70</v>
      </c>
      <c r="F8" s="6" t="s">
        <v>97</v>
      </c>
      <c r="G8" s="6"/>
      <c r="I8" s="6" t="s">
        <v>69</v>
      </c>
      <c r="J8" s="6" t="s">
        <v>26</v>
      </c>
      <c r="K8" s="7" t="s">
        <v>24</v>
      </c>
      <c r="L8" s="7" t="s">
        <v>25</v>
      </c>
      <c r="M8" s="6" t="s">
        <v>88</v>
      </c>
    </row>
    <row r="9" spans="2:13" x14ac:dyDescent="0.6">
      <c r="B9" s="7" t="s">
        <v>33</v>
      </c>
      <c r="C9" s="7" t="s">
        <v>34</v>
      </c>
      <c r="D9" s="6">
        <v>2015</v>
      </c>
      <c r="E9" s="6" t="s">
        <v>71</v>
      </c>
      <c r="F9" s="6" t="s">
        <v>99</v>
      </c>
      <c r="G9" s="6" t="s">
        <v>100</v>
      </c>
      <c r="I9" s="6" t="s">
        <v>71</v>
      </c>
      <c r="J9" s="6" t="s">
        <v>99</v>
      </c>
      <c r="K9" s="7" t="s">
        <v>33</v>
      </c>
      <c r="L9" s="7" t="s">
        <v>34</v>
      </c>
      <c r="M9" s="6" t="s">
        <v>88</v>
      </c>
    </row>
    <row r="10" spans="2:13" x14ac:dyDescent="0.6">
      <c r="B10" s="7" t="s">
        <v>103</v>
      </c>
      <c r="C10" s="7" t="s">
        <v>35</v>
      </c>
      <c r="D10" s="6">
        <v>2016</v>
      </c>
      <c r="E10" s="6" t="s">
        <v>71</v>
      </c>
      <c r="F10" s="6" t="s">
        <v>104</v>
      </c>
      <c r="G10" s="6"/>
      <c r="I10" s="6" t="s">
        <v>74</v>
      </c>
      <c r="J10" s="6" t="s">
        <v>110</v>
      </c>
      <c r="K10" s="7" t="s">
        <v>109</v>
      </c>
      <c r="L10" s="7" t="s">
        <v>41</v>
      </c>
      <c r="M10" s="6" t="s">
        <v>89</v>
      </c>
    </row>
    <row r="11" spans="2:13" x14ac:dyDescent="0.6">
      <c r="B11" s="7" t="s">
        <v>36</v>
      </c>
      <c r="C11" s="7" t="s">
        <v>37</v>
      </c>
      <c r="D11" s="6">
        <v>2015</v>
      </c>
      <c r="E11" s="6" t="s">
        <v>71</v>
      </c>
      <c r="F11" s="6" t="s">
        <v>105</v>
      </c>
      <c r="G11" s="6"/>
      <c r="I11" s="6" t="s">
        <v>78</v>
      </c>
      <c r="J11" s="6" t="s">
        <v>91</v>
      </c>
      <c r="K11" s="7" t="s">
        <v>92</v>
      </c>
      <c r="L11" s="7" t="s">
        <v>93</v>
      </c>
      <c r="M11" s="6" t="s">
        <v>89</v>
      </c>
    </row>
    <row r="12" spans="2:13" x14ac:dyDescent="0.6">
      <c r="B12" s="7" t="s">
        <v>38</v>
      </c>
      <c r="C12" s="7" t="s">
        <v>106</v>
      </c>
      <c r="D12" s="6">
        <v>2013</v>
      </c>
      <c r="E12" s="6" t="s">
        <v>72</v>
      </c>
      <c r="F12" s="6" t="s">
        <v>107</v>
      </c>
      <c r="G12" s="6"/>
      <c r="I12" s="6" t="s">
        <v>83</v>
      </c>
      <c r="J12" s="6" t="s">
        <v>95</v>
      </c>
      <c r="K12" s="7" t="s">
        <v>51</v>
      </c>
      <c r="L12" s="7" t="s">
        <v>52</v>
      </c>
      <c r="M12" s="6" t="s">
        <v>96</v>
      </c>
    </row>
    <row r="13" spans="2:13" x14ac:dyDescent="0.6">
      <c r="B13" s="7" t="s">
        <v>39</v>
      </c>
      <c r="C13" s="7" t="s">
        <v>40</v>
      </c>
      <c r="D13" s="6">
        <v>2012</v>
      </c>
      <c r="E13" s="6" t="s">
        <v>73</v>
      </c>
      <c r="F13" s="6" t="s">
        <v>108</v>
      </c>
      <c r="G13" s="6"/>
      <c r="I13" s="6" t="s">
        <v>83</v>
      </c>
      <c r="J13" s="6" t="s">
        <v>95</v>
      </c>
      <c r="K13" s="7" t="s">
        <v>98</v>
      </c>
      <c r="L13" s="7" t="s">
        <v>52</v>
      </c>
      <c r="M13" s="6" t="s">
        <v>96</v>
      </c>
    </row>
    <row r="14" spans="2:13" x14ac:dyDescent="0.6">
      <c r="B14" s="7" t="s">
        <v>109</v>
      </c>
      <c r="C14" s="7" t="s">
        <v>41</v>
      </c>
      <c r="D14" s="6">
        <v>2016</v>
      </c>
      <c r="E14" s="6" t="s">
        <v>74</v>
      </c>
      <c r="F14" s="6" t="s">
        <v>110</v>
      </c>
      <c r="G14" s="6" t="s">
        <v>89</v>
      </c>
      <c r="I14" s="6" t="s">
        <v>85</v>
      </c>
      <c r="J14" s="6" t="s">
        <v>101</v>
      </c>
      <c r="K14" s="7" t="s">
        <v>64</v>
      </c>
      <c r="L14" s="7" t="s">
        <v>65</v>
      </c>
      <c r="M14" s="6" t="s">
        <v>102</v>
      </c>
    </row>
    <row r="15" spans="2:13" x14ac:dyDescent="0.6">
      <c r="B15" s="7" t="s">
        <v>42</v>
      </c>
      <c r="C15" s="7" t="s">
        <v>43</v>
      </c>
      <c r="D15" s="6">
        <v>2016</v>
      </c>
      <c r="E15" s="6" t="s">
        <v>74</v>
      </c>
      <c r="F15" s="6" t="s">
        <v>111</v>
      </c>
      <c r="G15" s="6"/>
      <c r="I15" s="6" t="s">
        <v>86</v>
      </c>
      <c r="J15" s="6" t="s">
        <v>154</v>
      </c>
      <c r="K15" s="7" t="s">
        <v>66</v>
      </c>
      <c r="L15" s="7" t="s">
        <v>67</v>
      </c>
      <c r="M15" s="6" t="s">
        <v>102</v>
      </c>
    </row>
    <row r="16" spans="2:13" x14ac:dyDescent="0.6">
      <c r="B16" s="7" t="s">
        <v>44</v>
      </c>
      <c r="C16" s="7" t="s">
        <v>45</v>
      </c>
      <c r="D16" s="6">
        <v>2014</v>
      </c>
      <c r="E16" s="6" t="s">
        <v>75</v>
      </c>
      <c r="F16" s="6" t="s">
        <v>112</v>
      </c>
      <c r="G16" s="6"/>
    </row>
    <row r="17" spans="2:7" x14ac:dyDescent="0.6">
      <c r="B17" s="7" t="s">
        <v>46</v>
      </c>
      <c r="C17" s="7" t="s">
        <v>47</v>
      </c>
      <c r="D17" s="6">
        <v>2015</v>
      </c>
      <c r="E17" s="6" t="s">
        <v>75</v>
      </c>
      <c r="F17" s="6" t="s">
        <v>113</v>
      </c>
      <c r="G17" s="6"/>
    </row>
    <row r="18" spans="2:7" x14ac:dyDescent="0.6">
      <c r="B18" s="7" t="s">
        <v>114</v>
      </c>
      <c r="C18" s="7" t="s">
        <v>115</v>
      </c>
      <c r="D18" s="6">
        <v>2016</v>
      </c>
      <c r="E18" s="6" t="s">
        <v>76</v>
      </c>
      <c r="F18" s="6" t="s">
        <v>108</v>
      </c>
      <c r="G18" s="6"/>
    </row>
    <row r="19" spans="2:7" x14ac:dyDescent="0.6">
      <c r="B19" s="7" t="s">
        <v>116</v>
      </c>
      <c r="C19" s="7" t="s">
        <v>117</v>
      </c>
      <c r="D19" s="6">
        <v>2016</v>
      </c>
      <c r="E19" s="6" t="s">
        <v>77</v>
      </c>
      <c r="F19" s="6" t="s">
        <v>118</v>
      </c>
      <c r="G19" s="6"/>
    </row>
    <row r="20" spans="2:7" x14ac:dyDescent="0.6">
      <c r="B20" s="7" t="s">
        <v>119</v>
      </c>
      <c r="C20" s="7" t="s">
        <v>120</v>
      </c>
      <c r="D20" s="6">
        <v>2015</v>
      </c>
      <c r="E20" s="6" t="s">
        <v>78</v>
      </c>
      <c r="F20" s="6" t="s">
        <v>48</v>
      </c>
      <c r="G20" s="6"/>
    </row>
    <row r="21" spans="2:7" x14ac:dyDescent="0.6">
      <c r="B21" s="7" t="s">
        <v>92</v>
      </c>
      <c r="C21" s="7" t="s">
        <v>93</v>
      </c>
      <c r="D21" s="6">
        <v>2015</v>
      </c>
      <c r="E21" s="6" t="s">
        <v>78</v>
      </c>
      <c r="F21" s="6" t="s">
        <v>91</v>
      </c>
      <c r="G21" s="6" t="s">
        <v>89</v>
      </c>
    </row>
    <row r="22" spans="2:7" x14ac:dyDescent="0.6">
      <c r="B22" s="7" t="s">
        <v>121</v>
      </c>
      <c r="C22" s="7" t="s">
        <v>122</v>
      </c>
      <c r="D22" s="6">
        <v>2014</v>
      </c>
      <c r="E22" s="6" t="s">
        <v>78</v>
      </c>
      <c r="F22" s="6" t="s">
        <v>123</v>
      </c>
      <c r="G22" s="6"/>
    </row>
    <row r="23" spans="2:7" x14ac:dyDescent="0.6">
      <c r="B23" s="7" t="s">
        <v>124</v>
      </c>
      <c r="C23" s="7" t="s">
        <v>125</v>
      </c>
      <c r="D23" s="6">
        <v>2016</v>
      </c>
      <c r="E23" s="6" t="s">
        <v>79</v>
      </c>
      <c r="F23" s="6" t="s">
        <v>126</v>
      </c>
      <c r="G23" s="6"/>
    </row>
    <row r="24" spans="2:7" x14ac:dyDescent="0.6">
      <c r="B24" s="7" t="s">
        <v>127</v>
      </c>
      <c r="C24" s="7" t="s">
        <v>128</v>
      </c>
      <c r="D24" s="6">
        <v>2016</v>
      </c>
      <c r="E24" s="6" t="s">
        <v>80</v>
      </c>
      <c r="F24" s="6" t="s">
        <v>129</v>
      </c>
      <c r="G24" s="6"/>
    </row>
    <row r="25" spans="2:7" x14ac:dyDescent="0.6">
      <c r="B25" s="7" t="s">
        <v>130</v>
      </c>
      <c r="C25" s="7" t="s">
        <v>131</v>
      </c>
      <c r="D25" s="6">
        <v>2013</v>
      </c>
      <c r="E25" s="6" t="s">
        <v>81</v>
      </c>
      <c r="F25" s="6" t="s">
        <v>132</v>
      </c>
      <c r="G25" s="6"/>
    </row>
    <row r="26" spans="2:7" x14ac:dyDescent="0.6">
      <c r="B26" s="7" t="s">
        <v>133</v>
      </c>
      <c r="C26" s="7" t="s">
        <v>134</v>
      </c>
      <c r="D26" s="6">
        <v>2014</v>
      </c>
      <c r="E26" s="6" t="s">
        <v>81</v>
      </c>
      <c r="F26" s="6" t="s">
        <v>132</v>
      </c>
      <c r="G26" s="6"/>
    </row>
    <row r="27" spans="2:7" x14ac:dyDescent="0.6">
      <c r="B27" s="7" t="s">
        <v>135</v>
      </c>
      <c r="C27" s="7" t="s">
        <v>136</v>
      </c>
      <c r="D27" s="6">
        <v>2016</v>
      </c>
      <c r="E27" s="6" t="s">
        <v>81</v>
      </c>
      <c r="F27" s="6" t="s">
        <v>137</v>
      </c>
      <c r="G27" s="6"/>
    </row>
    <row r="28" spans="2:7" x14ac:dyDescent="0.6">
      <c r="B28" s="7" t="s">
        <v>138</v>
      </c>
      <c r="C28" s="7" t="s">
        <v>139</v>
      </c>
      <c r="D28" s="6">
        <v>2015</v>
      </c>
      <c r="E28" s="6" t="s">
        <v>82</v>
      </c>
      <c r="F28" s="6" t="s">
        <v>126</v>
      </c>
      <c r="G28" s="6"/>
    </row>
    <row r="29" spans="2:7" x14ac:dyDescent="0.6">
      <c r="B29" s="7" t="s">
        <v>49</v>
      </c>
      <c r="C29" s="7" t="s">
        <v>50</v>
      </c>
      <c r="D29" s="6">
        <v>2016</v>
      </c>
      <c r="E29" s="6" t="s">
        <v>82</v>
      </c>
      <c r="F29" s="6" t="s">
        <v>111</v>
      </c>
      <c r="G29" s="6"/>
    </row>
    <row r="30" spans="2:7" x14ac:dyDescent="0.6">
      <c r="B30" s="7" t="s">
        <v>51</v>
      </c>
      <c r="C30" s="7" t="s">
        <v>52</v>
      </c>
      <c r="D30" s="6">
        <v>2012</v>
      </c>
      <c r="E30" s="6" t="s">
        <v>83</v>
      </c>
      <c r="F30" s="6" t="s">
        <v>95</v>
      </c>
      <c r="G30" s="6" t="s">
        <v>96</v>
      </c>
    </row>
    <row r="31" spans="2:7" x14ac:dyDescent="0.6">
      <c r="B31" s="7" t="s">
        <v>98</v>
      </c>
      <c r="C31" s="7" t="s">
        <v>52</v>
      </c>
      <c r="D31" s="6">
        <v>2009</v>
      </c>
      <c r="E31" s="6" t="s">
        <v>83</v>
      </c>
      <c r="F31" s="6" t="s">
        <v>95</v>
      </c>
      <c r="G31" s="6" t="s">
        <v>96</v>
      </c>
    </row>
    <row r="32" spans="2:7" x14ac:dyDescent="0.6">
      <c r="B32" s="7" t="s">
        <v>53</v>
      </c>
      <c r="C32" s="7" t="s">
        <v>54</v>
      </c>
      <c r="D32" s="6">
        <v>2015</v>
      </c>
      <c r="E32" s="6" t="s">
        <v>84</v>
      </c>
      <c r="F32" s="6" t="s">
        <v>140</v>
      </c>
      <c r="G32" s="6"/>
    </row>
    <row r="33" spans="2:7" x14ac:dyDescent="0.6">
      <c r="B33" s="7" t="s">
        <v>141</v>
      </c>
      <c r="C33" s="7" t="s">
        <v>55</v>
      </c>
      <c r="D33" s="6">
        <v>2015</v>
      </c>
      <c r="E33" s="6" t="s">
        <v>84</v>
      </c>
      <c r="F33" s="6" t="s">
        <v>142</v>
      </c>
      <c r="G33" s="6"/>
    </row>
    <row r="34" spans="2:7" x14ac:dyDescent="0.6">
      <c r="B34" s="7" t="s">
        <v>143</v>
      </c>
      <c r="C34" s="7" t="s">
        <v>56</v>
      </c>
      <c r="D34" s="6">
        <v>2015</v>
      </c>
      <c r="E34" s="6" t="s">
        <v>84</v>
      </c>
      <c r="F34" s="6" t="s">
        <v>142</v>
      </c>
      <c r="G34" s="6"/>
    </row>
    <row r="35" spans="2:7" x14ac:dyDescent="0.6">
      <c r="B35" s="7" t="s">
        <v>57</v>
      </c>
      <c r="C35" s="7" t="s">
        <v>58</v>
      </c>
      <c r="D35" s="6">
        <v>2015</v>
      </c>
      <c r="E35" s="6" t="s">
        <v>84</v>
      </c>
      <c r="F35" s="6" t="s">
        <v>144</v>
      </c>
      <c r="G35" s="6"/>
    </row>
    <row r="36" spans="2:7" x14ac:dyDescent="0.6">
      <c r="B36" s="7" t="s">
        <v>59</v>
      </c>
      <c r="C36" s="7" t="s">
        <v>60</v>
      </c>
      <c r="D36" s="6">
        <v>2016</v>
      </c>
      <c r="E36" s="6" t="s">
        <v>84</v>
      </c>
      <c r="F36" s="6" t="s">
        <v>145</v>
      </c>
      <c r="G36" s="6"/>
    </row>
    <row r="37" spans="2:7" x14ac:dyDescent="0.6">
      <c r="B37" s="7" t="s">
        <v>61</v>
      </c>
      <c r="C37" s="7" t="s">
        <v>62</v>
      </c>
      <c r="D37" s="6">
        <v>2016</v>
      </c>
      <c r="E37" s="6" t="s">
        <v>84</v>
      </c>
      <c r="F37" s="6" t="s">
        <v>145</v>
      </c>
      <c r="G37" s="6"/>
    </row>
    <row r="38" spans="2:7" x14ac:dyDescent="0.6">
      <c r="B38" s="7" t="s">
        <v>146</v>
      </c>
      <c r="C38" s="7" t="s">
        <v>147</v>
      </c>
      <c r="D38" s="6">
        <v>2012</v>
      </c>
      <c r="E38" s="6" t="s">
        <v>84</v>
      </c>
      <c r="F38" s="6" t="s">
        <v>148</v>
      </c>
      <c r="G38" s="6"/>
    </row>
    <row r="39" spans="2:7" x14ac:dyDescent="0.6">
      <c r="B39" s="7" t="s">
        <v>149</v>
      </c>
      <c r="C39" s="7" t="s">
        <v>63</v>
      </c>
      <c r="D39" s="6">
        <v>2011</v>
      </c>
      <c r="E39" s="6" t="s">
        <v>84</v>
      </c>
      <c r="F39" s="6" t="s">
        <v>150</v>
      </c>
      <c r="G39" s="6" t="s">
        <v>151</v>
      </c>
    </row>
    <row r="40" spans="2:7" x14ac:dyDescent="0.6">
      <c r="B40" s="7" t="s">
        <v>152</v>
      </c>
      <c r="C40" s="7" t="s">
        <v>153</v>
      </c>
      <c r="D40" s="6">
        <v>2013</v>
      </c>
      <c r="E40" s="6" t="s">
        <v>85</v>
      </c>
      <c r="F40" s="6" t="s">
        <v>150</v>
      </c>
      <c r="G40" s="6"/>
    </row>
    <row r="41" spans="2:7" x14ac:dyDescent="0.6">
      <c r="B41" s="7" t="s">
        <v>64</v>
      </c>
      <c r="C41" s="7" t="s">
        <v>65</v>
      </c>
      <c r="D41" s="6">
        <v>2014</v>
      </c>
      <c r="E41" s="6" t="s">
        <v>85</v>
      </c>
      <c r="F41" s="6" t="s">
        <v>101</v>
      </c>
      <c r="G41" s="6" t="s">
        <v>102</v>
      </c>
    </row>
    <row r="42" spans="2:7" x14ac:dyDescent="0.6">
      <c r="B42" s="7" t="s">
        <v>66</v>
      </c>
      <c r="C42" s="7" t="s">
        <v>67</v>
      </c>
      <c r="D42" s="6">
        <v>2011</v>
      </c>
      <c r="E42" s="6" t="s">
        <v>86</v>
      </c>
      <c r="F42" s="6" t="s">
        <v>154</v>
      </c>
      <c r="G42" s="6" t="s">
        <v>102</v>
      </c>
    </row>
    <row r="43" spans="2:7" x14ac:dyDescent="0.6">
      <c r="B43" s="7" t="s">
        <v>155</v>
      </c>
      <c r="C43" s="7" t="s">
        <v>156</v>
      </c>
      <c r="D43" s="6">
        <v>2014</v>
      </c>
      <c r="E43" s="6" t="s">
        <v>87</v>
      </c>
      <c r="F43" s="6" t="s">
        <v>157</v>
      </c>
      <c r="G43" s="6"/>
    </row>
  </sheetData>
  <phoneticPr fontId="1" type="noConversion"/>
  <conditionalFormatting sqref="B3:G43">
    <cfRule type="expression" dxfId="0" priority="1">
      <formula>MOD(ROW($B3),5)=2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>
      <selection activeCell="E1" sqref="E1"/>
    </sheetView>
  </sheetViews>
  <sheetFormatPr defaultRowHeight="16.899999999999999" x14ac:dyDescent="0.6"/>
  <cols>
    <col min="2" max="2" width="40" customWidth="1"/>
    <col min="3" max="3" width="23.375" customWidth="1"/>
    <col min="4" max="4" width="11.375" style="3" customWidth="1"/>
  </cols>
  <sheetData>
    <row r="2" spans="2:4" x14ac:dyDescent="0.6">
      <c r="B2" s="52" t="s">
        <v>13</v>
      </c>
      <c r="C2" s="52" t="s">
        <v>14</v>
      </c>
      <c r="D2" s="52" t="s">
        <v>15</v>
      </c>
    </row>
    <row r="3" spans="2:4" x14ac:dyDescent="0.6">
      <c r="B3" s="7" t="s">
        <v>57</v>
      </c>
      <c r="C3" s="7" t="s">
        <v>58</v>
      </c>
      <c r="D3" s="6">
        <v>2015</v>
      </c>
    </row>
    <row r="4" spans="2:4" x14ac:dyDescent="0.6">
      <c r="B4" s="7" t="s">
        <v>98</v>
      </c>
      <c r="C4" s="7" t="s">
        <v>52</v>
      </c>
      <c r="D4" s="6">
        <v>2009</v>
      </c>
    </row>
    <row r="5" spans="2:4" x14ac:dyDescent="0.6">
      <c r="B5" s="7" t="s">
        <v>51</v>
      </c>
      <c r="C5" s="7" t="s">
        <v>52</v>
      </c>
      <c r="D5" s="6">
        <v>2012</v>
      </c>
    </row>
    <row r="6" spans="2:4" x14ac:dyDescent="0.6">
      <c r="B6" s="7" t="s">
        <v>138</v>
      </c>
      <c r="C6" s="7" t="s">
        <v>139</v>
      </c>
      <c r="D6" s="6">
        <v>2015</v>
      </c>
    </row>
    <row r="7" spans="2:4" x14ac:dyDescent="0.6">
      <c r="B7" s="7" t="s">
        <v>64</v>
      </c>
      <c r="C7" s="7" t="s">
        <v>65</v>
      </c>
      <c r="D7" s="6">
        <v>2014</v>
      </c>
    </row>
    <row r="8" spans="2:4" x14ac:dyDescent="0.6">
      <c r="B8" s="7" t="s">
        <v>66</v>
      </c>
      <c r="C8" s="7" t="s">
        <v>67</v>
      </c>
      <c r="D8" s="6">
        <v>2011</v>
      </c>
    </row>
    <row r="9" spans="2:4" x14ac:dyDescent="0.6">
      <c r="B9" s="7" t="s">
        <v>119</v>
      </c>
      <c r="C9" s="7" t="s">
        <v>120</v>
      </c>
      <c r="D9" s="6">
        <v>2015</v>
      </c>
    </row>
    <row r="10" spans="2:4" x14ac:dyDescent="0.6">
      <c r="B10" s="7" t="s">
        <v>24</v>
      </c>
      <c r="C10" s="7" t="s">
        <v>25</v>
      </c>
      <c r="D10" s="6">
        <v>2016</v>
      </c>
    </row>
    <row r="11" spans="2:4" x14ac:dyDescent="0.6">
      <c r="B11" s="7" t="s">
        <v>155</v>
      </c>
      <c r="C11" s="7" t="s">
        <v>156</v>
      </c>
      <c r="D11" s="6">
        <v>2014</v>
      </c>
    </row>
    <row r="12" spans="2:4" x14ac:dyDescent="0.6">
      <c r="B12" s="7" t="s">
        <v>42</v>
      </c>
      <c r="C12" s="7" t="s">
        <v>43</v>
      </c>
      <c r="D12" s="6">
        <v>2016</v>
      </c>
    </row>
    <row r="13" spans="2:4" x14ac:dyDescent="0.6">
      <c r="B13" s="7" t="s">
        <v>121</v>
      </c>
      <c r="C13" s="7" t="s">
        <v>122</v>
      </c>
      <c r="D13" s="6">
        <v>2014</v>
      </c>
    </row>
    <row r="14" spans="2:4" x14ac:dyDescent="0.6">
      <c r="B14" s="7" t="s">
        <v>92</v>
      </c>
      <c r="C14" s="7" t="s">
        <v>93</v>
      </c>
      <c r="D14" s="6">
        <v>2015</v>
      </c>
    </row>
    <row r="15" spans="2:4" x14ac:dyDescent="0.6">
      <c r="B15" s="7" t="s">
        <v>29</v>
      </c>
      <c r="C15" s="7" t="s">
        <v>30</v>
      </c>
      <c r="D15" s="6">
        <v>2015</v>
      </c>
    </row>
    <row r="16" spans="2:4" x14ac:dyDescent="0.6">
      <c r="B16" s="7" t="s">
        <v>38</v>
      </c>
      <c r="C16" s="7" t="s">
        <v>106</v>
      </c>
      <c r="D16" s="6">
        <v>2013</v>
      </c>
    </row>
    <row r="17" spans="2:4" x14ac:dyDescent="0.6">
      <c r="B17" s="7" t="s">
        <v>149</v>
      </c>
      <c r="C17" s="7" t="s">
        <v>63</v>
      </c>
      <c r="D17" s="6">
        <v>2011</v>
      </c>
    </row>
    <row r="18" spans="2:4" x14ac:dyDescent="0.6">
      <c r="B18" s="7" t="s">
        <v>44</v>
      </c>
      <c r="C18" s="7" t="s">
        <v>45</v>
      </c>
      <c r="D18" s="6">
        <v>2014</v>
      </c>
    </row>
    <row r="19" spans="2:4" x14ac:dyDescent="0.6">
      <c r="B19" s="7" t="s">
        <v>109</v>
      </c>
      <c r="C19" s="7" t="s">
        <v>41</v>
      </c>
      <c r="D19" s="6">
        <v>2016</v>
      </c>
    </row>
    <row r="20" spans="2:4" x14ac:dyDescent="0.6">
      <c r="B20" s="7" t="s">
        <v>143</v>
      </c>
      <c r="C20" s="7" t="s">
        <v>56</v>
      </c>
      <c r="D20" s="6">
        <v>2015</v>
      </c>
    </row>
    <row r="21" spans="2:4" x14ac:dyDescent="0.6">
      <c r="B21" s="7" t="s">
        <v>39</v>
      </c>
      <c r="C21" s="7" t="s">
        <v>40</v>
      </c>
      <c r="D21" s="6">
        <v>2012</v>
      </c>
    </row>
    <row r="22" spans="2:4" x14ac:dyDescent="0.6">
      <c r="B22" s="7" t="s">
        <v>114</v>
      </c>
      <c r="C22" s="7" t="s">
        <v>115</v>
      </c>
      <c r="D22" s="6">
        <v>2016</v>
      </c>
    </row>
    <row r="23" spans="2:4" x14ac:dyDescent="0.6">
      <c r="B23" s="7" t="s">
        <v>135</v>
      </c>
      <c r="C23" s="7" t="s">
        <v>136</v>
      </c>
      <c r="D23" s="6">
        <v>2016</v>
      </c>
    </row>
    <row r="24" spans="2:4" x14ac:dyDescent="0.6">
      <c r="B24" s="7" t="s">
        <v>46</v>
      </c>
      <c r="C24" s="7" t="s">
        <v>47</v>
      </c>
      <c r="D24" s="6">
        <v>2015</v>
      </c>
    </row>
    <row r="25" spans="2:4" x14ac:dyDescent="0.6">
      <c r="B25" s="7" t="s">
        <v>33</v>
      </c>
      <c r="C25" s="7" t="s">
        <v>34</v>
      </c>
      <c r="D25" s="6">
        <v>2015</v>
      </c>
    </row>
    <row r="26" spans="2:4" x14ac:dyDescent="0.6">
      <c r="B26" s="7" t="s">
        <v>36</v>
      </c>
      <c r="C26" s="7" t="s">
        <v>37</v>
      </c>
      <c r="D26" s="6">
        <v>2015</v>
      </c>
    </row>
    <row r="27" spans="2:4" x14ac:dyDescent="0.6">
      <c r="B27" s="7" t="s">
        <v>53</v>
      </c>
      <c r="C27" s="7" t="s">
        <v>54</v>
      </c>
      <c r="D27" s="6">
        <v>2015</v>
      </c>
    </row>
    <row r="28" spans="2:4" x14ac:dyDescent="0.6">
      <c r="B28" s="7" t="s">
        <v>152</v>
      </c>
      <c r="C28" s="7" t="s">
        <v>153</v>
      </c>
      <c r="D28" s="6">
        <v>2013</v>
      </c>
    </row>
    <row r="29" spans="2:4" x14ac:dyDescent="0.6">
      <c r="B29" s="7" t="s">
        <v>103</v>
      </c>
      <c r="C29" s="7" t="s">
        <v>35</v>
      </c>
      <c r="D29" s="6">
        <v>2016</v>
      </c>
    </row>
    <row r="30" spans="2:4" x14ac:dyDescent="0.6">
      <c r="B30" s="7" t="s">
        <v>116</v>
      </c>
      <c r="C30" s="7" t="s">
        <v>117</v>
      </c>
      <c r="D30" s="6">
        <v>2016</v>
      </c>
    </row>
    <row r="31" spans="2:4" x14ac:dyDescent="0.6">
      <c r="B31" s="7" t="s">
        <v>49</v>
      </c>
      <c r="C31" s="7" t="s">
        <v>50</v>
      </c>
      <c r="D31" s="6">
        <v>2016</v>
      </c>
    </row>
    <row r="32" spans="2:4" x14ac:dyDescent="0.6">
      <c r="B32" s="7" t="s">
        <v>124</v>
      </c>
      <c r="C32" s="7" t="s">
        <v>125</v>
      </c>
      <c r="D32" s="6">
        <v>2016</v>
      </c>
    </row>
    <row r="33" spans="2:4" x14ac:dyDescent="0.6">
      <c r="B33" s="7" t="s">
        <v>127</v>
      </c>
      <c r="C33" s="7" t="s">
        <v>128</v>
      </c>
      <c r="D33" s="6">
        <v>2016</v>
      </c>
    </row>
    <row r="34" spans="2:4" x14ac:dyDescent="0.6">
      <c r="B34" s="7" t="s">
        <v>146</v>
      </c>
      <c r="C34" s="7" t="s">
        <v>147</v>
      </c>
      <c r="D34" s="6">
        <v>2012</v>
      </c>
    </row>
    <row r="35" spans="2:4" x14ac:dyDescent="0.6">
      <c r="B35" s="7" t="s">
        <v>141</v>
      </c>
      <c r="C35" s="7" t="s">
        <v>55</v>
      </c>
      <c r="D35" s="6">
        <v>2015</v>
      </c>
    </row>
    <row r="36" spans="2:4" x14ac:dyDescent="0.6">
      <c r="B36" s="7" t="s">
        <v>59</v>
      </c>
      <c r="C36" s="7" t="s">
        <v>60</v>
      </c>
      <c r="D36" s="6">
        <v>2016</v>
      </c>
    </row>
    <row r="37" spans="2:4" x14ac:dyDescent="0.6">
      <c r="B37" s="7" t="s">
        <v>22</v>
      </c>
      <c r="C37" s="7" t="s">
        <v>23</v>
      </c>
      <c r="D37" s="6">
        <v>2015</v>
      </c>
    </row>
    <row r="38" spans="2:4" x14ac:dyDescent="0.6">
      <c r="B38" s="7" t="s">
        <v>20</v>
      </c>
      <c r="C38" s="7" t="s">
        <v>21</v>
      </c>
      <c r="D38" s="6">
        <v>2015</v>
      </c>
    </row>
    <row r="39" spans="2:4" x14ac:dyDescent="0.6">
      <c r="B39" s="7" t="s">
        <v>61</v>
      </c>
      <c r="C39" s="7" t="s">
        <v>62</v>
      </c>
      <c r="D39" s="6">
        <v>2016</v>
      </c>
    </row>
    <row r="40" spans="2:4" x14ac:dyDescent="0.6">
      <c r="B40" s="7" t="s">
        <v>130</v>
      </c>
      <c r="C40" s="7" t="s">
        <v>131</v>
      </c>
      <c r="D40" s="6">
        <v>2013</v>
      </c>
    </row>
    <row r="41" spans="2:4" x14ac:dyDescent="0.6">
      <c r="B41" s="7" t="s">
        <v>31</v>
      </c>
      <c r="C41" s="7" t="s">
        <v>32</v>
      </c>
      <c r="D41" s="6">
        <v>2016</v>
      </c>
    </row>
    <row r="42" spans="2:4" x14ac:dyDescent="0.6">
      <c r="B42" s="7" t="s">
        <v>133</v>
      </c>
      <c r="C42" s="7" t="s">
        <v>134</v>
      </c>
      <c r="D42" s="6">
        <v>2014</v>
      </c>
    </row>
  </sheetData>
  <sortState xmlns:xlrd2="http://schemas.microsoft.com/office/spreadsheetml/2017/richdata2" ref="B3:G43">
    <sortCondition ref="B4"/>
  </sortState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Q42"/>
  <sheetViews>
    <sheetView topLeftCell="B1" workbookViewId="0">
      <selection activeCell="K2" sqref="K2"/>
    </sheetView>
  </sheetViews>
  <sheetFormatPr defaultColWidth="9" defaultRowHeight="15.75" x14ac:dyDescent="0.6"/>
  <cols>
    <col min="1" max="3" width="9" style="18"/>
    <col min="4" max="4" width="9" style="18" customWidth="1"/>
    <col min="5" max="5" width="9" style="18"/>
    <col min="6" max="6" width="13.25" style="18" bestFit="1" customWidth="1"/>
    <col min="7" max="7" width="9" style="18"/>
    <col min="8" max="8" width="13.75" style="18" customWidth="1"/>
    <col min="9" max="9" width="9" style="18"/>
    <col min="10" max="10" width="10.25" style="18" customWidth="1"/>
    <col min="11" max="11" width="12.375" style="18" customWidth="1"/>
    <col min="12" max="12" width="9" style="18"/>
    <col min="13" max="13" width="11.625" style="18" customWidth="1"/>
    <col min="14" max="14" width="10.375" style="18" customWidth="1"/>
    <col min="15" max="15" width="10.625" style="18" customWidth="1"/>
    <col min="16" max="16" width="9.25" style="18" bestFit="1" customWidth="1"/>
    <col min="17" max="17" width="15.5" style="18" customWidth="1"/>
    <col min="18" max="16384" width="9" style="18"/>
  </cols>
  <sheetData>
    <row r="2" spans="2:17" x14ac:dyDescent="0.6">
      <c r="B2" s="18" t="s">
        <v>222</v>
      </c>
      <c r="M2" s="18" t="s">
        <v>159</v>
      </c>
      <c r="P2" s="18" t="s">
        <v>223</v>
      </c>
    </row>
    <row r="3" spans="2:17" ht="21.75" customHeight="1" x14ac:dyDescent="0.6">
      <c r="B3" s="32" t="s">
        <v>230</v>
      </c>
      <c r="C3" s="32" t="s">
        <v>196</v>
      </c>
      <c r="D3" s="37" t="s">
        <v>197</v>
      </c>
      <c r="E3" s="32" t="s">
        <v>231</v>
      </c>
      <c r="F3" s="32" t="s">
        <v>225</v>
      </c>
      <c r="G3" s="32" t="s">
        <v>232</v>
      </c>
      <c r="H3" s="37" t="s">
        <v>244</v>
      </c>
      <c r="I3" s="32" t="s">
        <v>233</v>
      </c>
      <c r="J3" s="37" t="s">
        <v>234</v>
      </c>
      <c r="K3" s="19"/>
      <c r="M3" s="32" t="s">
        <v>224</v>
      </c>
      <c r="N3" s="32" t="s">
        <v>196</v>
      </c>
      <c r="P3" s="32" t="s">
        <v>211</v>
      </c>
      <c r="Q3" s="32" t="s">
        <v>244</v>
      </c>
    </row>
    <row r="4" spans="2:17" x14ac:dyDescent="0.6">
      <c r="B4" s="20" t="s">
        <v>184</v>
      </c>
      <c r="C4" s="20" t="s">
        <v>185</v>
      </c>
      <c r="D4" s="20" t="str">
        <f>IF(ISERROR(MATCH(B4,$M$4:$M$7,0)),"아니오","예")</f>
        <v>예</v>
      </c>
      <c r="E4" s="21" t="s">
        <v>182</v>
      </c>
      <c r="F4" s="21" t="s">
        <v>183</v>
      </c>
      <c r="G4" s="21" t="s">
        <v>208</v>
      </c>
      <c r="H4" s="20" t="str">
        <f>IFERROR(REPLACE(VLOOKUP(G4,$P$4:$Q$9,2,0),5,2,"○●"),"")</f>
        <v>123-○●-6793</v>
      </c>
      <c r="I4" s="22">
        <v>612700</v>
      </c>
      <c r="J4" s="34" cm="1">
        <f t="array" ref="J4">fn의료비보조(C4,E4,I4)</f>
        <v>306350</v>
      </c>
      <c r="K4" s="24"/>
      <c r="M4" s="35" t="s">
        <v>180</v>
      </c>
      <c r="N4" s="35" t="s">
        <v>221</v>
      </c>
      <c r="P4" s="35" t="s">
        <v>212</v>
      </c>
      <c r="Q4" s="35" t="s">
        <v>213</v>
      </c>
    </row>
    <row r="5" spans="2:17" x14ac:dyDescent="0.6">
      <c r="B5" s="16" t="s">
        <v>184</v>
      </c>
      <c r="C5" s="16" t="s">
        <v>185</v>
      </c>
      <c r="D5" s="20" t="str">
        <f t="shared" ref="D5:D42" si="0">IF(ISERROR(MATCH(B5,$M$4:$M$7,0)),"아니오","예")</f>
        <v>예</v>
      </c>
      <c r="E5" s="25" t="s">
        <v>190</v>
      </c>
      <c r="F5" s="25" t="s">
        <v>200</v>
      </c>
      <c r="G5" s="25" t="s">
        <v>205</v>
      </c>
      <c r="H5" s="20" t="str">
        <f t="shared" ref="H5:H42" si="1">IFERROR(REPLACE(VLOOKUP(G5,$P$4:$Q$9,2,0),5,2,"○●"),"")</f>
        <v>123-○●-6791</v>
      </c>
      <c r="I5" s="26">
        <v>13000</v>
      </c>
      <c r="J5" s="34" cm="1">
        <f t="array" ref="J5">fn의료비보조(C5,E5,I5)</f>
        <v>0</v>
      </c>
      <c r="K5" s="24"/>
      <c r="M5" s="35" t="s">
        <v>184</v>
      </c>
      <c r="N5" s="35" t="s">
        <v>185</v>
      </c>
      <c r="P5" s="36" t="s">
        <v>206</v>
      </c>
      <c r="Q5" s="35" t="s">
        <v>214</v>
      </c>
    </row>
    <row r="6" spans="2:17" x14ac:dyDescent="0.6">
      <c r="B6" s="16" t="s">
        <v>184</v>
      </c>
      <c r="C6" s="16" t="s">
        <v>185</v>
      </c>
      <c r="D6" s="20" t="str">
        <f t="shared" si="0"/>
        <v>예</v>
      </c>
      <c r="E6" s="25" t="s">
        <v>190</v>
      </c>
      <c r="F6" s="25" t="s">
        <v>200</v>
      </c>
      <c r="G6" s="25" t="s">
        <v>205</v>
      </c>
      <c r="H6" s="20" t="str">
        <f t="shared" si="1"/>
        <v>123-○●-6791</v>
      </c>
      <c r="I6" s="26">
        <v>46000</v>
      </c>
      <c r="J6" s="34" cm="1">
        <f t="array" ref="J6">fn의료비보조(C6,E6,I6)</f>
        <v>0</v>
      </c>
      <c r="K6" s="24"/>
      <c r="M6" s="36" t="s">
        <v>188</v>
      </c>
      <c r="N6" s="36" t="s">
        <v>189</v>
      </c>
      <c r="P6" s="36" t="s">
        <v>205</v>
      </c>
      <c r="Q6" s="35" t="s">
        <v>215</v>
      </c>
    </row>
    <row r="7" spans="2:17" x14ac:dyDescent="0.6">
      <c r="B7" s="16" t="s">
        <v>184</v>
      </c>
      <c r="C7" s="16" t="s">
        <v>185</v>
      </c>
      <c r="D7" s="20" t="str">
        <f t="shared" si="0"/>
        <v>예</v>
      </c>
      <c r="E7" s="25" t="s">
        <v>193</v>
      </c>
      <c r="F7" s="25" t="s">
        <v>194</v>
      </c>
      <c r="G7" s="25" t="s">
        <v>195</v>
      </c>
      <c r="H7" s="20" t="str">
        <f t="shared" si="1"/>
        <v/>
      </c>
      <c r="I7" s="26">
        <v>3000</v>
      </c>
      <c r="J7" s="34" cm="1">
        <f t="array" ref="J7">fn의료비보조(C7,E7,I7)</f>
        <v>0</v>
      </c>
      <c r="K7" s="24"/>
      <c r="M7" s="36" t="s">
        <v>186</v>
      </c>
      <c r="N7" s="36" t="s">
        <v>187</v>
      </c>
      <c r="P7" s="36" t="s">
        <v>202</v>
      </c>
      <c r="Q7" s="35" t="s">
        <v>216</v>
      </c>
    </row>
    <row r="8" spans="2:17" x14ac:dyDescent="0.6">
      <c r="B8" s="16" t="s">
        <v>184</v>
      </c>
      <c r="C8" s="16" t="s">
        <v>185</v>
      </c>
      <c r="D8" s="20" t="str">
        <f t="shared" si="0"/>
        <v>예</v>
      </c>
      <c r="E8" s="25" t="s">
        <v>190</v>
      </c>
      <c r="F8" s="25" t="s">
        <v>194</v>
      </c>
      <c r="G8" s="25" t="s">
        <v>205</v>
      </c>
      <c r="H8" s="20" t="str">
        <f t="shared" si="1"/>
        <v>123-○●-6791</v>
      </c>
      <c r="I8" s="26">
        <v>536790</v>
      </c>
      <c r="J8" s="34" cm="1">
        <f t="array" ref="J8">fn의료비보조(C8,E8,I8)</f>
        <v>0</v>
      </c>
      <c r="K8" s="24"/>
      <c r="P8" s="35" t="s">
        <v>208</v>
      </c>
      <c r="Q8" s="35" t="s">
        <v>217</v>
      </c>
    </row>
    <row r="9" spans="2:17" x14ac:dyDescent="0.6">
      <c r="B9" s="16" t="s">
        <v>184</v>
      </c>
      <c r="C9" s="16" t="s">
        <v>185</v>
      </c>
      <c r="D9" s="20" t="str">
        <f t="shared" si="0"/>
        <v>예</v>
      </c>
      <c r="E9" s="25" t="s">
        <v>190</v>
      </c>
      <c r="F9" s="25" t="s">
        <v>194</v>
      </c>
      <c r="G9" s="25" t="s">
        <v>205</v>
      </c>
      <c r="H9" s="20" t="str">
        <f t="shared" si="1"/>
        <v>123-○●-6791</v>
      </c>
      <c r="I9" s="26">
        <v>1738200</v>
      </c>
      <c r="J9" s="34" cm="1">
        <f t="array" ref="J9">fn의료비보조(C9,E9,I9)</f>
        <v>0</v>
      </c>
      <c r="K9" s="24"/>
      <c r="P9" s="35" t="s">
        <v>203</v>
      </c>
      <c r="Q9" s="35" t="s">
        <v>218</v>
      </c>
    </row>
    <row r="10" spans="2:17" x14ac:dyDescent="0.6">
      <c r="B10" s="16" t="s">
        <v>184</v>
      </c>
      <c r="C10" s="16" t="s">
        <v>185</v>
      </c>
      <c r="D10" s="20" t="str">
        <f t="shared" si="0"/>
        <v>예</v>
      </c>
      <c r="E10" s="25" t="s">
        <v>190</v>
      </c>
      <c r="F10" s="25" t="s">
        <v>201</v>
      </c>
      <c r="G10" s="25" t="s">
        <v>205</v>
      </c>
      <c r="H10" s="20" t="str">
        <f t="shared" si="1"/>
        <v>123-○●-6791</v>
      </c>
      <c r="I10" s="26">
        <v>23520</v>
      </c>
      <c r="J10" s="34" cm="1">
        <f t="array" ref="J10">fn의료비보조(C10,E10,I10)</f>
        <v>0</v>
      </c>
      <c r="K10" s="24"/>
    </row>
    <row r="11" spans="2:17" x14ac:dyDescent="0.6">
      <c r="B11" s="15" t="s">
        <v>184</v>
      </c>
      <c r="C11" s="15" t="s">
        <v>185</v>
      </c>
      <c r="D11" s="20" t="str">
        <f t="shared" si="0"/>
        <v>예</v>
      </c>
      <c r="E11" s="27" t="s">
        <v>182</v>
      </c>
      <c r="F11" s="27" t="s">
        <v>183</v>
      </c>
      <c r="G11" s="27" t="s">
        <v>203</v>
      </c>
      <c r="H11" s="20" t="str">
        <f t="shared" si="1"/>
        <v>123-○●-6794</v>
      </c>
      <c r="I11" s="28">
        <v>58600</v>
      </c>
      <c r="J11" s="34" cm="1">
        <f t="array" ref="J11">fn의료비보조(C11,E11,I11)</f>
        <v>29300</v>
      </c>
      <c r="K11" s="24"/>
    </row>
    <row r="12" spans="2:17" x14ac:dyDescent="0.6">
      <c r="B12" s="15" t="s">
        <v>184</v>
      </c>
      <c r="C12" s="15" t="s">
        <v>185</v>
      </c>
      <c r="D12" s="20" t="str">
        <f t="shared" si="0"/>
        <v>예</v>
      </c>
      <c r="E12" s="27" t="s">
        <v>182</v>
      </c>
      <c r="F12" s="27" t="s">
        <v>183</v>
      </c>
      <c r="G12" s="27" t="s">
        <v>207</v>
      </c>
      <c r="H12" s="20" t="str">
        <f t="shared" si="1"/>
        <v>123-○●-6794</v>
      </c>
      <c r="I12" s="28">
        <v>117840</v>
      </c>
      <c r="J12" s="34" cm="1">
        <f t="array" ref="J12">fn의료비보조(C12,E12,I12)</f>
        <v>58920</v>
      </c>
      <c r="K12" s="24"/>
      <c r="M12" s="18" t="s">
        <v>226</v>
      </c>
      <c r="P12" s="41" t="s">
        <v>243</v>
      </c>
    </row>
    <row r="13" spans="2:17" x14ac:dyDescent="0.6">
      <c r="B13" s="15" t="s">
        <v>219</v>
      </c>
      <c r="C13" s="15" t="s">
        <v>227</v>
      </c>
      <c r="D13" s="20" t="str">
        <f t="shared" si="0"/>
        <v>아니오</v>
      </c>
      <c r="E13" s="27" t="s">
        <v>191</v>
      </c>
      <c r="F13" s="27" t="s">
        <v>192</v>
      </c>
      <c r="G13" s="27" t="s">
        <v>210</v>
      </c>
      <c r="H13" s="20" t="str">
        <f t="shared" si="1"/>
        <v/>
      </c>
      <c r="I13" s="28">
        <v>220000</v>
      </c>
      <c r="J13" s="34" cm="1">
        <f t="array" ref="J13">fn의료비보조(C13,E13,I13)</f>
        <v>0</v>
      </c>
      <c r="K13" s="24"/>
      <c r="M13" s="32" t="s">
        <v>198</v>
      </c>
      <c r="N13" s="37" t="s">
        <v>235</v>
      </c>
      <c r="O13" s="37" t="s">
        <v>236</v>
      </c>
      <c r="P13" s="37" t="s">
        <v>237</v>
      </c>
    </row>
    <row r="14" spans="2:17" x14ac:dyDescent="0.6">
      <c r="B14" s="15" t="s">
        <v>219</v>
      </c>
      <c r="C14" s="15" t="s">
        <v>227</v>
      </c>
      <c r="D14" s="20" t="str">
        <f t="shared" si="0"/>
        <v>아니오</v>
      </c>
      <c r="E14" s="27" t="s">
        <v>182</v>
      </c>
      <c r="F14" s="27" t="s">
        <v>183</v>
      </c>
      <c r="G14" s="27" t="s">
        <v>208</v>
      </c>
      <c r="H14" s="20" t="str">
        <f t="shared" si="1"/>
        <v>123-○●-6793</v>
      </c>
      <c r="I14" s="28">
        <v>44700</v>
      </c>
      <c r="J14" s="34" cm="1">
        <f t="array" ref="J14">fn의료비보조(C14,E14,I14)</f>
        <v>35760</v>
      </c>
      <c r="K14" s="24"/>
      <c r="M14" s="33" t="s">
        <v>190</v>
      </c>
      <c r="N14" s="40" t="str">
        <f t="array" ref="N14">TEXT(SUM(IF(($E$4:$E$42=$M14)*($F$4:$F$42=N$13),$I$4:$I$42)),"#,##0,")</f>
        <v>29,692</v>
      </c>
      <c r="O14" s="40" t="str">
        <f t="array" ref="O14">TEXT(SUM(IF(($E$4:$E$42=$M14)*($F$4:$F$42=O$13),$I$4:$I$42)),"#,##0,")</f>
        <v>399</v>
      </c>
      <c r="P14" s="40" t="str">
        <f t="array" ref="P14">TEXT(SUM(IF(($E$4:$E$42=$M14)*($F$4:$F$42=P$13),$I$4:$I$42)),"#,##0,")</f>
        <v>92</v>
      </c>
    </row>
    <row r="15" spans="2:17" x14ac:dyDescent="0.6">
      <c r="B15" s="15" t="s">
        <v>219</v>
      </c>
      <c r="C15" s="15" t="s">
        <v>227</v>
      </c>
      <c r="D15" s="20" t="str">
        <f t="shared" si="0"/>
        <v>아니오</v>
      </c>
      <c r="E15" s="27" t="s">
        <v>182</v>
      </c>
      <c r="F15" s="27" t="s">
        <v>183</v>
      </c>
      <c r="G15" s="27" t="s">
        <v>208</v>
      </c>
      <c r="H15" s="20" t="str">
        <f t="shared" si="1"/>
        <v>123-○●-6793</v>
      </c>
      <c r="I15" s="28">
        <v>88400</v>
      </c>
      <c r="J15" s="34" cm="1">
        <f t="array" ref="J15">fn의료비보조(C15,E15,I15)</f>
        <v>70720</v>
      </c>
      <c r="K15" s="24"/>
      <c r="M15" s="33" t="s">
        <v>199</v>
      </c>
      <c r="N15" s="40" t="str">
        <f t="array" ref="N15">TEXT(SUM(IF(($E$4:$E$42=$M15)*($F$4:$F$42=N$13),$I$4:$I$42)),"#,##0,")</f>
        <v>378</v>
      </c>
      <c r="O15" s="40" t="str">
        <f t="array" ref="O15">TEXT(SUM(IF(($E$4:$E$42=$M15)*($F$4:$F$42=O$13),$I$4:$I$42)),"#,##0,")</f>
        <v>189</v>
      </c>
      <c r="P15" s="40" t="str">
        <f t="array" ref="P15">TEXT(SUM(IF(($E$4:$E$42=$M15)*($F$4:$F$42=P$13),$I$4:$I$42)),"#,##0,")</f>
        <v>4</v>
      </c>
    </row>
    <row r="16" spans="2:17" x14ac:dyDescent="0.6">
      <c r="B16" s="15" t="s">
        <v>219</v>
      </c>
      <c r="C16" s="15" t="s">
        <v>227</v>
      </c>
      <c r="D16" s="20" t="str">
        <f t="shared" si="0"/>
        <v>아니오</v>
      </c>
      <c r="E16" s="27" t="s">
        <v>182</v>
      </c>
      <c r="F16" s="27" t="s">
        <v>183</v>
      </c>
      <c r="G16" s="27" t="s">
        <v>207</v>
      </c>
      <c r="H16" s="20" t="str">
        <f t="shared" si="1"/>
        <v>123-○●-6794</v>
      </c>
      <c r="I16" s="28">
        <v>107190</v>
      </c>
      <c r="J16" s="34" cm="1">
        <f t="array" ref="J16">fn의료비보조(C16,E16,I16)</f>
        <v>85752</v>
      </c>
      <c r="K16" s="24"/>
      <c r="M16" s="33" t="s">
        <v>193</v>
      </c>
      <c r="N16" s="40" t="str">
        <f t="array" ref="N16">TEXT(SUM(IF(($E$4:$E$42=$M16)*($F$4:$F$42=N$13),$I$4:$I$42)),"#,##0,")</f>
        <v>654</v>
      </c>
      <c r="O16" s="40" t="str">
        <f t="array" ref="O16">TEXT(SUM(IF(($E$4:$E$42=$M16)*($F$4:$F$42=O$13),$I$4:$I$42)),"#,##0,")</f>
        <v>0</v>
      </c>
      <c r="P16" s="40" t="str">
        <f t="array" ref="P16">TEXT(SUM(IF(($E$4:$E$42=$M16)*($F$4:$F$42=P$13),$I$4:$I$42)),"#,##0,")</f>
        <v>0</v>
      </c>
    </row>
    <row r="17" spans="2:14" x14ac:dyDescent="0.6">
      <c r="B17" s="15" t="s">
        <v>180</v>
      </c>
      <c r="C17" s="15" t="s">
        <v>181</v>
      </c>
      <c r="D17" s="20" t="str">
        <f t="shared" si="0"/>
        <v>예</v>
      </c>
      <c r="E17" s="27" t="s">
        <v>182</v>
      </c>
      <c r="F17" s="27" t="s">
        <v>183</v>
      </c>
      <c r="G17" s="27" t="s">
        <v>207</v>
      </c>
      <c r="H17" s="20" t="str">
        <f t="shared" si="1"/>
        <v>123-○●-6794</v>
      </c>
      <c r="I17" s="28">
        <v>360600</v>
      </c>
      <c r="J17" s="34" cm="1">
        <f t="array" ref="J17">fn의료비보조(C17,E17,I17)</f>
        <v>180300</v>
      </c>
      <c r="K17" s="24"/>
    </row>
    <row r="18" spans="2:14" x14ac:dyDescent="0.6">
      <c r="B18" s="16" t="s">
        <v>180</v>
      </c>
      <c r="C18" s="16" t="s">
        <v>181</v>
      </c>
      <c r="D18" s="20" t="str">
        <f t="shared" si="0"/>
        <v>예</v>
      </c>
      <c r="E18" s="25" t="s">
        <v>193</v>
      </c>
      <c r="F18" s="25" t="s">
        <v>194</v>
      </c>
      <c r="G18" s="25" t="s">
        <v>195</v>
      </c>
      <c r="H18" s="20" t="str">
        <f t="shared" si="1"/>
        <v/>
      </c>
      <c r="I18" s="26">
        <v>145000</v>
      </c>
      <c r="J18" s="34" cm="1">
        <f t="array" ref="J18">fn의료비보조(C18,E18,I18)</f>
        <v>0</v>
      </c>
      <c r="K18" s="24"/>
    </row>
    <row r="19" spans="2:14" x14ac:dyDescent="0.6">
      <c r="B19" s="16" t="s">
        <v>180</v>
      </c>
      <c r="C19" s="16" t="s">
        <v>181</v>
      </c>
      <c r="D19" s="20" t="str">
        <f t="shared" si="0"/>
        <v>예</v>
      </c>
      <c r="E19" s="25" t="s">
        <v>193</v>
      </c>
      <c r="F19" s="25" t="s">
        <v>194</v>
      </c>
      <c r="G19" s="25" t="s">
        <v>195</v>
      </c>
      <c r="H19" s="20" t="str">
        <f t="shared" si="1"/>
        <v/>
      </c>
      <c r="I19" s="26">
        <v>231000</v>
      </c>
      <c r="J19" s="34" cm="1">
        <f t="array" ref="J19">fn의료비보조(C19,E19,I19)</f>
        <v>0</v>
      </c>
      <c r="K19" s="24"/>
      <c r="M19" s="29" t="s">
        <v>220</v>
      </c>
    </row>
    <row r="20" spans="2:14" x14ac:dyDescent="0.6">
      <c r="B20" s="15" t="s">
        <v>180</v>
      </c>
      <c r="C20" s="15" t="s">
        <v>181</v>
      </c>
      <c r="D20" s="20" t="str">
        <f t="shared" si="0"/>
        <v>예</v>
      </c>
      <c r="E20" s="27" t="s">
        <v>182</v>
      </c>
      <c r="F20" s="27" t="s">
        <v>183</v>
      </c>
      <c r="G20" s="27" t="s">
        <v>207</v>
      </c>
      <c r="H20" s="20" t="str">
        <f t="shared" si="1"/>
        <v>123-○●-6794</v>
      </c>
      <c r="I20" s="28">
        <v>50620</v>
      </c>
      <c r="J20" s="34" cm="1">
        <f t="array" ref="J20">fn의료비보조(C20,E20,I20)</f>
        <v>25310</v>
      </c>
      <c r="K20" s="24"/>
      <c r="M20" s="32" t="s">
        <v>228</v>
      </c>
      <c r="N20" s="37" t="s">
        <v>238</v>
      </c>
    </row>
    <row r="21" spans="2:14" x14ac:dyDescent="0.6">
      <c r="B21" s="16" t="s">
        <v>186</v>
      </c>
      <c r="C21" s="16" t="s">
        <v>187</v>
      </c>
      <c r="D21" s="20" t="str">
        <f t="shared" si="0"/>
        <v>예</v>
      </c>
      <c r="E21" s="25" t="s">
        <v>199</v>
      </c>
      <c r="F21" s="25" t="s">
        <v>200</v>
      </c>
      <c r="G21" s="25" t="s">
        <v>202</v>
      </c>
      <c r="H21" s="20" t="str">
        <f t="shared" si="1"/>
        <v>123-○●-6792</v>
      </c>
      <c r="I21" s="26">
        <v>46360</v>
      </c>
      <c r="J21" s="34" cm="1">
        <f t="array" ref="J21">fn의료비보조(C21,E21,I21)</f>
        <v>0</v>
      </c>
      <c r="K21" s="24"/>
      <c r="M21" s="38" t="s">
        <v>239</v>
      </c>
      <c r="N21" s="23" cm="1">
        <f t="array" ref="N21">LARGE(IF(($E$4:$E$42="일반의료비")*($C$4:$C$42=M21),$I$4:$I$42),1)-SMALL(IF(($E$4:$E$42="일반의료비")*($C$4:$C$42=M21),$I$4:$I$42),1)</f>
        <v>44000</v>
      </c>
    </row>
    <row r="22" spans="2:14" x14ac:dyDescent="0.6">
      <c r="B22" s="16" t="s">
        <v>186</v>
      </c>
      <c r="C22" s="16" t="s">
        <v>187</v>
      </c>
      <c r="D22" s="20" t="str">
        <f t="shared" si="0"/>
        <v>예</v>
      </c>
      <c r="E22" s="25" t="s">
        <v>199</v>
      </c>
      <c r="F22" s="25" t="s">
        <v>200</v>
      </c>
      <c r="G22" s="25" t="s">
        <v>202</v>
      </c>
      <c r="H22" s="20" t="str">
        <f t="shared" si="1"/>
        <v>123-○●-6792</v>
      </c>
      <c r="I22" s="26">
        <v>143040</v>
      </c>
      <c r="J22" s="34" cm="1">
        <f t="array" ref="J22">fn의료비보조(C22,E22,I22)</f>
        <v>0</v>
      </c>
      <c r="K22" s="24"/>
      <c r="M22" s="39" t="s">
        <v>240</v>
      </c>
      <c r="N22" s="23" cm="1">
        <f t="array" ref="N22">LARGE(IF(($E$4:$E$42="일반의료비")*($C$4:$C$42=M22),$I$4:$I$42),1)-SMALL(IF(($E$4:$E$42="일반의료비")*($C$4:$C$42=M22),$I$4:$I$42),1)</f>
        <v>309980</v>
      </c>
    </row>
    <row r="23" spans="2:14" x14ac:dyDescent="0.6">
      <c r="B23" s="16" t="s">
        <v>186</v>
      </c>
      <c r="C23" s="16" t="s">
        <v>187</v>
      </c>
      <c r="D23" s="20" t="str">
        <f t="shared" si="0"/>
        <v>예</v>
      </c>
      <c r="E23" s="25" t="s">
        <v>199</v>
      </c>
      <c r="F23" s="25" t="s">
        <v>194</v>
      </c>
      <c r="G23" s="25" t="s">
        <v>202</v>
      </c>
      <c r="H23" s="20" t="str">
        <f t="shared" si="1"/>
        <v>123-○●-6792</v>
      </c>
      <c r="I23" s="26">
        <v>138660</v>
      </c>
      <c r="J23" s="34" cm="1">
        <f t="array" ref="J23">fn의료비보조(C23,E23,I23)</f>
        <v>0</v>
      </c>
      <c r="K23" s="24"/>
      <c r="M23" s="39" t="s">
        <v>241</v>
      </c>
      <c r="N23" s="23" cm="1">
        <f t="array" ref="N23">LARGE(IF(($E$4:$E$42="일반의료비")*($C$4:$C$42=M23),$I$4:$I$42),1)-SMALL(IF(($E$4:$E$42="일반의료비")*($C$4:$C$42=M23),$I$4:$I$42),1)</f>
        <v>554100</v>
      </c>
    </row>
    <row r="24" spans="2:14" x14ac:dyDescent="0.6">
      <c r="B24" s="16" t="s">
        <v>186</v>
      </c>
      <c r="C24" s="16" t="s">
        <v>187</v>
      </c>
      <c r="D24" s="20" t="str">
        <f t="shared" si="0"/>
        <v>예</v>
      </c>
      <c r="E24" s="25" t="s">
        <v>199</v>
      </c>
      <c r="F24" s="25" t="s">
        <v>194</v>
      </c>
      <c r="G24" s="25" t="s">
        <v>202</v>
      </c>
      <c r="H24" s="20" t="str">
        <f t="shared" si="1"/>
        <v>123-○●-6792</v>
      </c>
      <c r="I24" s="26">
        <v>239250</v>
      </c>
      <c r="J24" s="34" cm="1">
        <f t="array" ref="J24">fn의료비보조(C24,E24,I24)</f>
        <v>0</v>
      </c>
      <c r="K24" s="24"/>
      <c r="M24" s="39" t="s">
        <v>242</v>
      </c>
      <c r="N24" s="23" cm="1">
        <f t="array" ref="N24">LARGE(IF(($E$4:$E$42="일반의료비")*($C$4:$C$42=M24),$I$4:$I$42),1)-SMALL(IF(($E$4:$E$42="일반의료비")*($C$4:$C$42=M24),$I$4:$I$42),1)</f>
        <v>0</v>
      </c>
    </row>
    <row r="25" spans="2:14" x14ac:dyDescent="0.6">
      <c r="B25" s="16" t="s">
        <v>186</v>
      </c>
      <c r="C25" s="16" t="s">
        <v>187</v>
      </c>
      <c r="D25" s="20" t="str">
        <f t="shared" si="0"/>
        <v>예</v>
      </c>
      <c r="E25" s="25" t="s">
        <v>199</v>
      </c>
      <c r="F25" s="25" t="s">
        <v>201</v>
      </c>
      <c r="G25" s="25" t="s">
        <v>202</v>
      </c>
      <c r="H25" s="20" t="str">
        <f t="shared" si="1"/>
        <v>123-○●-6792</v>
      </c>
      <c r="I25" s="26">
        <v>4000</v>
      </c>
      <c r="J25" s="34" cm="1">
        <f t="array" ref="J25">fn의료비보조(C25,E25,I25)</f>
        <v>0</v>
      </c>
      <c r="K25" s="24"/>
    </row>
    <row r="26" spans="2:14" x14ac:dyDescent="0.6">
      <c r="B26" s="15" t="s">
        <v>186</v>
      </c>
      <c r="C26" s="15" t="s">
        <v>187</v>
      </c>
      <c r="D26" s="20" t="str">
        <f t="shared" si="0"/>
        <v>예</v>
      </c>
      <c r="E26" s="27" t="s">
        <v>182</v>
      </c>
      <c r="F26" s="27" t="s">
        <v>183</v>
      </c>
      <c r="G26" s="27" t="s">
        <v>203</v>
      </c>
      <c r="H26" s="20" t="str">
        <f t="shared" si="1"/>
        <v>123-○●-6794</v>
      </c>
      <c r="I26" s="28">
        <v>81970</v>
      </c>
      <c r="J26" s="34" cm="1">
        <f t="array" ref="J26">fn의료비보조(C26,E26,I26)</f>
        <v>65576</v>
      </c>
      <c r="K26" s="24"/>
    </row>
    <row r="27" spans="2:14" x14ac:dyDescent="0.6">
      <c r="B27" s="16" t="s">
        <v>188</v>
      </c>
      <c r="C27" s="16" t="s">
        <v>189</v>
      </c>
      <c r="D27" s="20" t="str">
        <f t="shared" si="0"/>
        <v>예</v>
      </c>
      <c r="E27" s="25" t="s">
        <v>190</v>
      </c>
      <c r="F27" s="25" t="s">
        <v>200</v>
      </c>
      <c r="G27" s="25" t="s">
        <v>206</v>
      </c>
      <c r="H27" s="20" t="str">
        <f t="shared" si="1"/>
        <v>123-○●-6790</v>
      </c>
      <c r="I27" s="26">
        <v>15000</v>
      </c>
      <c r="J27" s="34" cm="1">
        <f t="array" ref="J27">fn의료비보조(C27,E27,I27)</f>
        <v>0</v>
      </c>
      <c r="K27" s="24"/>
    </row>
    <row r="28" spans="2:14" x14ac:dyDescent="0.6">
      <c r="B28" s="16" t="s">
        <v>188</v>
      </c>
      <c r="C28" s="16" t="s">
        <v>189</v>
      </c>
      <c r="D28" s="20" t="str">
        <f t="shared" si="0"/>
        <v>예</v>
      </c>
      <c r="E28" s="25" t="s">
        <v>190</v>
      </c>
      <c r="F28" s="25" t="s">
        <v>200</v>
      </c>
      <c r="G28" s="25" t="s">
        <v>209</v>
      </c>
      <c r="H28" s="20" t="str">
        <f t="shared" si="1"/>
        <v>123-○●-6791</v>
      </c>
      <c r="I28" s="26">
        <v>111980</v>
      </c>
      <c r="J28" s="34" cm="1">
        <f t="array" ref="J28">fn의료비보조(C28,E28,I28)</f>
        <v>0</v>
      </c>
      <c r="K28" s="24"/>
    </row>
    <row r="29" spans="2:14" x14ac:dyDescent="0.6">
      <c r="B29" s="16" t="s">
        <v>188</v>
      </c>
      <c r="C29" s="16" t="s">
        <v>189</v>
      </c>
      <c r="D29" s="20" t="str">
        <f t="shared" si="0"/>
        <v>예</v>
      </c>
      <c r="E29" s="25" t="s">
        <v>190</v>
      </c>
      <c r="F29" s="25" t="s">
        <v>200</v>
      </c>
      <c r="G29" s="25" t="s">
        <v>209</v>
      </c>
      <c r="H29" s="20" t="str">
        <f t="shared" si="1"/>
        <v>123-○●-6791</v>
      </c>
      <c r="I29" s="26">
        <v>213200</v>
      </c>
      <c r="J29" s="34" cm="1">
        <f t="array" ref="J29">fn의료비보조(C29,E29,I29)</f>
        <v>0</v>
      </c>
      <c r="K29" s="24"/>
    </row>
    <row r="30" spans="2:14" x14ac:dyDescent="0.6">
      <c r="B30" s="15" t="s">
        <v>188</v>
      </c>
      <c r="C30" s="15" t="s">
        <v>189</v>
      </c>
      <c r="D30" s="20" t="str">
        <f t="shared" si="0"/>
        <v>예</v>
      </c>
      <c r="E30" s="27" t="s">
        <v>191</v>
      </c>
      <c r="F30" s="27" t="s">
        <v>192</v>
      </c>
      <c r="G30" s="27" t="s">
        <v>210</v>
      </c>
      <c r="H30" s="20" t="str">
        <f t="shared" si="1"/>
        <v/>
      </c>
      <c r="I30" s="28">
        <v>110000</v>
      </c>
      <c r="J30" s="34" cm="1">
        <f t="array" ref="J30">fn의료비보조(C30,E30,I30)</f>
        <v>0</v>
      </c>
      <c r="K30" s="24"/>
    </row>
    <row r="31" spans="2:14" x14ac:dyDescent="0.6">
      <c r="B31" s="15" t="s">
        <v>188</v>
      </c>
      <c r="C31" s="15" t="s">
        <v>189</v>
      </c>
      <c r="D31" s="20" t="str">
        <f t="shared" si="0"/>
        <v>예</v>
      </c>
      <c r="E31" s="27" t="s">
        <v>191</v>
      </c>
      <c r="F31" s="27" t="s">
        <v>192</v>
      </c>
      <c r="G31" s="27" t="s">
        <v>210</v>
      </c>
      <c r="H31" s="20" t="str">
        <f t="shared" si="1"/>
        <v/>
      </c>
      <c r="I31" s="28">
        <v>240000</v>
      </c>
      <c r="J31" s="34" cm="1">
        <f t="array" ref="J31">fn의료비보조(C31,E31,I31)</f>
        <v>0</v>
      </c>
      <c r="K31" s="24"/>
    </row>
    <row r="32" spans="2:14" x14ac:dyDescent="0.6">
      <c r="B32" s="15" t="s">
        <v>188</v>
      </c>
      <c r="C32" s="15" t="s">
        <v>189</v>
      </c>
      <c r="D32" s="20" t="str">
        <f t="shared" si="0"/>
        <v>예</v>
      </c>
      <c r="E32" s="27" t="s">
        <v>191</v>
      </c>
      <c r="F32" s="27" t="s">
        <v>192</v>
      </c>
      <c r="G32" s="27" t="s">
        <v>210</v>
      </c>
      <c r="H32" s="20" t="str">
        <f t="shared" si="1"/>
        <v/>
      </c>
      <c r="I32" s="28">
        <v>600000</v>
      </c>
      <c r="J32" s="34" cm="1">
        <f t="array" ref="J32">fn의료비보조(C32,E32,I32)</f>
        <v>0</v>
      </c>
      <c r="K32" s="24"/>
    </row>
    <row r="33" spans="2:11" x14ac:dyDescent="0.6">
      <c r="B33" s="16" t="s">
        <v>188</v>
      </c>
      <c r="C33" s="16" t="s">
        <v>189</v>
      </c>
      <c r="D33" s="20" t="str">
        <f t="shared" si="0"/>
        <v>예</v>
      </c>
      <c r="E33" s="25" t="s">
        <v>193</v>
      </c>
      <c r="F33" s="25" t="s">
        <v>194</v>
      </c>
      <c r="G33" s="25" t="s">
        <v>195</v>
      </c>
      <c r="H33" s="20" t="str">
        <f t="shared" si="1"/>
        <v/>
      </c>
      <c r="I33" s="26">
        <v>62340</v>
      </c>
      <c r="J33" s="34" cm="1">
        <f t="array" ref="J33">fn의료비보조(C33,E33,I33)</f>
        <v>0</v>
      </c>
      <c r="K33" s="24"/>
    </row>
    <row r="34" spans="2:11" x14ac:dyDescent="0.6">
      <c r="B34" s="16" t="s">
        <v>188</v>
      </c>
      <c r="C34" s="16" t="s">
        <v>189</v>
      </c>
      <c r="D34" s="20" t="str">
        <f t="shared" si="0"/>
        <v>예</v>
      </c>
      <c r="E34" s="25" t="s">
        <v>193</v>
      </c>
      <c r="F34" s="25" t="s">
        <v>194</v>
      </c>
      <c r="G34" s="25" t="s">
        <v>195</v>
      </c>
      <c r="H34" s="20" t="str">
        <f t="shared" si="1"/>
        <v/>
      </c>
      <c r="I34" s="26">
        <v>213020</v>
      </c>
      <c r="J34" s="34" cm="1">
        <f t="array" ref="J34">fn의료비보조(C34,E34,I34)</f>
        <v>0</v>
      </c>
      <c r="K34" s="24"/>
    </row>
    <row r="35" spans="2:11" x14ac:dyDescent="0.6">
      <c r="B35" s="16" t="s">
        <v>188</v>
      </c>
      <c r="C35" s="16" t="s">
        <v>189</v>
      </c>
      <c r="D35" s="20" t="str">
        <f t="shared" si="0"/>
        <v>예</v>
      </c>
      <c r="E35" s="25" t="s">
        <v>190</v>
      </c>
      <c r="F35" s="25" t="s">
        <v>194</v>
      </c>
      <c r="G35" s="25" t="s">
        <v>209</v>
      </c>
      <c r="H35" s="20" t="str">
        <f t="shared" si="1"/>
        <v>123-○●-6791</v>
      </c>
      <c r="I35" s="26">
        <v>1925602</v>
      </c>
      <c r="J35" s="34" cm="1">
        <f t="array" ref="J35">fn의료비보조(C35,E35,I35)</f>
        <v>0</v>
      </c>
      <c r="K35" s="24"/>
    </row>
    <row r="36" spans="2:11" x14ac:dyDescent="0.6">
      <c r="B36" s="16" t="s">
        <v>188</v>
      </c>
      <c r="C36" s="16" t="s">
        <v>189</v>
      </c>
      <c r="D36" s="20" t="str">
        <f t="shared" si="0"/>
        <v>예</v>
      </c>
      <c r="E36" s="25" t="s">
        <v>190</v>
      </c>
      <c r="F36" s="25" t="s">
        <v>194</v>
      </c>
      <c r="G36" s="25" t="s">
        <v>209</v>
      </c>
      <c r="H36" s="20" t="str">
        <f t="shared" si="1"/>
        <v>123-○●-6791</v>
      </c>
      <c r="I36" s="26">
        <v>2638488</v>
      </c>
      <c r="J36" s="34" cm="1">
        <f t="array" ref="J36">fn의료비보조(C36,E36,I36)</f>
        <v>0</v>
      </c>
      <c r="K36" s="24"/>
    </row>
    <row r="37" spans="2:11" x14ac:dyDescent="0.6">
      <c r="B37" s="16" t="s">
        <v>188</v>
      </c>
      <c r="C37" s="16" t="s">
        <v>189</v>
      </c>
      <c r="D37" s="20" t="str">
        <f t="shared" si="0"/>
        <v>예</v>
      </c>
      <c r="E37" s="25" t="s">
        <v>190</v>
      </c>
      <c r="F37" s="25" t="s">
        <v>194</v>
      </c>
      <c r="G37" s="25" t="s">
        <v>206</v>
      </c>
      <c r="H37" s="20" t="str">
        <f t="shared" si="1"/>
        <v>123-○●-6790</v>
      </c>
      <c r="I37" s="26">
        <v>10725504</v>
      </c>
      <c r="J37" s="34" cm="1">
        <f t="array" ref="J37">fn의료비보조(C37,E37,I37)</f>
        <v>0</v>
      </c>
      <c r="K37" s="24"/>
    </row>
    <row r="38" spans="2:11" x14ac:dyDescent="0.6">
      <c r="B38" s="16" t="s">
        <v>188</v>
      </c>
      <c r="C38" s="16" t="s">
        <v>189</v>
      </c>
      <c r="D38" s="20" t="str">
        <f t="shared" si="0"/>
        <v>예</v>
      </c>
      <c r="E38" s="25" t="s">
        <v>190</v>
      </c>
      <c r="F38" s="25" t="s">
        <v>194</v>
      </c>
      <c r="G38" s="25" t="s">
        <v>206</v>
      </c>
      <c r="H38" s="20" t="str">
        <f t="shared" si="1"/>
        <v>123-○●-6790</v>
      </c>
      <c r="I38" s="26">
        <v>12127516</v>
      </c>
      <c r="J38" s="34" cm="1">
        <f t="array" ref="J38">fn의료비보조(C38,E38,I38)</f>
        <v>0</v>
      </c>
      <c r="K38" s="24"/>
    </row>
    <row r="39" spans="2:11" x14ac:dyDescent="0.6">
      <c r="B39" s="16" t="s">
        <v>188</v>
      </c>
      <c r="C39" s="16" t="s">
        <v>189</v>
      </c>
      <c r="D39" s="20" t="str">
        <f t="shared" si="0"/>
        <v>예</v>
      </c>
      <c r="E39" s="25" t="s">
        <v>190</v>
      </c>
      <c r="F39" s="25" t="s">
        <v>201</v>
      </c>
      <c r="G39" s="25" t="s">
        <v>206</v>
      </c>
      <c r="H39" s="20" t="str">
        <f t="shared" si="1"/>
        <v>123-○●-6790</v>
      </c>
      <c r="I39" s="26">
        <v>8000</v>
      </c>
      <c r="J39" s="34" cm="1">
        <f t="array" ref="J39">fn의료비보조(C39,E39,I39)</f>
        <v>0</v>
      </c>
      <c r="K39" s="24"/>
    </row>
    <row r="40" spans="2:11" x14ac:dyDescent="0.6">
      <c r="B40" s="16" t="s">
        <v>188</v>
      </c>
      <c r="C40" s="16" t="s">
        <v>189</v>
      </c>
      <c r="D40" s="20" t="str">
        <f t="shared" si="0"/>
        <v>예</v>
      </c>
      <c r="E40" s="25" t="s">
        <v>190</v>
      </c>
      <c r="F40" s="25" t="s">
        <v>201</v>
      </c>
      <c r="G40" s="25" t="s">
        <v>206</v>
      </c>
      <c r="H40" s="20" t="str">
        <f t="shared" si="1"/>
        <v>123-○●-6790</v>
      </c>
      <c r="I40" s="26">
        <v>60100</v>
      </c>
      <c r="J40" s="34" cm="1">
        <f t="array" ref="J40">fn의료비보조(C40,E40,I40)</f>
        <v>0</v>
      </c>
      <c r="K40" s="24"/>
    </row>
    <row r="41" spans="2:11" x14ac:dyDescent="0.6">
      <c r="B41" s="15" t="s">
        <v>188</v>
      </c>
      <c r="C41" s="15" t="s">
        <v>189</v>
      </c>
      <c r="D41" s="20" t="str">
        <f t="shared" si="0"/>
        <v>예</v>
      </c>
      <c r="E41" s="27" t="s">
        <v>182</v>
      </c>
      <c r="F41" s="27" t="s">
        <v>183</v>
      </c>
      <c r="G41" s="27" t="s">
        <v>204</v>
      </c>
      <c r="H41" s="20" t="str">
        <f t="shared" si="1"/>
        <v>123-○●-6793</v>
      </c>
      <c r="I41" s="28">
        <v>59400</v>
      </c>
      <c r="J41" s="34" cm="1">
        <f t="array" ref="J41">fn의료비보조(C41,E41,I41)</f>
        <v>47520</v>
      </c>
      <c r="K41" s="24"/>
    </row>
    <row r="42" spans="2:11" x14ac:dyDescent="0.6">
      <c r="B42" s="15" t="s">
        <v>188</v>
      </c>
      <c r="C42" s="15" t="s">
        <v>189</v>
      </c>
      <c r="D42" s="20" t="str">
        <f t="shared" si="0"/>
        <v>예</v>
      </c>
      <c r="E42" s="27" t="s">
        <v>182</v>
      </c>
      <c r="F42" s="27" t="s">
        <v>183</v>
      </c>
      <c r="G42" s="27" t="s">
        <v>208</v>
      </c>
      <c r="H42" s="20" t="str">
        <f t="shared" si="1"/>
        <v>123-○●-6793</v>
      </c>
      <c r="I42" s="28">
        <v>103400</v>
      </c>
      <c r="J42" s="34" cm="1">
        <f t="array" ref="J42">fn의료비보조(C42,E42,I42)</f>
        <v>82720</v>
      </c>
      <c r="K42" s="2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F17"/>
  <sheetViews>
    <sheetView workbookViewId="0">
      <selection activeCell="I5" sqref="I5"/>
    </sheetView>
  </sheetViews>
  <sheetFormatPr defaultRowHeight="16.899999999999999" x14ac:dyDescent="0.6"/>
  <cols>
    <col min="1" max="1" width="17.75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7" width="7.5" bestFit="1" customWidth="1"/>
    <col min="8" max="9" width="14" bestFit="1" customWidth="1"/>
    <col min="10" max="10" width="18.4375" bestFit="1" customWidth="1"/>
    <col min="11" max="11" width="16.5625" bestFit="1" customWidth="1"/>
  </cols>
  <sheetData>
    <row r="2" spans="1:6" x14ac:dyDescent="0.6">
      <c r="C2" s="61" t="s">
        <v>274</v>
      </c>
    </row>
    <row r="3" spans="1:6" x14ac:dyDescent="0.6">
      <c r="A3" s="61" t="s">
        <v>275</v>
      </c>
      <c r="B3" s="61" t="s">
        <v>277</v>
      </c>
      <c r="C3" t="s">
        <v>270</v>
      </c>
      <c r="D3" t="s">
        <v>271</v>
      </c>
      <c r="E3" t="s">
        <v>272</v>
      </c>
      <c r="F3" t="s">
        <v>273</v>
      </c>
    </row>
    <row r="4" spans="1:6" x14ac:dyDescent="0.6">
      <c r="A4" t="s">
        <v>265</v>
      </c>
      <c r="B4" t="s">
        <v>276</v>
      </c>
      <c r="C4" s="62">
        <v>191.10000000000002</v>
      </c>
      <c r="D4" s="62">
        <v>544</v>
      </c>
      <c r="E4" s="62">
        <v>37.9</v>
      </c>
      <c r="F4" s="62">
        <v>-1.4000000000000006</v>
      </c>
    </row>
    <row r="5" spans="1:6" x14ac:dyDescent="0.6">
      <c r="B5" t="s">
        <v>280</v>
      </c>
      <c r="C5" s="62">
        <v>642.20000000000005</v>
      </c>
      <c r="D5" s="62">
        <v>556</v>
      </c>
      <c r="E5" s="62">
        <v>151.9</v>
      </c>
      <c r="F5" s="62">
        <v>104.8</v>
      </c>
    </row>
    <row r="6" spans="1:6" x14ac:dyDescent="0.6">
      <c r="A6" t="s">
        <v>264</v>
      </c>
      <c r="B6" t="s">
        <v>276</v>
      </c>
      <c r="C6" s="62">
        <v>432.59999999999991</v>
      </c>
      <c r="D6" s="62">
        <v>750</v>
      </c>
      <c r="E6" s="62">
        <v>43.9</v>
      </c>
      <c r="F6" s="62">
        <v>-20.299999999999997</v>
      </c>
    </row>
    <row r="7" spans="1:6" x14ac:dyDescent="0.6">
      <c r="B7" t="s">
        <v>280</v>
      </c>
      <c r="C7" s="62">
        <v>961.7</v>
      </c>
      <c r="D7" s="62">
        <v>736</v>
      </c>
      <c r="E7" s="62">
        <v>195.60000000000002</v>
      </c>
      <c r="F7" s="62">
        <v>124.5</v>
      </c>
    </row>
    <row r="8" spans="1:6" x14ac:dyDescent="0.6">
      <c r="A8" t="s">
        <v>266</v>
      </c>
      <c r="B8" t="s">
        <v>276</v>
      </c>
      <c r="C8" s="62">
        <v>449.7</v>
      </c>
      <c r="D8" s="62">
        <v>837</v>
      </c>
      <c r="E8" s="62">
        <v>123.5</v>
      </c>
      <c r="F8" s="62">
        <v>54.2</v>
      </c>
    </row>
    <row r="9" spans="1:6" x14ac:dyDescent="0.6">
      <c r="B9" t="s">
        <v>280</v>
      </c>
      <c r="C9" s="62">
        <v>1306.9000000000001</v>
      </c>
      <c r="D9" s="62">
        <v>923</v>
      </c>
      <c r="E9" s="62">
        <v>273.39999999999998</v>
      </c>
      <c r="F9" s="62">
        <v>197</v>
      </c>
    </row>
    <row r="10" spans="1:6" x14ac:dyDescent="0.6">
      <c r="A10" t="s">
        <v>267</v>
      </c>
      <c r="B10" t="s">
        <v>276</v>
      </c>
      <c r="C10" s="62">
        <v>472.5</v>
      </c>
      <c r="D10" s="62">
        <v>987</v>
      </c>
      <c r="E10" s="62">
        <v>111.10000000000001</v>
      </c>
      <c r="F10" s="62">
        <v>39.5</v>
      </c>
    </row>
    <row r="11" spans="1:6" x14ac:dyDescent="0.6">
      <c r="B11" t="s">
        <v>280</v>
      </c>
      <c r="C11" s="62">
        <v>1182.0999999999999</v>
      </c>
      <c r="D11" s="62">
        <v>994</v>
      </c>
      <c r="E11" s="62">
        <v>267.2</v>
      </c>
      <c r="F11" s="62">
        <v>182.8</v>
      </c>
    </row>
    <row r="12" spans="1:6" x14ac:dyDescent="0.6">
      <c r="A12" t="s">
        <v>268</v>
      </c>
      <c r="B12" t="s">
        <v>276</v>
      </c>
      <c r="C12" s="62">
        <v>179.8</v>
      </c>
      <c r="D12" s="62">
        <v>191</v>
      </c>
      <c r="E12" s="62">
        <v>29.5</v>
      </c>
      <c r="F12" s="62">
        <v>21.3</v>
      </c>
    </row>
    <row r="13" spans="1:6" x14ac:dyDescent="0.6">
      <c r="B13" t="s">
        <v>280</v>
      </c>
      <c r="C13" s="62">
        <v>287.39999999999998</v>
      </c>
      <c r="D13" s="62">
        <v>195</v>
      </c>
      <c r="E13" s="62">
        <v>52.5</v>
      </c>
      <c r="F13" s="62">
        <v>41.5</v>
      </c>
    </row>
    <row r="14" spans="1:6" x14ac:dyDescent="0.6">
      <c r="A14" t="s">
        <v>269</v>
      </c>
      <c r="B14" t="s">
        <v>276</v>
      </c>
      <c r="C14" s="62">
        <v>328</v>
      </c>
      <c r="D14" s="62">
        <v>776</v>
      </c>
      <c r="E14" s="62">
        <v>63.5</v>
      </c>
      <c r="F14" s="62">
        <v>0</v>
      </c>
    </row>
    <row r="15" spans="1:6" x14ac:dyDescent="0.6">
      <c r="B15" t="s">
        <v>280</v>
      </c>
      <c r="C15" s="62">
        <v>890.59999999999991</v>
      </c>
      <c r="D15" s="62">
        <v>727</v>
      </c>
      <c r="E15" s="62">
        <v>216</v>
      </c>
      <c r="F15" s="62">
        <v>140.9</v>
      </c>
    </row>
    <row r="16" spans="1:6" x14ac:dyDescent="0.6">
      <c r="A16" t="s">
        <v>278</v>
      </c>
      <c r="C16" s="62">
        <v>2053.6999999999998</v>
      </c>
      <c r="D16" s="62">
        <v>4085</v>
      </c>
      <c r="E16" s="62">
        <v>409.4</v>
      </c>
      <c r="F16" s="62">
        <v>93.3</v>
      </c>
    </row>
    <row r="17" spans="1:6" x14ac:dyDescent="0.6">
      <c r="A17" t="s">
        <v>279</v>
      </c>
      <c r="C17" s="62">
        <v>5270.9</v>
      </c>
      <c r="D17" s="62">
        <v>4131</v>
      </c>
      <c r="E17" s="62">
        <v>1156.5999999999999</v>
      </c>
      <c r="F17" s="62">
        <v>791.5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F35"/>
  <sheetViews>
    <sheetView workbookViewId="0">
      <selection activeCell="H3" sqref="H3"/>
    </sheetView>
  </sheetViews>
  <sheetFormatPr defaultRowHeight="16.899999999999999" x14ac:dyDescent="0.6"/>
  <cols>
    <col min="1" max="1" width="4.125" customWidth="1"/>
    <col min="3" max="3" width="14" customWidth="1"/>
    <col min="4" max="5" width="11.125" bestFit="1" customWidth="1"/>
  </cols>
  <sheetData>
    <row r="2" spans="2:6" x14ac:dyDescent="0.6">
      <c r="B2" s="53" t="s">
        <v>249</v>
      </c>
      <c r="C2" s="54" t="s">
        <v>0</v>
      </c>
      <c r="D2" s="54" t="s">
        <v>250</v>
      </c>
      <c r="E2" s="54" t="s">
        <v>251</v>
      </c>
      <c r="F2" s="55" t="s">
        <v>252</v>
      </c>
    </row>
    <row r="3" spans="2:6" x14ac:dyDescent="0.6">
      <c r="B3" s="56" t="s">
        <v>253</v>
      </c>
      <c r="C3" s="57" t="s">
        <v>11</v>
      </c>
      <c r="D3" s="59">
        <v>43854</v>
      </c>
      <c r="E3" s="59">
        <v>43914</v>
      </c>
      <c r="F3" s="58">
        <v>0</v>
      </c>
    </row>
    <row r="4" spans="2:6" x14ac:dyDescent="0.6">
      <c r="B4" s="56" t="s">
        <v>254</v>
      </c>
      <c r="C4" s="57" t="s">
        <v>11</v>
      </c>
      <c r="D4" s="59">
        <v>43891</v>
      </c>
      <c r="E4" s="59">
        <v>43925</v>
      </c>
      <c r="F4" s="58">
        <v>-3</v>
      </c>
    </row>
    <row r="5" spans="2:6" x14ac:dyDescent="0.6">
      <c r="B5" s="56" t="s">
        <v>255</v>
      </c>
      <c r="C5" s="57" t="s">
        <v>11</v>
      </c>
      <c r="D5" s="59">
        <v>43951</v>
      </c>
      <c r="E5" s="59">
        <v>43917</v>
      </c>
      <c r="F5" s="58">
        <v>-1</v>
      </c>
    </row>
    <row r="6" spans="2:6" x14ac:dyDescent="0.6">
      <c r="B6" s="56" t="s">
        <v>253</v>
      </c>
      <c r="C6" s="57" t="s">
        <v>4</v>
      </c>
      <c r="D6" s="59">
        <v>43908</v>
      </c>
      <c r="E6" s="59">
        <v>43912</v>
      </c>
      <c r="F6" s="58">
        <v>-4</v>
      </c>
    </row>
    <row r="7" spans="2:6" x14ac:dyDescent="0.6">
      <c r="B7" s="56" t="s">
        <v>253</v>
      </c>
      <c r="C7" s="57" t="s">
        <v>6</v>
      </c>
      <c r="D7" s="59">
        <v>43905</v>
      </c>
      <c r="E7" s="59">
        <v>43908</v>
      </c>
      <c r="F7" s="58">
        <v>-3</v>
      </c>
    </row>
    <row r="8" spans="2:6" x14ac:dyDescent="0.6">
      <c r="B8" s="56" t="s">
        <v>253</v>
      </c>
      <c r="C8" s="57" t="s">
        <v>7</v>
      </c>
      <c r="D8" s="59">
        <v>43912</v>
      </c>
      <c r="E8" s="59">
        <v>43915</v>
      </c>
      <c r="F8" s="58">
        <v>-3</v>
      </c>
    </row>
    <row r="9" spans="2:6" x14ac:dyDescent="0.6">
      <c r="B9" s="56" t="s">
        <v>253</v>
      </c>
      <c r="C9" s="57" t="s">
        <v>2</v>
      </c>
      <c r="D9" s="59">
        <v>44058</v>
      </c>
      <c r="E9" s="59">
        <v>43906</v>
      </c>
      <c r="F9" s="58">
        <v>-1</v>
      </c>
    </row>
    <row r="10" spans="2:6" x14ac:dyDescent="0.6">
      <c r="B10" s="56" t="s">
        <v>253</v>
      </c>
      <c r="C10" s="57" t="s">
        <v>1</v>
      </c>
      <c r="D10" s="59">
        <v>43904</v>
      </c>
      <c r="E10" s="59">
        <v>43905</v>
      </c>
      <c r="F10" s="58">
        <v>-1</v>
      </c>
    </row>
    <row r="11" spans="2:6" x14ac:dyDescent="0.6">
      <c r="B11" s="56" t="s">
        <v>253</v>
      </c>
      <c r="C11" s="57" t="s">
        <v>9</v>
      </c>
      <c r="D11" s="59">
        <v>43916</v>
      </c>
      <c r="E11" s="59">
        <v>43915</v>
      </c>
      <c r="F11" s="58">
        <v>1</v>
      </c>
    </row>
    <row r="12" spans="2:6" x14ac:dyDescent="0.6">
      <c r="B12" s="56" t="s">
        <v>253</v>
      </c>
      <c r="C12" s="57" t="s">
        <v>8</v>
      </c>
      <c r="D12" s="59">
        <v>43918</v>
      </c>
      <c r="E12" s="59">
        <v>43920</v>
      </c>
      <c r="F12" s="58">
        <v>-2</v>
      </c>
    </row>
    <row r="13" spans="2:6" x14ac:dyDescent="0.6">
      <c r="B13" s="56" t="s">
        <v>253</v>
      </c>
      <c r="C13" s="57" t="s">
        <v>3</v>
      </c>
      <c r="D13" s="59">
        <v>43913</v>
      </c>
      <c r="E13" s="59">
        <v>43912</v>
      </c>
      <c r="F13" s="58">
        <v>1</v>
      </c>
    </row>
    <row r="14" spans="2:6" x14ac:dyDescent="0.6">
      <c r="B14" s="56" t="s">
        <v>253</v>
      </c>
      <c r="C14" s="57" t="s">
        <v>10</v>
      </c>
      <c r="D14" s="59">
        <v>43922</v>
      </c>
      <c r="E14" s="59">
        <v>43922</v>
      </c>
      <c r="F14" s="58">
        <v>0</v>
      </c>
    </row>
    <row r="15" spans="2:6" x14ac:dyDescent="0.6">
      <c r="B15" s="56" t="s">
        <v>253</v>
      </c>
      <c r="C15" s="57" t="s">
        <v>5</v>
      </c>
      <c r="D15" s="59">
        <v>43912</v>
      </c>
      <c r="E15" s="59">
        <v>43915</v>
      </c>
      <c r="F15" s="58">
        <v>-3</v>
      </c>
    </row>
    <row r="16" spans="2:6" x14ac:dyDescent="0.6">
      <c r="B16" s="56" t="s">
        <v>254</v>
      </c>
      <c r="C16" s="57" t="s">
        <v>4</v>
      </c>
      <c r="D16" s="59">
        <v>43918</v>
      </c>
      <c r="E16" s="59">
        <v>43922</v>
      </c>
      <c r="F16" s="58">
        <v>-4</v>
      </c>
    </row>
    <row r="17" spans="2:6" x14ac:dyDescent="0.6">
      <c r="B17" s="56" t="s">
        <v>254</v>
      </c>
      <c r="C17" s="57" t="s">
        <v>6</v>
      </c>
      <c r="D17" s="59">
        <v>43915</v>
      </c>
      <c r="E17" s="59">
        <v>43920</v>
      </c>
      <c r="F17" s="58">
        <v>-5</v>
      </c>
    </row>
    <row r="18" spans="2:6" x14ac:dyDescent="0.6">
      <c r="B18" s="56" t="s">
        <v>254</v>
      </c>
      <c r="C18" s="57" t="s">
        <v>7</v>
      </c>
      <c r="D18" s="59">
        <v>43920</v>
      </c>
      <c r="E18" s="59">
        <v>43925</v>
      </c>
      <c r="F18" s="58">
        <v>-5</v>
      </c>
    </row>
    <row r="19" spans="2:6" x14ac:dyDescent="0.6">
      <c r="B19" s="56" t="s">
        <v>254</v>
      </c>
      <c r="C19" s="57" t="s">
        <v>2</v>
      </c>
      <c r="D19" s="59">
        <v>43915</v>
      </c>
      <c r="E19" s="59">
        <v>43917</v>
      </c>
      <c r="F19" s="58">
        <v>-2</v>
      </c>
    </row>
    <row r="20" spans="2:6" x14ac:dyDescent="0.6">
      <c r="B20" s="56" t="s">
        <v>254</v>
      </c>
      <c r="C20" s="57" t="s">
        <v>1</v>
      </c>
      <c r="D20" s="59">
        <v>43912</v>
      </c>
      <c r="E20" s="59">
        <v>43913</v>
      </c>
      <c r="F20" s="58">
        <v>-1</v>
      </c>
    </row>
    <row r="21" spans="2:6" x14ac:dyDescent="0.6">
      <c r="B21" s="56" t="s">
        <v>254</v>
      </c>
      <c r="C21" s="57" t="s">
        <v>9</v>
      </c>
      <c r="D21" s="59">
        <v>43926</v>
      </c>
      <c r="E21" s="59">
        <v>43930</v>
      </c>
      <c r="F21" s="58">
        <v>-4</v>
      </c>
    </row>
    <row r="22" spans="2:6" x14ac:dyDescent="0.6">
      <c r="B22" s="56" t="s">
        <v>254</v>
      </c>
      <c r="C22" s="57" t="s">
        <v>8</v>
      </c>
      <c r="D22" s="59">
        <v>43927</v>
      </c>
      <c r="E22" s="59">
        <v>43930</v>
      </c>
      <c r="F22" s="58">
        <v>-3</v>
      </c>
    </row>
    <row r="23" spans="2:6" x14ac:dyDescent="0.6">
      <c r="B23" s="56" t="s">
        <v>254</v>
      </c>
      <c r="C23" s="57" t="s">
        <v>3</v>
      </c>
      <c r="D23" s="59">
        <v>43918</v>
      </c>
      <c r="E23" s="59">
        <v>43922</v>
      </c>
      <c r="F23" s="58">
        <v>-4</v>
      </c>
    </row>
    <row r="24" spans="2:6" x14ac:dyDescent="0.6">
      <c r="B24" s="56" t="s">
        <v>254</v>
      </c>
      <c r="C24" s="57" t="s">
        <v>10</v>
      </c>
      <c r="D24" s="59">
        <v>43929</v>
      </c>
      <c r="E24" s="59">
        <v>43933</v>
      </c>
      <c r="F24" s="58">
        <v>-4</v>
      </c>
    </row>
    <row r="25" spans="2:6" x14ac:dyDescent="0.6">
      <c r="B25" s="56" t="s">
        <v>254</v>
      </c>
      <c r="C25" s="57" t="s">
        <v>5</v>
      </c>
      <c r="D25" s="59">
        <v>43920</v>
      </c>
      <c r="E25" s="59">
        <v>43925</v>
      </c>
      <c r="F25" s="58">
        <v>-5</v>
      </c>
    </row>
    <row r="26" spans="2:6" x14ac:dyDescent="0.6">
      <c r="B26" s="56" t="s">
        <v>255</v>
      </c>
      <c r="C26" s="57" t="s">
        <v>4</v>
      </c>
      <c r="D26" s="59">
        <v>43916</v>
      </c>
      <c r="E26" s="59">
        <v>43916</v>
      </c>
      <c r="F26" s="58">
        <v>0</v>
      </c>
    </row>
    <row r="27" spans="2:6" x14ac:dyDescent="0.6">
      <c r="B27" s="56" t="s">
        <v>255</v>
      </c>
      <c r="C27" s="57" t="s">
        <v>6</v>
      </c>
      <c r="D27" s="59">
        <v>43913</v>
      </c>
      <c r="E27" s="59">
        <v>43915</v>
      </c>
      <c r="F27" s="58">
        <v>-2</v>
      </c>
    </row>
    <row r="28" spans="2:6" x14ac:dyDescent="0.6">
      <c r="B28" s="56" t="s">
        <v>255</v>
      </c>
      <c r="C28" s="57" t="s">
        <v>7</v>
      </c>
      <c r="D28" s="59">
        <v>43916</v>
      </c>
      <c r="E28" s="59">
        <v>43918</v>
      </c>
      <c r="F28" s="58">
        <v>-2</v>
      </c>
    </row>
    <row r="29" spans="2:6" x14ac:dyDescent="0.6">
      <c r="B29" s="56" t="s">
        <v>255</v>
      </c>
      <c r="C29" s="57" t="s">
        <v>2</v>
      </c>
      <c r="D29" s="59">
        <v>43907</v>
      </c>
      <c r="E29" s="59">
        <v>43908</v>
      </c>
      <c r="F29" s="58">
        <v>-1</v>
      </c>
    </row>
    <row r="30" spans="2:6" x14ac:dyDescent="0.6">
      <c r="B30" s="56" t="s">
        <v>255</v>
      </c>
      <c r="C30" s="57" t="s">
        <v>1</v>
      </c>
      <c r="D30" s="59">
        <v>43845</v>
      </c>
      <c r="E30" s="59">
        <v>43909</v>
      </c>
      <c r="F30" s="58">
        <v>-4</v>
      </c>
    </row>
    <row r="31" spans="2:6" x14ac:dyDescent="0.6">
      <c r="B31" s="56" t="s">
        <v>255</v>
      </c>
      <c r="C31" s="57" t="s">
        <v>9</v>
      </c>
      <c r="D31" s="59">
        <v>43916</v>
      </c>
      <c r="E31" s="59">
        <v>43918</v>
      </c>
      <c r="F31" s="58">
        <v>-2</v>
      </c>
    </row>
    <row r="32" spans="2:6" x14ac:dyDescent="0.6">
      <c r="B32" s="56" t="s">
        <v>255</v>
      </c>
      <c r="C32" s="57" t="s">
        <v>8</v>
      </c>
      <c r="D32" s="59">
        <v>43919</v>
      </c>
      <c r="E32" s="59">
        <v>43920</v>
      </c>
      <c r="F32" s="58">
        <v>-1</v>
      </c>
    </row>
    <row r="33" spans="2:6" x14ac:dyDescent="0.6">
      <c r="B33" s="56" t="s">
        <v>255</v>
      </c>
      <c r="C33" s="57" t="s">
        <v>3</v>
      </c>
      <c r="D33" s="59">
        <v>43912</v>
      </c>
      <c r="E33" s="59">
        <v>43909</v>
      </c>
      <c r="F33" s="58">
        <v>3</v>
      </c>
    </row>
    <row r="34" spans="2:6" x14ac:dyDescent="0.6">
      <c r="B34" s="56" t="s">
        <v>255</v>
      </c>
      <c r="C34" s="57" t="s">
        <v>10</v>
      </c>
      <c r="D34" s="59">
        <v>43924</v>
      </c>
      <c r="E34" s="59">
        <v>43924</v>
      </c>
      <c r="F34" s="58">
        <v>0</v>
      </c>
    </row>
    <row r="35" spans="2:6" x14ac:dyDescent="0.6">
      <c r="B35" s="56" t="s">
        <v>255</v>
      </c>
      <c r="C35" s="57" t="s">
        <v>5</v>
      </c>
      <c r="D35" s="59">
        <v>44009</v>
      </c>
      <c r="E35" s="59">
        <v>43919</v>
      </c>
      <c r="F35" s="58">
        <v>-2</v>
      </c>
    </row>
  </sheetData>
  <sortState xmlns:xlrd2="http://schemas.microsoft.com/office/spreadsheetml/2017/richdata2" ref="B2:F34">
    <sortCondition ref="C3"/>
  </sortState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7AE92888-BD4A-4374-9770-BF6CD75A587B}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9"/>
  <sheetViews>
    <sheetView topLeftCell="A7" workbookViewId="0">
      <selection activeCell="L11" sqref="L11"/>
    </sheetView>
  </sheetViews>
  <sheetFormatPr defaultRowHeight="16.899999999999999" x14ac:dyDescent="0.6"/>
  <sheetData>
    <row r="1" spans="2:10" ht="18.75" customHeight="1" x14ac:dyDescent="0.6"/>
    <row r="2" spans="2:10" ht="38.450000000000003" customHeight="1" x14ac:dyDescent="0.6">
      <c r="B2" s="30" t="s">
        <v>12</v>
      </c>
      <c r="C2" s="31"/>
      <c r="D2" s="31"/>
      <c r="E2" s="31"/>
      <c r="F2" s="31"/>
      <c r="G2" s="31"/>
      <c r="H2" s="31"/>
      <c r="I2" s="31"/>
      <c r="J2" s="31"/>
    </row>
    <row r="3" spans="2:10" ht="19.149999999999999" x14ac:dyDescent="0.6">
      <c r="B3" s="1"/>
      <c r="C3" s="50">
        <v>2012</v>
      </c>
      <c r="D3" s="50">
        <v>2013</v>
      </c>
      <c r="E3" s="50">
        <v>2014</v>
      </c>
      <c r="F3" s="50">
        <v>2015</v>
      </c>
      <c r="G3" s="50">
        <v>2016</v>
      </c>
      <c r="H3" s="50">
        <v>2017</v>
      </c>
      <c r="I3" s="50">
        <v>2018</v>
      </c>
      <c r="J3" s="50">
        <v>2019</v>
      </c>
    </row>
    <row r="4" spans="2:10" ht="19.149999999999999" x14ac:dyDescent="0.6">
      <c r="B4" s="2" t="s">
        <v>9</v>
      </c>
      <c r="C4" s="51">
        <v>4.7</v>
      </c>
      <c r="D4" s="51">
        <v>4.8</v>
      </c>
      <c r="E4" s="51">
        <v>4.8</v>
      </c>
      <c r="F4" s="51">
        <v>4.7</v>
      </c>
      <c r="G4" s="51">
        <v>4.5999999999999996</v>
      </c>
      <c r="H4" s="51">
        <v>4.5999999999999996</v>
      </c>
      <c r="I4" s="51">
        <v>4.7</v>
      </c>
      <c r="J4" s="51">
        <v>4.0999999999999996</v>
      </c>
    </row>
    <row r="5" spans="2:10" ht="19.149999999999999" x14ac:dyDescent="0.6">
      <c r="B5" s="2" t="s">
        <v>2</v>
      </c>
      <c r="C5" s="51">
        <v>5.7</v>
      </c>
      <c r="D5" s="51">
        <v>5.5</v>
      </c>
      <c r="E5" s="51">
        <v>5.0999999999999996</v>
      </c>
      <c r="F5" s="51">
        <v>4.7</v>
      </c>
      <c r="G5" s="51">
        <v>4.4000000000000004</v>
      </c>
      <c r="H5" s="51">
        <v>4.9000000000000004</v>
      </c>
      <c r="I5" s="51">
        <v>5</v>
      </c>
      <c r="J5" s="51">
        <v>4.9000000000000004</v>
      </c>
    </row>
    <row r="6" spans="2:10" ht="19.149999999999999" x14ac:dyDescent="0.6">
      <c r="B6" s="2" t="s">
        <v>6</v>
      </c>
      <c r="C6" s="51">
        <v>5.5</v>
      </c>
      <c r="D6" s="51">
        <v>5.7</v>
      </c>
      <c r="E6" s="51">
        <v>4.9000000000000004</v>
      </c>
      <c r="F6" s="51">
        <v>5</v>
      </c>
      <c r="G6" s="51">
        <v>4.5999999999999996</v>
      </c>
      <c r="H6" s="51">
        <v>4.7</v>
      </c>
      <c r="I6" s="51">
        <v>5</v>
      </c>
      <c r="J6" s="51">
        <v>5</v>
      </c>
    </row>
    <row r="7" spans="2:10" ht="19.149999999999999" x14ac:dyDescent="0.6">
      <c r="B7" s="2" t="s">
        <v>10</v>
      </c>
      <c r="C7" s="51">
        <v>5.4</v>
      </c>
      <c r="D7" s="51">
        <v>4.8</v>
      </c>
      <c r="E7" s="51">
        <v>4.8</v>
      </c>
      <c r="F7" s="51">
        <v>4.7</v>
      </c>
      <c r="G7" s="51">
        <v>4.5999999999999996</v>
      </c>
      <c r="H7" s="51">
        <v>4.7</v>
      </c>
      <c r="I7" s="51">
        <v>4.5</v>
      </c>
      <c r="J7" s="51">
        <v>4.4000000000000004</v>
      </c>
    </row>
    <row r="8" spans="2:10" ht="19.149999999999999" x14ac:dyDescent="0.6">
      <c r="B8" s="2" t="s">
        <v>4</v>
      </c>
      <c r="C8" s="51">
        <v>5.2</v>
      </c>
      <c r="D8" s="51">
        <v>4.9000000000000004</v>
      </c>
      <c r="E8" s="51">
        <v>4.7</v>
      </c>
      <c r="F8" s="51">
        <v>4.9000000000000004</v>
      </c>
      <c r="G8" s="51">
        <v>5</v>
      </c>
      <c r="H8" s="51">
        <v>5.2</v>
      </c>
      <c r="I8" s="51">
        <v>5.2</v>
      </c>
      <c r="J8" s="51">
        <v>5.2</v>
      </c>
    </row>
    <row r="9" spans="2:10" ht="19.149999999999999" x14ac:dyDescent="0.6">
      <c r="B9" s="2" t="s">
        <v>7</v>
      </c>
      <c r="C9" s="51">
        <v>4.7</v>
      </c>
      <c r="D9" s="51">
        <v>4.7</v>
      </c>
      <c r="E9" s="51">
        <v>4.5</v>
      </c>
      <c r="F9" s="51">
        <v>4.5999999999999996</v>
      </c>
      <c r="G9" s="51">
        <v>4.3</v>
      </c>
      <c r="H9" s="51">
        <v>4.9000000000000004</v>
      </c>
      <c r="I9" s="51">
        <v>4.7</v>
      </c>
      <c r="J9" s="51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6:F39"/>
  <sheetViews>
    <sheetView zoomScaleNormal="100" workbookViewId="0">
      <selection activeCell="J6" sqref="J6"/>
    </sheetView>
  </sheetViews>
  <sheetFormatPr defaultColWidth="9" defaultRowHeight="15.75" x14ac:dyDescent="0.55000000000000004"/>
  <cols>
    <col min="1" max="1" width="9" style="43"/>
    <col min="2" max="2" width="9.625" style="44" customWidth="1"/>
    <col min="3" max="3" width="9.625" style="45" customWidth="1"/>
    <col min="4" max="4" width="12.375" style="45" customWidth="1"/>
    <col min="5" max="5" width="11.5" style="45" customWidth="1"/>
    <col min="6" max="6" width="9.625" style="43" customWidth="1"/>
    <col min="7" max="7" width="9" style="43"/>
    <col min="8" max="8" width="8.75" style="43" bestFit="1" customWidth="1"/>
    <col min="9" max="9" width="8.75" style="43" customWidth="1"/>
    <col min="10" max="10" width="6.75" style="43" bestFit="1" customWidth="1"/>
    <col min="11" max="12" width="9" style="43"/>
    <col min="13" max="13" width="8.75" style="43" bestFit="1" customWidth="1"/>
    <col min="14" max="14" width="8.75" style="43" customWidth="1"/>
    <col min="15" max="15" width="6.75" style="43" bestFit="1" customWidth="1"/>
    <col min="16" max="16384" width="9" style="43"/>
  </cols>
  <sheetData>
    <row r="6" spans="2:6" x14ac:dyDescent="0.55000000000000004">
      <c r="B6" s="46" t="s">
        <v>256</v>
      </c>
      <c r="C6" s="47" t="s">
        <v>0</v>
      </c>
      <c r="D6" s="47" t="s">
        <v>245</v>
      </c>
      <c r="E6" s="47" t="s">
        <v>257</v>
      </c>
      <c r="F6" s="47" t="s">
        <v>246</v>
      </c>
    </row>
    <row r="7" spans="2:6" x14ac:dyDescent="0.55000000000000004">
      <c r="B7" s="48" t="s">
        <v>258</v>
      </c>
      <c r="C7" s="49" t="s">
        <v>11</v>
      </c>
      <c r="D7" s="60">
        <v>42462</v>
      </c>
      <c r="E7" s="60">
        <v>42461</v>
      </c>
      <c r="F7" s="63">
        <f t="shared" ref="F7:F39" si="0">D7-E7</f>
        <v>1</v>
      </c>
    </row>
    <row r="8" spans="2:6" x14ac:dyDescent="0.55000000000000004">
      <c r="B8" s="48" t="s">
        <v>247</v>
      </c>
      <c r="C8" s="49" t="s">
        <v>11</v>
      </c>
      <c r="D8" s="60">
        <v>42456</v>
      </c>
      <c r="E8" s="60">
        <v>42457</v>
      </c>
      <c r="F8" s="63">
        <f t="shared" si="0"/>
        <v>-1</v>
      </c>
    </row>
    <row r="9" spans="2:6" x14ac:dyDescent="0.55000000000000004">
      <c r="B9" s="48" t="s">
        <v>248</v>
      </c>
      <c r="C9" s="49" t="s">
        <v>11</v>
      </c>
      <c r="D9" s="60">
        <v>42454</v>
      </c>
      <c r="E9" s="60">
        <v>42454</v>
      </c>
      <c r="F9" s="63">
        <f t="shared" si="0"/>
        <v>0</v>
      </c>
    </row>
    <row r="10" spans="2:6" x14ac:dyDescent="0.55000000000000004">
      <c r="B10" s="48" t="s">
        <v>259</v>
      </c>
      <c r="C10" s="49" t="s">
        <v>4</v>
      </c>
      <c r="D10" s="60">
        <v>42458</v>
      </c>
      <c r="E10" s="60">
        <v>42462</v>
      </c>
      <c r="F10" s="63">
        <f t="shared" si="0"/>
        <v>-4</v>
      </c>
    </row>
    <row r="11" spans="2:6" x14ac:dyDescent="0.55000000000000004">
      <c r="B11" s="48" t="s">
        <v>247</v>
      </c>
      <c r="C11" s="49" t="s">
        <v>4</v>
      </c>
      <c r="D11" s="60">
        <v>42456</v>
      </c>
      <c r="E11" s="60">
        <v>42456</v>
      </c>
      <c r="F11" s="63">
        <f t="shared" si="0"/>
        <v>0</v>
      </c>
    </row>
    <row r="12" spans="2:6" x14ac:dyDescent="0.55000000000000004">
      <c r="B12" s="48" t="s">
        <v>248</v>
      </c>
      <c r="C12" s="49" t="s">
        <v>4</v>
      </c>
      <c r="D12" s="60">
        <v>42448</v>
      </c>
      <c r="E12" s="60">
        <v>42452</v>
      </c>
      <c r="F12" s="63">
        <f t="shared" si="0"/>
        <v>-4</v>
      </c>
    </row>
    <row r="13" spans="2:6" x14ac:dyDescent="0.55000000000000004">
      <c r="B13" s="48" t="s">
        <v>258</v>
      </c>
      <c r="C13" s="49" t="s">
        <v>6</v>
      </c>
      <c r="D13" s="60">
        <v>42455</v>
      </c>
      <c r="E13" s="60">
        <v>42460</v>
      </c>
      <c r="F13" s="63">
        <f t="shared" si="0"/>
        <v>-5</v>
      </c>
    </row>
    <row r="14" spans="2:6" x14ac:dyDescent="0.55000000000000004">
      <c r="B14" s="48" t="s">
        <v>247</v>
      </c>
      <c r="C14" s="49" t="s">
        <v>6</v>
      </c>
      <c r="D14" s="60">
        <v>42453</v>
      </c>
      <c r="E14" s="60">
        <v>42455</v>
      </c>
      <c r="F14" s="63">
        <f t="shared" si="0"/>
        <v>-2</v>
      </c>
    </row>
    <row r="15" spans="2:6" x14ac:dyDescent="0.55000000000000004">
      <c r="B15" s="48" t="s">
        <v>248</v>
      </c>
      <c r="C15" s="49" t="s">
        <v>6</v>
      </c>
      <c r="D15" s="60">
        <v>42445</v>
      </c>
      <c r="E15" s="60">
        <v>42448</v>
      </c>
      <c r="F15" s="63">
        <f t="shared" si="0"/>
        <v>-3</v>
      </c>
    </row>
    <row r="16" spans="2:6" x14ac:dyDescent="0.55000000000000004">
      <c r="B16" s="48" t="s">
        <v>258</v>
      </c>
      <c r="C16" s="49" t="s">
        <v>7</v>
      </c>
      <c r="D16" s="60">
        <v>42460</v>
      </c>
      <c r="E16" s="60">
        <v>42465</v>
      </c>
      <c r="F16" s="63">
        <v>0</v>
      </c>
    </row>
    <row r="17" spans="2:6" x14ac:dyDescent="0.55000000000000004">
      <c r="B17" s="48" t="s">
        <v>247</v>
      </c>
      <c r="C17" s="49" t="s">
        <v>7</v>
      </c>
      <c r="D17" s="60">
        <v>42456</v>
      </c>
      <c r="E17" s="60">
        <v>42458</v>
      </c>
      <c r="F17" s="63">
        <f t="shared" si="0"/>
        <v>-2</v>
      </c>
    </row>
    <row r="18" spans="2:6" x14ac:dyDescent="0.55000000000000004">
      <c r="B18" s="48" t="s">
        <v>248</v>
      </c>
      <c r="C18" s="49" t="s">
        <v>7</v>
      </c>
      <c r="D18" s="60">
        <v>42452</v>
      </c>
      <c r="E18" s="60">
        <v>42450</v>
      </c>
      <c r="F18" s="63">
        <f t="shared" si="0"/>
        <v>2</v>
      </c>
    </row>
    <row r="19" spans="2:6" x14ac:dyDescent="0.55000000000000004">
      <c r="B19" s="48" t="s">
        <v>258</v>
      </c>
      <c r="C19" s="49" t="s">
        <v>2</v>
      </c>
      <c r="D19" s="60">
        <v>42455</v>
      </c>
      <c r="E19" s="60">
        <v>42457</v>
      </c>
      <c r="F19" s="63">
        <f t="shared" si="0"/>
        <v>-2</v>
      </c>
    </row>
    <row r="20" spans="2:6" x14ac:dyDescent="0.55000000000000004">
      <c r="B20" s="48" t="s">
        <v>247</v>
      </c>
      <c r="C20" s="49" t="s">
        <v>2</v>
      </c>
      <c r="D20" s="60">
        <v>42447</v>
      </c>
      <c r="E20" s="60">
        <v>42448</v>
      </c>
      <c r="F20" s="63">
        <f t="shared" si="0"/>
        <v>-1</v>
      </c>
    </row>
    <row r="21" spans="2:6" x14ac:dyDescent="0.55000000000000004">
      <c r="B21" s="48" t="s">
        <v>248</v>
      </c>
      <c r="C21" s="49" t="s">
        <v>2</v>
      </c>
      <c r="D21" s="60">
        <v>42445</v>
      </c>
      <c r="E21" s="60">
        <v>42446</v>
      </c>
      <c r="F21" s="63">
        <f t="shared" si="0"/>
        <v>-1</v>
      </c>
    </row>
    <row r="22" spans="2:6" x14ac:dyDescent="0.55000000000000004">
      <c r="B22" s="48" t="s">
        <v>258</v>
      </c>
      <c r="C22" s="49" t="s">
        <v>1</v>
      </c>
      <c r="D22" s="60">
        <v>42452</v>
      </c>
      <c r="E22" s="60">
        <v>42453</v>
      </c>
      <c r="F22" s="63">
        <f t="shared" si="0"/>
        <v>-1</v>
      </c>
    </row>
    <row r="23" spans="2:6" x14ac:dyDescent="0.55000000000000004">
      <c r="B23" s="48" t="s">
        <v>247</v>
      </c>
      <c r="C23" s="49" t="s">
        <v>1</v>
      </c>
      <c r="D23" s="60">
        <v>42445</v>
      </c>
      <c r="E23" s="60">
        <v>42449</v>
      </c>
      <c r="F23" s="63">
        <f t="shared" si="0"/>
        <v>-4</v>
      </c>
    </row>
    <row r="24" spans="2:6" x14ac:dyDescent="0.55000000000000004">
      <c r="B24" s="48" t="s">
        <v>248</v>
      </c>
      <c r="C24" s="49" t="s">
        <v>1</v>
      </c>
      <c r="D24" s="60">
        <v>42444</v>
      </c>
      <c r="E24" s="60">
        <v>42443</v>
      </c>
      <c r="F24" s="63">
        <f t="shared" si="0"/>
        <v>1</v>
      </c>
    </row>
    <row r="25" spans="2:6" x14ac:dyDescent="0.55000000000000004">
      <c r="B25" s="48" t="s">
        <v>258</v>
      </c>
      <c r="C25" s="49" t="s">
        <v>9</v>
      </c>
      <c r="D25" s="60">
        <v>42466</v>
      </c>
      <c r="E25" s="60">
        <v>42470</v>
      </c>
      <c r="F25" s="63">
        <f t="shared" si="0"/>
        <v>-4</v>
      </c>
    </row>
    <row r="26" spans="2:6" x14ac:dyDescent="0.55000000000000004">
      <c r="B26" s="48" t="s">
        <v>248</v>
      </c>
      <c r="C26" s="49" t="s">
        <v>9</v>
      </c>
      <c r="D26" s="60">
        <v>42456</v>
      </c>
      <c r="E26" s="60">
        <v>42455</v>
      </c>
      <c r="F26" s="63">
        <f t="shared" si="0"/>
        <v>1</v>
      </c>
    </row>
    <row r="27" spans="2:6" x14ac:dyDescent="0.55000000000000004">
      <c r="B27" s="48" t="s">
        <v>247</v>
      </c>
      <c r="C27" s="49" t="s">
        <v>9</v>
      </c>
      <c r="D27" s="60">
        <v>42456</v>
      </c>
      <c r="E27" s="60">
        <v>42458</v>
      </c>
      <c r="F27" s="63">
        <f t="shared" si="0"/>
        <v>-2</v>
      </c>
    </row>
    <row r="28" spans="2:6" x14ac:dyDescent="0.55000000000000004">
      <c r="B28" s="48" t="s">
        <v>258</v>
      </c>
      <c r="C28" s="49" t="s">
        <v>8</v>
      </c>
      <c r="D28" s="60">
        <v>42467</v>
      </c>
      <c r="E28" s="60">
        <v>42470</v>
      </c>
      <c r="F28" s="63">
        <f t="shared" si="0"/>
        <v>-3</v>
      </c>
    </row>
    <row r="29" spans="2:6" x14ac:dyDescent="0.55000000000000004">
      <c r="B29" s="48" t="s">
        <v>247</v>
      </c>
      <c r="C29" s="49" t="s">
        <v>8</v>
      </c>
      <c r="D29" s="60">
        <v>42459</v>
      </c>
      <c r="E29" s="60">
        <v>42460</v>
      </c>
      <c r="F29" s="63">
        <f t="shared" si="0"/>
        <v>-1</v>
      </c>
    </row>
    <row r="30" spans="2:6" x14ac:dyDescent="0.55000000000000004">
      <c r="B30" s="48" t="s">
        <v>248</v>
      </c>
      <c r="C30" s="49" t="s">
        <v>8</v>
      </c>
      <c r="D30" s="60">
        <v>42458</v>
      </c>
      <c r="E30" s="60">
        <v>42460</v>
      </c>
      <c r="F30" s="63">
        <f t="shared" si="0"/>
        <v>-2</v>
      </c>
    </row>
    <row r="31" spans="2:6" x14ac:dyDescent="0.55000000000000004">
      <c r="B31" s="48" t="s">
        <v>258</v>
      </c>
      <c r="C31" s="49" t="s">
        <v>3</v>
      </c>
      <c r="D31" s="60">
        <v>42458</v>
      </c>
      <c r="E31" s="60">
        <v>42462</v>
      </c>
      <c r="F31" s="63">
        <f t="shared" si="0"/>
        <v>-4</v>
      </c>
    </row>
    <row r="32" spans="2:6" x14ac:dyDescent="0.55000000000000004">
      <c r="B32" s="48" t="s">
        <v>248</v>
      </c>
      <c r="C32" s="49" t="s">
        <v>3</v>
      </c>
      <c r="D32" s="60">
        <v>42453</v>
      </c>
      <c r="E32" s="60">
        <v>42452</v>
      </c>
      <c r="F32" s="63">
        <f t="shared" si="0"/>
        <v>1</v>
      </c>
    </row>
    <row r="33" spans="2:6" x14ac:dyDescent="0.55000000000000004">
      <c r="B33" s="48" t="s">
        <v>247</v>
      </c>
      <c r="C33" s="49" t="s">
        <v>3</v>
      </c>
      <c r="D33" s="60">
        <v>42452</v>
      </c>
      <c r="E33" s="60">
        <v>42449</v>
      </c>
      <c r="F33" s="63">
        <f t="shared" si="0"/>
        <v>3</v>
      </c>
    </row>
    <row r="34" spans="2:6" x14ac:dyDescent="0.55000000000000004">
      <c r="B34" s="48" t="s">
        <v>260</v>
      </c>
      <c r="C34" s="49" t="s">
        <v>10</v>
      </c>
      <c r="D34" s="60">
        <v>42469</v>
      </c>
      <c r="E34" s="60">
        <v>42473</v>
      </c>
      <c r="F34" s="63">
        <f t="shared" si="0"/>
        <v>-4</v>
      </c>
    </row>
    <row r="35" spans="2:6" x14ac:dyDescent="0.55000000000000004">
      <c r="B35" s="48" t="s">
        <v>261</v>
      </c>
      <c r="C35" s="49" t="s">
        <v>10</v>
      </c>
      <c r="D35" s="60">
        <v>42464</v>
      </c>
      <c r="E35" s="60">
        <v>42464</v>
      </c>
      <c r="F35" s="63">
        <f t="shared" si="0"/>
        <v>0</v>
      </c>
    </row>
    <row r="36" spans="2:6" x14ac:dyDescent="0.55000000000000004">
      <c r="B36" s="48" t="s">
        <v>248</v>
      </c>
      <c r="C36" s="49" t="s">
        <v>10</v>
      </c>
      <c r="D36" s="60">
        <v>42462</v>
      </c>
      <c r="E36" s="60">
        <v>42462</v>
      </c>
      <c r="F36" s="63">
        <f t="shared" si="0"/>
        <v>0</v>
      </c>
    </row>
    <row r="37" spans="2:6" x14ac:dyDescent="0.55000000000000004">
      <c r="B37" s="48" t="s">
        <v>258</v>
      </c>
      <c r="C37" s="49" t="s">
        <v>5</v>
      </c>
      <c r="D37" s="60">
        <v>42460</v>
      </c>
      <c r="E37" s="60">
        <v>42465</v>
      </c>
      <c r="F37" s="63">
        <f t="shared" si="0"/>
        <v>-5</v>
      </c>
    </row>
    <row r="38" spans="2:6" x14ac:dyDescent="0.55000000000000004">
      <c r="B38" s="48" t="s">
        <v>247</v>
      </c>
      <c r="C38" s="49" t="s">
        <v>5</v>
      </c>
      <c r="D38" s="60">
        <v>42457</v>
      </c>
      <c r="E38" s="60">
        <v>42459</v>
      </c>
      <c r="F38" s="63">
        <f t="shared" si="0"/>
        <v>-2</v>
      </c>
    </row>
    <row r="39" spans="2:6" x14ac:dyDescent="0.55000000000000004">
      <c r="B39" s="48" t="s">
        <v>262</v>
      </c>
      <c r="C39" s="49" t="s">
        <v>5</v>
      </c>
      <c r="D39" s="60">
        <v>42452</v>
      </c>
      <c r="E39" s="60">
        <v>42455</v>
      </c>
      <c r="F39" s="63">
        <f t="shared" si="0"/>
        <v>-3</v>
      </c>
    </row>
  </sheetData>
  <sortState xmlns:xlrd2="http://schemas.microsoft.com/office/spreadsheetml/2017/richdata2" ref="B7:F39">
    <sortCondition ref="B8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4:P17"/>
  <sheetViews>
    <sheetView tabSelected="1" workbookViewId="0">
      <selection activeCell="J5" sqref="J5"/>
    </sheetView>
  </sheetViews>
  <sheetFormatPr defaultRowHeight="16.899999999999999" x14ac:dyDescent="0.6"/>
  <cols>
    <col min="2" max="3" width="9" style="3"/>
    <col min="4" max="8" width="9" style="8"/>
    <col min="9" max="9" width="10.5" style="8" bestFit="1" customWidth="1"/>
    <col min="10" max="10" width="10.5" style="9" bestFit="1" customWidth="1"/>
  </cols>
  <sheetData>
    <row r="4" spans="2:16" ht="17.25" thickBot="1" x14ac:dyDescent="0.65">
      <c r="B4" s="3" t="s">
        <v>158</v>
      </c>
      <c r="J4"/>
      <c r="O4" t="s">
        <v>159</v>
      </c>
    </row>
    <row r="5" spans="2:16" ht="17.25" thickBot="1" x14ac:dyDescent="0.65">
      <c r="B5" s="10" t="s">
        <v>160</v>
      </c>
      <c r="C5" s="11" t="s">
        <v>161</v>
      </c>
      <c r="D5" s="12" t="s">
        <v>162</v>
      </c>
      <c r="E5" s="12" t="s">
        <v>163</v>
      </c>
      <c r="F5" s="12" t="s">
        <v>164</v>
      </c>
      <c r="G5" s="12" t="s">
        <v>165</v>
      </c>
      <c r="H5" s="12" t="s">
        <v>166</v>
      </c>
      <c r="I5" s="13" t="s">
        <v>229</v>
      </c>
      <c r="J5"/>
      <c r="O5" s="10" t="s">
        <v>160</v>
      </c>
      <c r="P5" s="11" t="s">
        <v>161</v>
      </c>
    </row>
    <row r="6" spans="2:16" x14ac:dyDescent="0.6">
      <c r="B6" s="3">
        <v>1628002</v>
      </c>
      <c r="C6" s="3" t="s">
        <v>167</v>
      </c>
      <c r="D6" s="8">
        <v>0</v>
      </c>
      <c r="E6" s="8">
        <v>0</v>
      </c>
      <c r="F6" s="8">
        <v>20</v>
      </c>
      <c r="G6" s="8">
        <v>20</v>
      </c>
      <c r="H6" s="8">
        <v>60</v>
      </c>
      <c r="I6" s="9"/>
      <c r="J6"/>
      <c r="O6" s="14">
        <v>1628002</v>
      </c>
      <c r="P6" s="14" t="s">
        <v>167</v>
      </c>
    </row>
    <row r="7" spans="2:16" x14ac:dyDescent="0.6">
      <c r="B7" s="3">
        <v>1628011</v>
      </c>
      <c r="C7" s="3" t="s">
        <v>168</v>
      </c>
      <c r="D7" s="8">
        <v>4</v>
      </c>
      <c r="E7" s="8">
        <v>1</v>
      </c>
      <c r="F7" s="8">
        <v>11</v>
      </c>
      <c r="G7" s="8">
        <v>15</v>
      </c>
      <c r="H7" s="8">
        <v>40</v>
      </c>
      <c r="I7" s="9" t="s">
        <v>169</v>
      </c>
      <c r="J7"/>
      <c r="O7" s="14">
        <v>1628011</v>
      </c>
      <c r="P7" s="14" t="s">
        <v>168</v>
      </c>
    </row>
    <row r="8" spans="2:16" x14ac:dyDescent="0.6">
      <c r="B8" s="3">
        <v>1628019</v>
      </c>
      <c r="C8" s="3" t="s">
        <v>171</v>
      </c>
      <c r="D8" s="8">
        <v>4</v>
      </c>
      <c r="E8" s="8">
        <v>1</v>
      </c>
      <c r="F8" s="8">
        <v>11</v>
      </c>
      <c r="G8" s="8">
        <v>15</v>
      </c>
      <c r="H8" s="8">
        <v>50</v>
      </c>
      <c r="I8" s="8" t="s">
        <v>169</v>
      </c>
      <c r="O8" s="14">
        <v>1628015</v>
      </c>
      <c r="P8" s="14" t="s">
        <v>170</v>
      </c>
    </row>
    <row r="9" spans="2:16" x14ac:dyDescent="0.6">
      <c r="B9" s="3">
        <v>1628025</v>
      </c>
      <c r="C9" s="3" t="s">
        <v>173</v>
      </c>
      <c r="D9" s="8">
        <v>0</v>
      </c>
      <c r="E9" s="8">
        <v>0</v>
      </c>
      <c r="F9" s="8">
        <v>20</v>
      </c>
      <c r="G9" s="8">
        <v>20</v>
      </c>
      <c r="H9" s="8">
        <v>60</v>
      </c>
      <c r="O9" s="14">
        <v>1628019</v>
      </c>
      <c r="P9" s="14" t="s">
        <v>171</v>
      </c>
    </row>
    <row r="10" spans="2:16" x14ac:dyDescent="0.6">
      <c r="O10" s="14">
        <v>1628020</v>
      </c>
      <c r="P10" s="14" t="s">
        <v>172</v>
      </c>
    </row>
    <row r="11" spans="2:16" x14ac:dyDescent="0.6">
      <c r="O11" s="14">
        <v>1628025</v>
      </c>
      <c r="P11" s="14" t="s">
        <v>173</v>
      </c>
    </row>
    <row r="12" spans="2:16" x14ac:dyDescent="0.6">
      <c r="O12" s="14">
        <v>1628046</v>
      </c>
      <c r="P12" s="14" t="s">
        <v>174</v>
      </c>
    </row>
    <row r="13" spans="2:16" x14ac:dyDescent="0.6">
      <c r="O13" s="14">
        <v>1628048</v>
      </c>
      <c r="P13" s="14" t="s">
        <v>175</v>
      </c>
    </row>
    <row r="14" spans="2:16" x14ac:dyDescent="0.6">
      <c r="O14" s="14">
        <v>1628060</v>
      </c>
      <c r="P14" s="14" t="s">
        <v>176</v>
      </c>
    </row>
    <row r="15" spans="2:16" x14ac:dyDescent="0.6">
      <c r="O15" s="14">
        <v>1628062</v>
      </c>
      <c r="P15" s="14" t="s">
        <v>177</v>
      </c>
    </row>
    <row r="16" spans="2:16" x14ac:dyDescent="0.6">
      <c r="O16" s="14">
        <v>1628074</v>
      </c>
      <c r="P16" s="14" t="s">
        <v>178</v>
      </c>
    </row>
    <row r="17" spans="15:16" x14ac:dyDescent="0.6">
      <c r="O17" s="14">
        <v>1628077</v>
      </c>
      <c r="P17" s="14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2020-07-12T15:14:26Z</cp:lastPrinted>
  <dcterms:created xsi:type="dcterms:W3CDTF">2016-03-30T00:01:18Z</dcterms:created>
  <dcterms:modified xsi:type="dcterms:W3CDTF">2023-06-19T16:04:59Z</dcterms:modified>
</cp:coreProperties>
</file>