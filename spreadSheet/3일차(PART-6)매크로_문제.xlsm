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ls" ContentType="application/vnd.ms-excel"/>
  <Default Extension="xlsx" ContentType="application/vnd.openxmlformats-officedocument.spreadsheetml.sheet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mondi\Downloads\컴활2급실기_5일만에 합격하기_버전2.0\5일만에 합격하기_자료집\3일차\"/>
    </mc:Choice>
  </mc:AlternateContent>
  <x:bookViews>
    <x:workbookView xWindow="0" yWindow="0" windowWidth="21345" windowHeight="8640" tabRatio="664" firstSheet="1" activeTab="7"/>
  </x:bookViews>
  <x:sheets>
    <x:sheet name="매크로작업1" sheetId="1" r:id="rId4"/>
    <x:sheet name="매크로작업2" sheetId="2" r:id="rId5"/>
    <x:sheet name="매크로작업3" sheetId="3" r:id="rId6"/>
    <x:sheet name="매크로작업4" sheetId="4" r:id="rId7"/>
    <x:sheet name="매크로작업5" sheetId="5" r:id="rId8"/>
    <x:sheet name="매크로작업6" sheetId="6" r:id="rId9"/>
    <x:sheet name="매크로작업7" sheetId="7" r:id="rId10"/>
    <x:sheet name="매크로작업8" sheetId="8" r:id="rId11"/>
  </x:sheets>
  <x:externalReferences>
    <x:externalReference r:id="rId12"/>
    <x:externalReference r:id="rId13"/>
  </x:externalReferences>
  <x:definedNames>
    <x:definedName name="배점">'[C:/Users/missi/Documents/01_중요자료/04_컴활2급실기/01_기출문제 시리즈/19_2022_상시 1회/01_컴활2급실기(스프레드시트)상시문제풀이_2022년1회_문제.xlsm]기본작업-2'!#REF!</x:definedName>
    <x:definedName name="수강과목">'[C:/Users/missi/Google 드라이브/★후평동학원문서 공유폴더★/01 씨앗학원/기아폴더/수강목록.xlsx]수강과목(일반,대학생)'!$C$4:$C$22</x:definedName>
    <x:definedName name="수강과목2">'[C:/Users/missi/Google 드라이브/★후평동학원문서 공유폴더★/01 씨앗학원/기아폴더/수강목록.xlsx] 수강목록'!$C$4:$C$13</x:definedName>
    <x:definedName name="오픈일자" localSheetId="5">#REF!</x:definedName>
    <x:definedName name="오픈일자" localSheetId="6">#REF!</x:definedName>
    <x:definedName name="오픈일자">#REF!</x:definedName>
    <x:definedName name="학점이" localSheetId="5">#REF!</x:definedName>
    <x:definedName name="학점이" localSheetId="6">#REF!</x:definedName>
    <x:definedName name="학점이">#REF!</x:definedName>
    <x:definedName name="학점표" localSheetId="5">#REF!</x:definedName>
    <x:definedName name="학점표" localSheetId="6">#REF!</x:definedName>
    <x:definedName name="학점표">#REF!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<x:sst xmlns:r="http://schemas.openxmlformats.org/officeDocument/2006/relationships" xmlns:c="http://schemas.openxmlformats.org/drawingml/2006/chart" xmlns:x="http://schemas.openxmlformats.org/spreadsheetml/2006/main" count="205" uniqueCount="154">
  <x:si>
    <x:t>그녀는 살아 있다.</x:t>
  </x:si>
  <x:si>
    <x:t>And_E789</x:t>
  </x:si>
  <x:si>
    <x:t>And_E216</x:t>
  </x:si>
  <x:si>
    <x:t>And_E516</x:t>
  </x:si>
  <x:si>
    <x:t>단과대학 졸업 현황</x:t>
  </x:si>
  <x:si>
    <x:t>And_G003</x:t>
  </x:si>
  <x:si>
    <x:t>And_G023</x:t>
  </x:si>
  <x:si>
    <x:t>And_G004</x:t>
  </x:si>
  <x:si>
    <x:t>급 여 명 세 표</x:t>
  </x:si>
  <x:si>
    <x:t>And_G061</x:t>
  </x:si>
  <x:si>
    <x:t>모의고사 성적표</x:t>
  </x:si>
  <x:si>
    <x:t>And_E432</x:t>
  </x:si>
  <x:si>
    <x:t>어플 매출 판매량 표</x:t>
  </x:si>
  <x:si>
    <x:t>2월 전자제품 판매현황</x:t>
  </x:si>
  <x:si>
    <x:t>KS(경기서부) 리그 경기결과</x:t>
  </x:si>
  <x:si>
    <x:t>[표1] 기풍대학 취업률 현황</x:t>
  </x:si>
  <x:si>
    <x:t>최면수</x:t>
  </x:si>
  <x:si>
    <x:t>김유심</x:t>
  </x:si>
  <x:si>
    <x:t>김은주</x:t>
  </x:si>
  <x:si>
    <x:t>입대자</x:t>
  </x:si>
  <x:si>
    <x:t>이익률</x:t>
  </x:si>
  <x:si>
    <x:t>이성수</x:t>
  </x:si>
  <x:si>
    <x:t>상무</x:t>
  </x:si>
  <x:si>
    <x:t>김보라</x:t>
  </x:si>
  <x:si>
    <x:t>조강민</x:t>
  </x:si>
  <x:si>
    <x:t>한기석</x:t>
  </x:si>
  <x:si>
    <x:t>서주원</x:t>
  </x:si>
  <x:si>
    <x:t>박상도</x:t>
  </x:si>
  <x:si>
    <x:t>상여금</x:t>
  </x:si>
  <x:si>
    <x:t>부산</x:t>
  </x:si>
  <x:si>
    <x:t>취업률</x:t>
  </x:si>
  <x:si>
    <x:t>직위</x:t>
  </x:si>
  <x:si>
    <x:t>프린터</x:t>
  </x:si>
  <x:si>
    <x:t>철학과</x:t>
  </x:si>
  <x:si>
    <x:t>과장</x:t>
  </x:si>
  <x:si>
    <x:t>김시운</x:t>
  </x:si>
  <x:si>
    <x:t>예체능</x:t>
  </x:si>
  <x:si>
    <x:t>부장</x:t>
  </x:si>
  <x:si>
    <x:t>비율</x:t>
  </x:si>
  <x:si>
    <x:t>자연</x:t>
  </x:si>
  <x:si>
    <x:t>이설화</x:t>
  </x:si>
  <x:si>
    <x:t>천수만</x:t>
  </x:si>
  <x:si>
    <x:t>전무</x:t>
  </x:si>
  <x:si>
    <x:t>기본급</x:t>
  </x:si>
  <x:si>
    <x:t>지역</x:t>
  </x:si>
  <x:si>
    <x:t>대표</x:t>
  </x:si>
  <x:si>
    <x:t>대리</x:t>
  </x:si>
  <x:si>
    <x:t>학과</x:t>
  </x:si>
  <x:si>
    <x:t>광주</x:t>
  </x:si>
  <x:si>
    <x:t>졸업자</x:t>
  </x:si>
  <x:si>
    <x:t>성명</x:t>
  </x:si>
  <x:si>
    <x:t>이영숙</x:t>
  </x:si>
  <x:si>
    <x:t>진학자</x:t>
  </x:si>
  <x:si>
    <x:t>제품명</x:t>
  </x:si>
  <x:si>
    <x:t>창업자</x:t>
  </x:si>
  <x:si>
    <x:t>이민우</x:t>
  </x:si>
  <x:si>
    <x:t>판매량</x:t>
  </x:si>
  <x:si>
    <x:t>애나벨</x:t>
  </x:si>
  <x:si>
    <x:t>갤러그</x:t>
  </x:si>
  <x:si>
    <x:t>금액</x:t>
  </x:si>
  <x:si>
    <x:t>한글</x:t>
  </x:si>
  <x:si>
    <x:t>영화</x:t>
  </x:si>
  <x:si>
    <x:t>부산행</x:t>
  </x:si>
  <x:si>
    <x:t>매출액</x:t>
  </x:si>
  <x:si>
    <x:t>교육</x:t>
  </x:si>
  <x:si>
    <x:t>신수라</x:t>
  </x:si>
  <x:si>
    <x:t>입고량</x:t>
  </x:si>
  <x:si>
    <x:t>담당자</x:t>
  </x:si>
  <x:si>
    <x:t>노트북</x:t>
  </x:si>
  <x:si>
    <x:t>허남용</x:t>
  </x:si>
  <x:si>
    <x:t>문지섭</x:t>
  </x:si>
  <x:si>
    <x:t>게임</x:t>
  </x:si>
  <x:si>
    <x:t>강정동</x:t>
  </x:si>
  <x:si>
    <x:t>남세연</x:t>
  </x:si>
  <x:si>
    <x:t>유지원</x:t>
  </x:si>
  <x:si>
    <x:t>윤서민</x:t>
  </x:si>
  <x:si>
    <x:t>입고일</x:t>
  </x:si>
  <x:si>
    <x:t>직쏘</x:t>
  </x:si>
  <x:si>
    <x:t>구분</x:t>
  </x:si>
  <x:si>
    <x:t>경기</x:t>
  </x:si>
  <x:si>
    <x:t>서울</x:t>
  </x:si>
  <x:si>
    <x:t>강원</x:t>
  </x:si>
  <x:si>
    <x:t>송미율</x:t>
  </x:si>
  <x:si>
    <x:t>순이익</x:t>
  </x:si>
  <x:si>
    <x:t>김국영</x:t>
  </x:si>
  <x:si>
    <x:t>박세균</x:t>
  </x:si>
  <x:si>
    <x:t>스캐너</x:t>
  </x:si>
  <x:si>
    <x:t>오산</x:t>
  </x:si>
  <x:si>
    <x:t>수원</x:t>
  </x:si>
  <x:si>
    <x:t>군포</x:t>
  </x:si>
  <x:si>
    <x:t>볼란테</x:t>
  </x:si>
  <x:si>
    <x:t>계열</x:t>
  </x:si>
  <x:si>
    <x:t>인문</x:t>
  </x:si>
  <x:si>
    <x:t>안양</x:t>
  </x:si>
  <x:si>
    <x:t>승점</x:t>
  </x:si>
  <x:si>
    <x:t>팀명</x:t>
  </x:si>
  <x:si>
    <x:t>시흥</x:t>
  </x:si>
  <x:si>
    <x:t>학번</x:t>
  </x:si>
  <x:si>
    <x:t>영어</x:t>
  </x:si>
  <x:si>
    <x:t>안산</x:t>
  </x:si>
  <x:si>
    <x:t>무</x:t>
  </x:si>
  <x:si>
    <x:t>환율</x:t>
  </x:si>
  <x:si>
    <x:t>금정</x:t>
  </x:si>
  <x:si>
    <x:t>광명</x:t>
  </x:si>
  <x:si>
    <x:t>수학</x:t>
  </x:si>
  <x:si>
    <x:t>핫슛</x:t>
  </x:si>
  <x:si>
    <x:t>발로차</x:t>
  </x:si>
  <x:si>
    <x:t>피닉스</x:t>
  </x:si>
  <x:si>
    <x:t>패</x:t>
  </x:si>
  <x:si>
    <x:t>승</x:t>
  </x:si>
  <x:si>
    <x:t>철권</x:t>
  </x:si>
  <x:si>
    <x:t>국어</x:t>
  </x:si>
  <x:si>
    <x:t>연고지</x:t>
  </x:si>
  <x:si>
    <x:t>화성</x:t>
  </x:si>
  <x:si>
    <x:t>M0305</x:t>
  </x:si>
  <x:si>
    <x:t>M0306</x:t>
  </x:si>
  <x:si>
    <x:t>레볼루션</x:t>
  </x:si>
  <x:si>
    <x:t>총급여액</x:t>
  </x:si>
  <x:si>
    <x:t>비바FC</x:t>
  </x:si>
  <x:si>
    <x:t>유니샤크</x:t>
  </x:si>
  <x:si>
    <x:t>가격(달러)</x:t>
  </x:si>
  <x:si>
    <x:t>슛돌FC</x:t>
  </x:si>
  <x:si>
    <x:t>M0302</x:t>
  </x:si>
  <x:si>
    <x:t>최고점수</x:t>
  </x:si>
  <x:si>
    <x:t>M0304</x:t>
  </x:si>
  <x:si>
    <x:t>M0303</x:t>
  </x:si>
  <x:si>
    <x:t>M0308</x:t>
  </x:si>
  <x:si>
    <x:t>M0307</x:t>
  </x:si>
  <x:si>
    <x:t>[표1]</x:t>
  </x:si>
  <x:si>
    <x:t>근속기간</x:t>
  </x:si>
  <x:si>
    <x:t>레전드FC</x:t>
  </x:si>
  <x:si>
    <x:t>M0301</x:t>
  </x:si>
  <x:si>
    <x:t>국어국문학과</x:t>
  </x:si>
  <x:si>
    <x:t>중어중문학과</x:t>
  </x:si>
  <x:si>
    <x:t>영어영문학과</x:t>
  </x:si>
  <x:si>
    <x:t>고스트오브워</x:t>
  </x:si>
  <x:si>
    <x:t>판매량합계</x:t>
  </x:si>
  <x:si>
    <x:t>건강보험연계</x:t>
  </x:si>
  <x:si>
    <x:t>엑셀기초</x:t>
  </x:si>
  <x:si>
    <x:t>요로나이 저주</x:t>
  </x:si>
  <x:si>
    <x:t>문헌정보학과</x:t>
  </x:si>
  <x:si>
    <x:t>어플이름</x:t>
  </x:si>
  <x:si>
    <x:t>공포의 묘지</x:t>
  </x:si>
  <x:si>
    <x:t>환율(1달러)</x:t>
  </x:si>
  <x:si>
    <x:t>다운로드수</x:t>
  </x:si>
  <x:si>
    <x:t>두더지 잡기</x:t>
  </x:si>
  <x:si>
    <x:t>컨저링3</x:t>
  </x:si>
  <x:si>
    <x:t>역사학과</x:t>
  </x:si>
  <x:si>
    <x:t>프리랜서</x:t>
  </x:si>
  <x:si>
    <x:t>가격($)</x:t>
  </x:si>
  <x:si>
    <x:t>파워포인트</x:t>
  </x:si>
  <x:si>
    <x:t>어플코드</x:t>
  </x:si>
  <x:si>
    <x:t>판매단가</x:t>
  </x:si>
  <x:si>
    <x:t>데이터베이스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</x:si>
</x:sst>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3">
    <x:numFmt numFmtId="164" formatCode="mm&quot;월&quot;\ dd&quot;일&quot;"/>
    <x:numFmt numFmtId="165" formatCode="&quot;₩&quot;#,##0"/>
    <x:numFmt numFmtId="166" formatCode="#,##0&quot;원&quot;"/>
  </x:numFmts>
  <x:fonts count="15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돋움"/>
      <x:sz val="11"/>
      <x:color rgb="ff000000"/>
    </x:font>
    <x:font>
      <x:name val="돋움"/>
      <x:sz val="12"/>
      <x:color rgb="ff000000"/>
      <x:b val="1"/>
    </x:font>
    <x:font>
      <x:name val="맑은 고딕"/>
      <x:sz val="11"/>
      <x:color rgb="ff5b9bd5"/>
    </x:font>
    <x:font>
      <x:name val="맑은 고딕"/>
      <x:sz val="14"/>
      <x:color rgb="ff000000"/>
      <x:b val="1"/>
    </x:font>
    <x:font>
      <x:name val="맑은 고딕"/>
      <x:sz val="16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ffffff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ffff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ffffff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ffffff"/>
        </x:font>
      </mc:Fallback>
    </mc:AlternateContent>
  </x:fonts>
  <x:fills count="4">
    <x:fill>
      <x:patternFill patternType="none"/>
    </x:fill>
    <x:fill>
      <x:patternFill patternType="gray125"/>
    </x:fill>
    <x:fill>
      <x:patternFill patternType="solid">
        <x:fgColor rgb="ffc0c0c0"/>
        <x:bgColor indexed="64"/>
      </x:patternFill>
    </x:fill>
    <x:fill>
      <x:patternFill patternType="solid">
        <x:fgColor rgb="ffffff00"/>
        <x:bgColor indexed="64"/>
      </x:patternFill>
    </x:fill>
  </x:fills>
  <x:borders count="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</x:borders>
  <x:cellStyleXfs count="8">
    <x:xf numFmtId="0" fontId="0" fillId="0" borderId="0">
      <x:alignment horizontal="general" vertical="center"/>
    </x:xf>
    <x:xf numFmtId="9" fontId="0" fillId="0" borderId="0" applyFont="1" applyFill="1" applyBorder="1" applyAlignment="1" applyProtection="1">
      <x:alignment horizontal="general" vertical="center"/>
    </x:xf>
    <x:xf numFmtId="41" fontId="0" fillId="0" borderId="0" applyFont="1" applyFill="1" applyBorder="1" applyAlignment="1" applyProtection="1">
      <x:alignment horizontal="general" vertical="center"/>
    </x:xf>
    <x:xf numFmtId="0" fontId="6" fillId="0" borderId="0">
      <x:alignment horizontal="general" vertical="bottom"/>
    </x:xf>
    <x:xf numFmtId="41" fontId="6" fillId="0" borderId="0">
      <x:alignment horizontal="general" vertical="center"/>
    </x:xf>
    <x:xf numFmtId="0" fontId="6" fillId="0" borderId="0">
      <x:alignment horizontal="general" vertical="center"/>
    </x:xf>
    <x:xf numFmtId="0" fontId="0" fillId="0" borderId="0">
      <x:alignment horizontal="general" vertical="center"/>
    </x:xf>
    <x:xf numFmtId="41" fontId="6" fillId="0" borderId="0">
      <x:alignment horizontal="general" vertical="bottom"/>
    </x:xf>
  </x:cellStyleXfs>
  <x:cellXfs count="35">
    <x:xf numFmtId="0" fontId="0" fillId="0" borderId="0" xfId="0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Border="1" applyAlignment="1">
          <x:alignment horizontal="center" vertical="center"/>
        </x:xf>
      </mc:Fallback>
    </mc:AlternateContent>
    <x:xf numFmtId="0" fontId="0" fillId="0" borderId="1" xfId="0" applyNumberFormat="1" applyBorder="1">
      <x:alignment horizontal="general" vertical="center"/>
    </x:xf>
    <x:xf numFmtId="0" fontId="7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1" xfId="3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3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2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1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1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6" fillId="0" borderId="1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6" fillId="0" borderId="1" xfId="4" applyNumberFormat="1" applyFont="1" applyBorder="1" applyAlignment="1">
          <x:alignment horizontal="center" vertical="center"/>
        </x:xf>
      </mc:Fallback>
    </mc:AlternateContent>
    <x:xf numFmtId="41" fontId="6" fillId="0" borderId="1" xfId="4" applyNumberFormat="1" applyFont="1" applyBorder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x:xf numFmtId="9" fontId="0" fillId="0" borderId="1" xfId="1" applyNumberFormat="1" applyFont="1" applyBorder="1">
      <x:alignment horizontal="general" vertical="center"/>
    </x:xf>
    <x:xf numFmtId="10" fontId="0" fillId="0" borderId="1" xfId="1" applyNumberFormat="1" applyFont="1" applyBorder="1">
      <x:alignment horizontal="general" vertical="center"/>
    </x:xf>
    <x:xf numFmtId="0" fontId="0" fillId="0" borderId="0" xfId="6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6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6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6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6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" xfId="6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6" applyNumberFormat="1" applyFont="1" applyBorder="1" applyAlignment="1">
          <x:alignment horizontal="center" vertical="center"/>
        </x:xf>
      </mc:Fallback>
    </mc:AlternateContent>
    <x:xf numFmtId="165" fontId="0" fillId="0" borderId="1" xfId="2" applyNumberFormat="1" applyFont="1" applyBorder="1" applyAlignment="1">
      <x:alignment horizontal="general" vertical="center"/>
    </x:xf>
    <x:xf numFmtId="165" fontId="0" fillId="0" borderId="1" xfId="7" applyNumberFormat="1" applyFont="1" applyBorder="1" applyAlignment="1">
      <x:alignment horizontal="general" vertical="center"/>
    </x:xf>
    <x:xf numFmtId="166" fontId="0" fillId="0" borderId="0" xfId="2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41" fontId="0" fillId="0" borderId="1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1" xfId="2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2" applyNumberFormat="1" applyFont="1" applyBorder="1" applyAlignment="1">
          <x:alignment horizontal="right" vertical="center"/>
        </x:xf>
      </mc:Fallback>
    </mc:AlternateContent>
    <x:xf numFmtId="4" fontId="0" fillId="0" borderId="1" xfId="0" applyNumberFormat="1" applyBorder="1">
      <x:alignment horizontal="general" vertical="center"/>
    </x:xf>
    <x:xf numFmtId="0" fontId="0" fillId="0" borderId="0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8" fillId="3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3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6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6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3" borderId="1" xfId="3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3" borderId="1" xfId="3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3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3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3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3" borderId="1" xfId="5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1" xfId="5" applyNumberFormat="1" applyFont="1" applyFill="1" applyBorder="1" applyAlignment="1">
          <x:alignment horizontal="center" vertical="center"/>
        </x:xf>
      </mc:Fallback>
    </mc:AlternateContent>
    <x:xf numFmtId="6" fontId="0" fillId="0" borderId="1" xfId="0" applyNumberFormat="1" applyFont="1" applyFill="1" applyBorder="1" applyAlignment="1" applyProtection="1">
      <x:alignment horizontal="general" vertical="center"/>
    </x:xf>
  </x:cellXfs>
  <x:cellStyles count="8">
    <x:cellStyle name="표준" xfId="0" builtinId="0"/>
    <x:cellStyle name="백분율" xfId="1" builtinId="5"/>
    <x:cellStyle name="쉼표 [0]" xfId="2" builtinId="6"/>
    <x:cellStyle name="표준_매크로작업" xfId="3"/>
    <x:cellStyle name="쉼표 [0] 2" xfId="4"/>
    <x:cellStyle name="표준 2" xfId="5"/>
    <x:cellStyle name="표준 2 2" xfId="6"/>
    <x:cellStyle name="쉼표 [0] 2 2" xfId="7"/>
  </x:cellStyles>
  <x:dxfs count="0"/>
  <x:tableStyles count="0" defaultTableStyle="TableStyleMedium2" defaultPivotStyle="PivotStyleLight16"/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10" Type="http://schemas.openxmlformats.org/officeDocument/2006/relationships/worksheet" Target="worksheets/sheet7.xml"  /><Relationship Id="rId11" Type="http://schemas.openxmlformats.org/officeDocument/2006/relationships/worksheet" Target="worksheets/sheet8.xml"  /><Relationship Id="rId12" Type="http://schemas.openxmlformats.org/officeDocument/2006/relationships/externalLink" Target="externalLinks/externalLink1.xml"  /><Relationship Id="rId13" Type="http://schemas.openxmlformats.org/officeDocument/2006/relationships/externalLink" Target="externalLinks/externalLink2.xml"  /><Relationship Id="rId14" Type="http://schemas.microsoft.com/office/2006/relationships/vbaProject" Target="vbaProject.bin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openxmlformats.org/officeDocument/2006/relationships/worksheet" Target="worksheets/sheet6.xml"  /></Relationships>
</file>

<file path=xl/drawings/drawing15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6</xdr:col>
      <xdr:colOff>676275</xdr:colOff>
      <xdr:row>1</xdr:row>
      <xdr:rowOff>0</xdr:rowOff>
    </xdr:from>
    <xdr:to>
      <xdr:col>8</xdr:col>
      <xdr:colOff>676275</xdr:colOff>
      <xdr:row>4</xdr:row>
      <xdr:rowOff>0</xdr:rowOff>
    </xdr:to>
    <xdr:sp macro="승점" fLocksText="1" fPublished="0">
      <xdr:nvSpPr>
        <xdr:cNvPr id="3" name="십자형 2"/>
        <xdr:cNvSpPr>
          <a:spLocks noRot="1"/>
        </xdr:cNvSpPr>
      </xdr:nvSpPr>
      <xdr:spPr>
        <a:xfrm>
          <a:off x="9620250" y="523875"/>
          <a:ext cx="2743200" cy="1257300"/>
        </a:xfrm>
        <a:prstGeom prst="plus">
          <a:avLst>
            <a:gd name="adj" fmla="val 25000"/>
          </a:avLst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l" eaLnBrk="0" latinLnBrk="0">
            <a:lnSpc>
              <a:spcPct val="100000"/>
            </a:lnSpc>
          </a:pPr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승점</a:t>
          </a:r>
        </a:p>
      </xdr:txBody>
    </xdr:sp>
    <xdr:clientData fLocksWithSheet="1" fPrintsWithSheet="1"/>
  </xdr:twoCellAnchor>
  <xdr:twoCellAnchor>
    <xdr:from>
      <xdr:col>6</xdr:col>
      <xdr:colOff>676275</xdr:colOff>
      <xdr:row>5</xdr:row>
      <xdr:rowOff>0</xdr:rowOff>
    </xdr:from>
    <xdr:to>
      <xdr:col>8</xdr:col>
      <xdr:colOff>676275</xdr:colOff>
      <xdr:row>8</xdr:row>
      <xdr:rowOff>0</xdr:rowOff>
    </xdr:to>
    <xdr:sp macro="서식" fLocksText="1" fPublished="0">
      <xdr:nvSpPr>
        <xdr:cNvPr id="4" name="모서리가 둥근 직사각형 3"/>
        <xdr:cNvSpPr>
          <a:spLocks noRot="1"/>
        </xdr:cNvSpPr>
      </xdr:nvSpPr>
      <xdr:spPr>
        <a:xfrm>
          <a:off x="9620250" y="2200275"/>
          <a:ext cx="2743200" cy="1257300"/>
        </a:xfrm>
        <a:prstGeom prst="roundRect">
          <a:avLst>
            <a:gd name="adj" fmla="val 16667"/>
          </a:avLst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l" eaLnBrk="0" latinLnBrk="0">
            <a:lnSpc>
              <a:spcPct val="100000"/>
            </a:lnSpc>
          </a:pPr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서식</a:t>
          </a:r>
        </a:p>
      </xdr:txBody>
    </xdr:sp>
    <xdr:clientData fLocksWithSheet="1" fPrintsWithSheet="1"/>
  </xdr:twoCellAnchor>
</xdr:wsDr>
</file>

<file path=xl/drawings/drawing16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6</xdr:col>
      <xdr:colOff>671576</xdr:colOff>
      <xdr:row>6</xdr:row>
      <xdr:rowOff>4826</xdr:rowOff>
    </xdr:from>
    <xdr:to>
      <xdr:col>9</xdr:col>
      <xdr:colOff>0</xdr:colOff>
      <xdr:row>8</xdr:row>
      <xdr:rowOff>19050</xdr:rowOff>
    </xdr:to>
    <xdr:sp macro="서식1" fLocksText="1" fPublished="0">
      <xdr:nvSpPr>
        <xdr:cNvPr id="3" name="모서리가 둥근 직사각형 2"/>
        <xdr:cNvSpPr>
          <a:spLocks noRot="1"/>
        </xdr:cNvSpPr>
      </xdr:nvSpPr>
      <xdr:spPr>
        <a:xfrm>
          <a:off x="9572625" y="2524125"/>
          <a:ext cx="2771775" cy="866775"/>
        </a:xfrm>
        <a:prstGeom prst="roundRect">
          <a:avLst>
            <a:gd name="adj" fmla="val 16667"/>
          </a:avLst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l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서식1</a:t>
          </a:r>
        </a:p>
      </xdr:txBody>
    </xdr:sp>
    <xdr:clientData fLocksWithSheet="1" fPrintsWithSheet="1"/>
  </xdr:twoCellAnchor>
</xdr:wsDr>
</file>

<file path=xl/drawings/drawing17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5</xdr:col>
      <xdr:colOff>0</xdr:colOff>
      <xdr:row>14</xdr:row>
      <xdr:rowOff>4826</xdr:rowOff>
    </xdr:from>
    <xdr:to>
      <xdr:col>6</xdr:col>
      <xdr:colOff>4826</xdr:colOff>
      <xdr:row>17</xdr:row>
      <xdr:rowOff>0</xdr:rowOff>
    </xdr:to>
    <xdr:sp macro="상여금계산" fLocksText="1" fPublished="0">
      <xdr:nvSpPr>
        <xdr:cNvPr id="2" name="직사각형 1"/>
        <xdr:cNvSpPr>
          <a:spLocks noRot="1"/>
        </xdr:cNvSpPr>
      </xdr:nvSpPr>
      <xdr:spPr>
        <a:xfrm>
          <a:off x="7353300" y="5981700"/>
          <a:ext cx="1876425" cy="1247775"/>
        </a:xfrm>
        <a:prstGeom prst="rect">
          <a:avLst/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anchor="ctr"/>
        <a:p>
          <a:pPr algn="ctr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상여금</a:t>
          </a:r>
        </a:p>
      </xdr:txBody>
    </xdr:sp>
    <xdr:clientData fLocksWithSheet="1" fPrintsWithSheet="1"/>
  </xdr:twoCellAnchor>
  <xdr:twoCellAnchor>
    <xdr:from>
      <xdr:col>9</xdr:col>
      <xdr:colOff>276225</xdr:colOff>
      <xdr:row>11</xdr:row>
      <xdr:rowOff>19050</xdr:rowOff>
    </xdr:from>
    <xdr:to>
      <xdr:col>10</xdr:col>
      <xdr:colOff>504825</xdr:colOff>
      <xdr:row>15</xdr:row>
      <xdr:rowOff>95250</xdr:rowOff>
    </xdr:to>
    <xdr:sp fLocksText="1" fPublished="0">
      <xdr:nvSpPr>
        <xdr:cNvPr id="3" name="가로 글상자 2"/>
        <xdr:cNvSpPr txBox="1">
          <a:spLocks noRot="1"/>
        </xdr:cNvSpPr>
      </xdr:nvSpPr>
      <xdr:spPr>
        <a:xfrm>
          <a:off x="14573251" y="4752975"/>
          <a:ext cx="1828800" cy="1828800"/>
        </a:xfrm>
        <a:prstGeom prst="rect">
          <a:avLst/>
        </a:prstGeom>
      </xdr:spPr>
      <xdr:txBody>
        <a:bodyPr vertOverflow="clip" horzOverflow="clip" wrap="square" lIns="0" tIns="0" rIns="0" bIns="0"/>
        <a:p>
          <a:pPr algn="l" eaLnBrk="0" latinLnBrk="0"/>
        </a:p>
      </xdr:txBody>
    </xdr:sp>
    <xdr:clientData fLocksWithSheet="1" fPrintsWithSheet="1"/>
  </xdr:twoCellAnchor>
  <xdr:twoCellAnchor>
    <xdr:from>
      <xdr:col>6</xdr:col>
      <xdr:colOff>0</xdr:colOff>
      <xdr:row>14</xdr:row>
      <xdr:rowOff>4826</xdr:rowOff>
    </xdr:from>
    <xdr:to>
      <xdr:col>6</xdr:col>
      <xdr:colOff>1014476</xdr:colOff>
      <xdr:row>16</xdr:row>
      <xdr:rowOff>200025</xdr:rowOff>
    </xdr:to>
    <xdr:sp macro="총급여액" fLocksText="1" fPublished="0">
      <xdr:nvSpPr>
        <xdr:cNvPr id="4" name="타원 3"/>
        <xdr:cNvSpPr>
          <a:spLocks noRot="1"/>
        </xdr:cNvSpPr>
      </xdr:nvSpPr>
      <xdr:spPr>
        <a:xfrm>
          <a:off x="9220200" y="5981700"/>
          <a:ext cx="2028825" cy="1228725"/>
        </a:xfrm>
        <a:prstGeom prst="ellipse">
          <a:avLst/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ctr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총급여</a:t>
          </a:r>
        </a:p>
      </xdr:txBody>
    </xdr:sp>
    <xdr:clientData fLocksWithSheet="1" fPrintsWithSheet="1"/>
  </xdr:twoCellAnchor>
</xdr:wsDr>
</file>

<file path=xl/drawings/drawing18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2</xdr:col>
      <xdr:colOff>976376</xdr:colOff>
      <xdr:row>9</xdr:row>
      <xdr:rowOff>204851</xdr:rowOff>
    </xdr:from>
    <xdr:to>
      <xdr:col>3</xdr:col>
      <xdr:colOff>676275</xdr:colOff>
      <xdr:row>11</xdr:row>
      <xdr:rowOff>204851</xdr:rowOff>
    </xdr:to>
    <xdr:sp macro="취업률" fLocksText="1" fPublished="0">
      <xdr:nvSpPr>
        <xdr:cNvPr id="2" name="직사각형 1"/>
        <xdr:cNvSpPr>
          <a:spLocks noRot="1"/>
        </xdr:cNvSpPr>
      </xdr:nvSpPr>
      <xdr:spPr>
        <a:xfrm>
          <a:off x="6048374" y="4181475"/>
          <a:ext cx="1381125" cy="838200"/>
        </a:xfrm>
        <a:prstGeom prst="rect">
          <a:avLst/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ctr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취업률</a:t>
          </a:r>
        </a:p>
      </xdr:txBody>
    </xdr:sp>
    <xdr:clientData fLocksWithSheet="1" fPrintsWithSheet="1"/>
  </xdr:twoCellAnchor>
  <xdr:twoCellAnchor>
    <xdr:from>
      <xdr:col>5</xdr:col>
      <xdr:colOff>4826</xdr:colOff>
      <xdr:row>10</xdr:row>
      <xdr:rowOff>0</xdr:rowOff>
    </xdr:from>
    <xdr:to>
      <xdr:col>6</xdr:col>
      <xdr:colOff>23876</xdr:colOff>
      <xdr:row>12</xdr:row>
      <xdr:rowOff>14351</xdr:rowOff>
    </xdr:to>
    <xdr:sp macro="출력" fLocksText="1" fPublished="0">
      <xdr:nvSpPr>
        <xdr:cNvPr id="3" name="타원 2"/>
        <xdr:cNvSpPr>
          <a:spLocks noRot="1"/>
        </xdr:cNvSpPr>
      </xdr:nvSpPr>
      <xdr:spPr>
        <a:xfrm>
          <a:off x="8829675" y="4191000"/>
          <a:ext cx="1409700" cy="866775"/>
        </a:xfrm>
        <a:prstGeom prst="ellipse">
          <a:avLst/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ctr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출력</a:t>
          </a:r>
        </a:p>
      </xdr:txBody>
    </xdr:sp>
    <xdr:clientData fLocksWithSheet="1" fPrintsWithSheet="1"/>
  </xdr:twoCellAnchor>
</xdr:wsDr>
</file>

<file path=xl/drawings/drawing19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9</xdr:col>
      <xdr:colOff>666750</xdr:colOff>
      <xdr:row>2</xdr:row>
      <xdr:rowOff>33401</xdr:rowOff>
    </xdr:from>
    <xdr:to>
      <xdr:col>11</xdr:col>
      <xdr:colOff>681101</xdr:colOff>
      <xdr:row>4</xdr:row>
      <xdr:rowOff>9525</xdr:rowOff>
    </xdr:to>
    <xdr:sp macro="취업률1" fLocksText="1" fPublished="0">
      <xdr:nvSpPr>
        <xdr:cNvPr id="2" name="직사각형 1"/>
        <xdr:cNvSpPr>
          <a:spLocks noRot="1"/>
        </xdr:cNvSpPr>
      </xdr:nvSpPr>
      <xdr:spPr>
        <a:xfrm>
          <a:off x="15640051" y="904875"/>
          <a:ext cx="2771775" cy="790575"/>
        </a:xfrm>
        <a:prstGeom prst="rect">
          <a:avLst/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ctr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취업률1	</a:t>
          </a:r>
        </a:p>
      </xdr:txBody>
    </xdr:sp>
    <xdr:clientData fLocksWithSheet="1" fPrintsWithSheet="1"/>
  </xdr:twoCellAnchor>
</xdr:wsDr>
</file>

<file path=xl/drawings/drawing20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9</xdr:col>
      <xdr:colOff>681101</xdr:colOff>
      <xdr:row>1</xdr:row>
      <xdr:rowOff>204851</xdr:rowOff>
    </xdr:from>
    <xdr:to>
      <xdr:col>10</xdr:col>
      <xdr:colOff>681101</xdr:colOff>
      <xdr:row>4</xdr:row>
      <xdr:rowOff>9525</xdr:rowOff>
    </xdr:to>
    <xdr:sp macro="순이익" fLocksText="1" fPublished="0">
      <xdr:nvSpPr>
        <xdr:cNvPr id="2" name="직사각형 1"/>
        <xdr:cNvSpPr>
          <a:spLocks noRot="1"/>
        </xdr:cNvSpPr>
      </xdr:nvSpPr>
      <xdr:spPr>
        <a:xfrm>
          <a:off x="14925675" y="1009650"/>
          <a:ext cx="1371600" cy="866775"/>
        </a:xfrm>
        <a:prstGeom prst="rect">
          <a:avLst/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ctr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순이익</a:t>
          </a:r>
        </a:p>
      </xdr:txBody>
    </xdr:sp>
    <xdr:clientData fLocksWithSheet="1" fPrintsWithSheet="1"/>
  </xdr:twoCellAnchor>
</xdr:wsDr>
</file>

<file path=xl/drawings/drawing21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6</xdr:col>
      <xdr:colOff>676275</xdr:colOff>
      <xdr:row>4</xdr:row>
      <xdr:rowOff>204851</xdr:rowOff>
    </xdr:from>
    <xdr:to>
      <xdr:col>9</xdr:col>
      <xdr:colOff>0</xdr:colOff>
      <xdr:row>7</xdr:row>
      <xdr:rowOff>4826</xdr:rowOff>
    </xdr:to>
    <xdr:sp macro="통화1" fLocksText="1" fPublished="0">
      <xdr:nvSpPr>
        <xdr:cNvPr id="3" name="직사각형 2"/>
        <xdr:cNvSpPr>
          <a:spLocks noRot="1"/>
        </xdr:cNvSpPr>
      </xdr:nvSpPr>
      <xdr:spPr>
        <a:xfrm>
          <a:off x="13677900" y="2085975"/>
          <a:ext cx="2762250" cy="857250"/>
        </a:xfrm>
        <a:prstGeom prst="rect">
          <a:avLst/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ctr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통화1</a:t>
          </a:r>
        </a:p>
      </xdr:txBody>
    </xdr:sp>
    <xdr:clientData fLocksWithSheet="1" fPrintsWithSheet="1"/>
  </xdr:twoCellAnchor>
</xdr:wsDr>
</file>

<file path=xl/drawings/drawing22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5</xdr:col>
      <xdr:colOff>681101</xdr:colOff>
      <xdr:row>5</xdr:row>
      <xdr:rowOff>0</xdr:rowOff>
    </xdr:from>
    <xdr:to>
      <xdr:col>6</xdr:col>
      <xdr:colOff>671576</xdr:colOff>
      <xdr:row>7</xdr:row>
      <xdr:rowOff>4826</xdr:rowOff>
    </xdr:to>
    <xdr:sp macro="통화2" fLocksText="1" fPublished="0">
      <xdr:nvSpPr>
        <xdr:cNvPr id="3" name="빗면 2"/>
        <xdr:cNvSpPr>
          <a:spLocks noRot="1"/>
        </xdr:cNvSpPr>
      </xdr:nvSpPr>
      <xdr:spPr>
        <a:xfrm>
          <a:off x="10239375" y="2095500"/>
          <a:ext cx="1352550" cy="847725"/>
        </a:xfrm>
        <a:prstGeom prst="bevel">
          <a:avLst>
            <a:gd name="adj" fmla="val 12500"/>
          </a:avLst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l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통화2		</a:t>
          </a:r>
        </a:p>
      </xdr:txBody>
    </xdr:sp>
    <xdr:clientData fLocksWithSheet="1" fPrintsWithSheet="1"/>
  </xdr:twoCellAnchor>
</xdr:wsDr>
</file>

<file path=xl/externalLinks/_rels/externalLink1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C:/Users/missi/Documents/01_&#51473;&#50836;&#51088;&#47308;/04_&#52980;&#54876;2&#44553;&#49892;&#44592;/01_&#44592;&#52636;&#47928;&#51228;%20&#49884;&#47532;&#51592;/19_2022_&#49345;&#49884;%201&#54924;/01_&#52980;&#54876;2&#44553;&#49892;&#44592;(&#49828;&#54532;&#47112;&#46300;&#49884;&#53944;)&#49345;&#49884;&#47928;&#51228;&#54400;&#51060;_2022&#45380;1&#54924;_&#47928;&#51228;.xlsm" TargetMode="External" /></Relationships>
</file>

<file path=xl/externalLinks/_rels/externalLink2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C:/Users/missi/Google%20&#46300;&#46972;&#51060;&#48652;/&#9733;&#54980;&#54217;&#46041;&#54617;&#50896;&#47928;&#49436;%20&#44277;&#50976;&#54260;&#45908;&#9733;/01%20&#50472;&#50519;&#54617;&#50896;/&#44592;&#50500;&#54260;&#45908;/&#49688;&#44053;&#47785;&#47197;.xlsx" TargetMode="External" /></Relationships>
</file>

<file path=xl/externalLinks/externalLink1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기본작업-1"/>
      <x:sheetName val="기본작업-2"/>
      <x:sheetName val="기본작업-3"/>
      <x:sheetName val="계산작업"/>
      <x:sheetName val="분석작업-1"/>
      <x:sheetName val="분석작업-2"/>
      <x:sheetName val="매크로작업"/>
      <x:sheetName val="차트작업"/>
    </x:sheetNames>
    <x:sheetDataSet>
      <x:sheetData sheetId="0" refreshError="0"/>
      <x:sheetData sheetId="1" refreshError="0"/>
      <x:sheetData sheetId="2" refreshError="0"/>
      <x:sheetData sheetId="3" refreshError="0"/>
      <x:sheetData sheetId="4" refreshError="0"/>
      <x:sheetData sheetId="5" refreshError="0"/>
      <x:sheetData sheetId="6" refreshError="0"/>
      <x:sheetData sheetId="7" refreshError="0"/>
    </x:sheetDataSet>
  </x:externalBook>
</x:externalLink>
</file>

<file path=xl/externalLinks/externalLink2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수강과목(일반,대학생)"/>
      <x:sheetName val="원생등록(일반,대학생)"/>
      <x:sheetName val="원생등록(초,중,고)"/>
      <x:sheetName val="원비납부현황(초,중,고)"/>
      <x:sheetName val="주말C언어"/>
      <x:sheetName val=" 수강목록"/>
      <x:sheetName val="예약"/>
      <x:sheetName val=" "/>
    </x:sheetNames>
    <x:sheetDataSet>
      <x:sheetData sheetId="0" refreshError="0"/>
      <x:sheetData sheetId="1" refreshError="0"/>
      <x:sheetData sheetId="2" refreshError="0"/>
      <x:sheetData sheetId="3" refreshError="0"/>
      <x:sheetData sheetId="4" refreshError="0"/>
      <x:sheetData sheetId="5" refreshError="0"/>
      <x:sheetData sheetId="6" refreshError="0"/>
      <x:sheetData sheetId="7" refreshError="0"/>
    </x:sheetDataSet>
  </x:externalBook>
</x:externalLink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5.xml"  /></Relationships>
</file>

<file path=xl/worksheets/_rels/sheet2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6.xml"  /><Relationship Id="rId2" Type="http://schemas.openxmlformats.org/officeDocument/2006/relationships/vmlDrawing" Target="../drawings/vmlDrawing1.vml"  /></Relationships>
</file>

<file path=xl/worksheets/_rels/sheet3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7.xml"  /></Relationships>
</file>

<file path=xl/worksheets/_rels/sheet4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8.xml"  /></Relationships>
</file>

<file path=xl/worksheets/_rels/sheet5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9.xml"  /><Relationship Id="rId2" Type="http://schemas.openxmlformats.org/officeDocument/2006/relationships/vmlDrawing" Target="../drawings/vmlDrawing2.vml"  /></Relationships>
</file>

<file path=xl/worksheets/_rels/sheet6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20.xml"  /><Relationship Id="rId2" Type="http://schemas.openxmlformats.org/officeDocument/2006/relationships/vmlDrawing" Target="../drawings/vmlDrawing3.vml"  /></Relationships>
</file>

<file path=xl/worksheets/_rels/sheet7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21.xml"  /><Relationship Id="rId2" Type="http://schemas.openxmlformats.org/officeDocument/2006/relationships/vmlDrawing" Target="../drawings/vmlDrawing4.vml"  /></Relationships>
</file>

<file path=xl/worksheets/_rels/sheet8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22.xml"  /><Relationship Id="rId2" Type="http://schemas.openxmlformats.org/officeDocument/2006/relationships/vmlDrawing" Target="../drawings/vmlDrawing5.v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8"/>
  <x:dimension ref="A1:I11"/>
  <x:sheetViews>
    <x:sheetView topLeftCell="A1" zoomScaleNormal="100" zoomScaleSheetLayoutView="75" workbookViewId="0">
      <x:selection activeCell="G1" activeCellId="0" sqref="G1:G1"/>
    </x:sheetView>
  </x:sheetViews>
  <x:sheetFormatPr defaultColWidth="9" defaultRowHeight="16.39999999999999857891"/>
  <x:cols>
    <x:col min="1" max="1" width="9.25" bestFit="1" customWidth="1"/>
    <x:col min="2" max="6" width="9" customWidth="1"/>
  </x:cols>
  <x:sheetData>
    <x:row r="1" spans="1:6" ht="20.64999999999999857891">
      <x:c r="A1" s="27" t="s">
        <x:v>14</x:v>
      </x:c>
      <x:c r="B1" s="27"/>
      <x:c r="C1" s="27"/>
      <x:c r="D1" s="27"/>
      <x:c r="E1" s="27"/>
      <x:c r="F1" s="27"/>
    </x:row>
    <x:row r="2" spans="1:6">
      <x:c r="A2" s="26" t="s">
        <x:v>95</x:v>
      </x:c>
      <x:c r="B2" s="26" t="s">
        <x:v>112</x:v>
      </x:c>
      <x:c r="C2" s="26" t="s">
        <x:v>109</x:v>
      </x:c>
      <x:c r="D2" s="26" t="s">
        <x:v>100</x:v>
      </x:c>
      <x:c r="E2" s="26" t="s">
        <x:v>108</x:v>
      </x:c>
      <x:c r="F2" s="26" t="s">
        <x:v>94</x:v>
      </x:c>
    </x:row>
    <x:row r="3" spans="1:6">
      <x:c r="A3" s="1" t="s">
        <x:v>90</x:v>
      </x:c>
      <x:c r="B3" s="2" t="s">
        <x:v>99</x:v>
      </x:c>
      <x:c r="C3" s="2">
        <x:v>9</x:v>
      </x:c>
      <x:c r="D3" s="2">
        <x:v>0</x:v>
      </x:c>
      <x:c r="E3" s="2">
        <x:v>11</x:v>
      </x:c>
      <x:c r="F3" s="2">
        <x:f>C3*3+D3</x:f>
        <x:v>27</x:v>
      </x:c>
    </x:row>
    <x:row r="4" spans="1:9">
      <x:c r="A4" s="1" t="s">
        <x:v>106</x:v>
      </x:c>
      <x:c r="B4" s="2" t="s">
        <x:v>96</x:v>
      </x:c>
      <x:c r="C4" s="2">
        <x:v>7</x:v>
      </x:c>
      <x:c r="D4" s="2">
        <x:v>1</x:v>
      </x:c>
      <x:c r="E4" s="2">
        <x:v>12</x:v>
      </x:c>
      <x:c r="F4" s="2">
        <x:f t="shared" ref="F4:F11" si="0">C4*3+D4</x:f>
        <x:v>22</x:v>
      </x:c>
      <x:c r="I4" s="25"/>
    </x:row>
    <x:row r="5" spans="1:6">
      <x:c r="A5" s="1" t="s">
        <x:v>105</x:v>
      </x:c>
      <x:c r="B5" s="2" t="s">
        <x:v>93</x:v>
      </x:c>
      <x:c r="C5" s="2">
        <x:v>5</x:v>
      </x:c>
      <x:c r="D5" s="2">
        <x:v>2</x:v>
      </x:c>
      <x:c r="E5" s="2">
        <x:v>13</x:v>
      </x:c>
      <x:c r="F5" s="2">
        <x:f t="shared" si="0"/>
        <x:v>17</x:v>
      </x:c>
    </x:row>
    <x:row r="6" spans="1:6">
      <x:c r="A6" s="1" t="s">
        <x:v>116</x:v>
      </x:c>
      <x:c r="B6" s="2" t="s">
        <x:v>88</x:v>
      </x:c>
      <x:c r="C6" s="2">
        <x:v>6</x:v>
      </x:c>
      <x:c r="D6" s="2">
        <x:v>0</x:v>
      </x:c>
      <x:c r="E6" s="2">
        <x:v>14</x:v>
      </x:c>
      <x:c r="F6" s="2">
        <x:f t="shared" si="0"/>
        <x:v>18</x:v>
      </x:c>
    </x:row>
    <x:row r="7" spans="1:6">
      <x:c r="A7" s="1" t="s">
        <x:v>130</x:v>
      </x:c>
      <x:c r="B7" s="2" t="s">
        <x:v>102</x:v>
      </x:c>
      <x:c r="C7" s="2">
        <x:v>12</x:v>
      </x:c>
      <x:c r="D7" s="2">
        <x:v>1</x:v>
      </x:c>
      <x:c r="E7" s="2">
        <x:v>7</x:v>
      </x:c>
      <x:c r="F7" s="2">
        <x:f t="shared" si="0"/>
        <x:v>37</x:v>
      </x:c>
    </x:row>
    <x:row r="8" spans="1:6">
      <x:c r="A8" s="1" t="s">
        <x:v>118</x:v>
      </x:c>
      <x:c r="B8" s="2" t="s">
        <x:v>87</x:v>
      </x:c>
      <x:c r="C8" s="2">
        <x:v>11</x:v>
      </x:c>
      <x:c r="D8" s="2">
        <x:v>0</x:v>
      </x:c>
      <x:c r="E8" s="2">
        <x:v>9</x:v>
      </x:c>
      <x:c r="F8" s="2">
        <x:f t="shared" si="0"/>
        <x:v>33</x:v>
      </x:c>
    </x:row>
    <x:row r="9" spans="1:6">
      <x:c r="A9" s="1" t="s">
        <x:v>119</x:v>
      </x:c>
      <x:c r="B9" s="2" t="s">
        <x:v>89</x:v>
      </x:c>
      <x:c r="C9" s="2">
        <x:v>10</x:v>
      </x:c>
      <x:c r="D9" s="2">
        <x:v>1</x:v>
      </x:c>
      <x:c r="E9" s="2">
        <x:v>9</x:v>
      </x:c>
      <x:c r="F9" s="2">
        <x:f t="shared" si="0"/>
        <x:v>31</x:v>
      </x:c>
    </x:row>
    <x:row r="10" spans="1:6">
      <x:c r="A10" s="1" t="s">
        <x:v>121</x:v>
      </x:c>
      <x:c r="B10" s="2" t="s">
        <x:v>103</x:v>
      </x:c>
      <x:c r="C10" s="2">
        <x:v>8</x:v>
      </x:c>
      <x:c r="D10" s="2">
        <x:v>2</x:v>
      </x:c>
      <x:c r="E10" s="2">
        <x:v>10</x:v>
      </x:c>
      <x:c r="F10" s="2">
        <x:f t="shared" si="0"/>
        <x:v>26</x:v>
      </x:c>
    </x:row>
    <x:row r="11" spans="1:6">
      <x:c r="A11" s="1" t="s">
        <x:v>107</x:v>
      </x:c>
      <x:c r="B11" s="2" t="s">
        <x:v>113</x:v>
      </x:c>
      <x:c r="C11" s="2">
        <x:v>9</x:v>
      </x:c>
      <x:c r="D11" s="2">
        <x:v>1</x:v>
      </x:c>
      <x:c r="E11" s="2">
        <x:v>10</x:v>
      </x:c>
      <x:c r="F11" s="2">
        <x:f t="shared" si="0"/>
        <x:v>28</x:v>
      </x:c>
    </x:row>
  </x:sheetData>
  <x:mergeCells count="1">
    <x:mergeCell ref="A1:F1"/>
  </x:mergeCells>
  <x:pageMargins left="0.69986110925674438477" right="0.69986110925674438477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A2:F12"/>
  <x:sheetViews>
    <x:sheetView topLeftCell="A1" zoomScaleNormal="100" zoomScaleSheetLayoutView="75" workbookViewId="0">
      <x:selection activeCell="A4" activeCellId="0" sqref="A4:F4"/>
    </x:sheetView>
  </x:sheetViews>
  <x:sheetFormatPr defaultColWidth="9" defaultRowHeight="16.39999999999999857891"/>
  <x:sheetData>
    <x:row r="2" spans="1:2">
      <x:c r="A2" t="s">
        <x:v>128</x:v>
      </x:c>
      <x:c r="B2" s="4" t="s">
        <x:v>10</x:v>
      </x:c>
    </x:row>
    <x:row r="4" spans="1:6">
      <x:c r="A4" s="30" t="s">
        <x:v>91</x:v>
      </x:c>
      <x:c r="B4" s="30" t="s">
        <x:v>97</x:v>
      </x:c>
      <x:c r="C4" s="30" t="s">
        <x:v>111</x:v>
      </x:c>
      <x:c r="D4" s="30" t="s">
        <x:v>98</x:v>
      </x:c>
      <x:c r="E4" s="30" t="s">
        <x:v>104</x:v>
      </x:c>
      <x:c r="F4" s="31" t="s">
        <x:v>123</x:v>
      </x:c>
    </x:row>
    <x:row r="5" spans="1:6">
      <x:c r="A5" s="5" t="s">
        <x:v>92</x:v>
      </x:c>
      <x:c r="B5" s="5" t="s">
        <x:v>131</x:v>
      </x:c>
      <x:c r="C5" s="5">
        <x:v>89</x:v>
      </x:c>
      <x:c r="D5" s="5">
        <x:v>92</x:v>
      </x:c>
      <x:c r="E5" s="5">
        <x:v>94</x:v>
      </x:c>
      <x:c r="F5" s="3">
        <x:f>MAX(C5:E5)</x:f>
        <x:v>94</x:v>
      </x:c>
    </x:row>
    <x:row r="6" spans="1:6">
      <x:c r="A6" s="5" t="s">
        <x:v>39</x:v>
      </x:c>
      <x:c r="B6" s="5" t="s">
        <x:v>122</x:v>
      </x:c>
      <x:c r="C6" s="5">
        <x:v>67</x:v>
      </x:c>
      <x:c r="D6" s="5">
        <x:v>73</x:v>
      </x:c>
      <x:c r="E6" s="5">
        <x:v>77</x:v>
      </x:c>
      <x:c r="F6" s="3">
        <x:f t="shared" ref="F6:F12" si="0">MAX(C6:E6)</x:f>
        <x:v>77</x:v>
      </x:c>
    </x:row>
    <x:row r="7" spans="1:6">
      <x:c r="A7" s="5" t="s">
        <x:v>36</x:v>
      </x:c>
      <x:c r="B7" s="5" t="s">
        <x:v>125</x:v>
      </x:c>
      <x:c r="C7" s="5">
        <x:v>79</x:v>
      </x:c>
      <x:c r="D7" s="5">
        <x:v>82</x:v>
      </x:c>
      <x:c r="E7" s="5">
        <x:v>85</x:v>
      </x:c>
      <x:c r="F7" s="3">
        <x:f t="shared" si="0"/>
        <x:v>85</x:v>
      </x:c>
    </x:row>
    <x:row r="8" spans="1:6">
      <x:c r="A8" s="5" t="s">
        <x:v>39</x:v>
      </x:c>
      <x:c r="B8" s="5" t="s">
        <x:v>124</x:v>
      </x:c>
      <x:c r="C8" s="5">
        <x:v>92</x:v>
      </x:c>
      <x:c r="D8" s="5">
        <x:v>96</x:v>
      </x:c>
      <x:c r="E8" s="5">
        <x:v>94</x:v>
      </x:c>
      <x:c r="F8" s="3">
        <x:f t="shared" si="0"/>
        <x:v>96</x:v>
      </x:c>
    </x:row>
    <x:row r="9" spans="1:6">
      <x:c r="A9" s="5" t="s">
        <x:v>92</x:v>
      </x:c>
      <x:c r="B9" s="5" t="s">
        <x:v>114</x:v>
      </x:c>
      <x:c r="C9" s="5">
        <x:v>100</x:v>
      </x:c>
      <x:c r="D9" s="5">
        <x:v>95</x:v>
      </x:c>
      <x:c r="E9" s="5">
        <x:v>96</x:v>
      </x:c>
      <x:c r="F9" s="3">
        <x:f t="shared" si="0"/>
        <x:v>100</x:v>
      </x:c>
    </x:row>
    <x:row r="10" spans="1:6">
      <x:c r="A10" s="5" t="s">
        <x:v>39</x:v>
      </x:c>
      <x:c r="B10" s="5" t="s">
        <x:v>115</x:v>
      </x:c>
      <x:c r="C10" s="5">
        <x:v>84</x:v>
      </x:c>
      <x:c r="D10" s="5">
        <x:v>85</x:v>
      </x:c>
      <x:c r="E10" s="5">
        <x:v>88</x:v>
      </x:c>
      <x:c r="F10" s="3">
        <x:f t="shared" si="0"/>
        <x:v>88</x:v>
      </x:c>
    </x:row>
    <x:row r="11" spans="1:6">
      <x:c r="A11" s="5" t="s">
        <x:v>36</x:v>
      </x:c>
      <x:c r="B11" s="5" t="s">
        <x:v>127</x:v>
      </x:c>
      <x:c r="C11" s="5">
        <x:v>59</x:v>
      </x:c>
      <x:c r="D11" s="5">
        <x:v>64</x:v>
      </x:c>
      <x:c r="E11" s="5">
        <x:v>54</x:v>
      </x:c>
      <x:c r="F11" s="3">
        <x:f t="shared" si="0"/>
        <x:v>64</x:v>
      </x:c>
    </x:row>
    <x:row r="12" spans="1:6">
      <x:c r="A12" s="5" t="s">
        <x:v>92</x:v>
      </x:c>
      <x:c r="B12" s="5" t="s">
        <x:v>126</x:v>
      </x:c>
      <x:c r="C12" s="5">
        <x:v>78</x:v>
      </x:c>
      <x:c r="D12" s="5">
        <x:v>83</x:v>
      </x:c>
      <x:c r="E12" s="5">
        <x:v>82</x:v>
      </x:c>
      <x:c r="F12" s="3">
        <x:f t="shared" si="0"/>
        <x:v>83</x:v>
      </x:c>
    </x:row>
  </x:sheetData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300" copies="1"/>
  <x:drawing r:id="rId1"/>
  <x:legacyDrawing r:id="rId2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A1:G12"/>
  <x:sheetViews>
    <x:sheetView topLeftCell="A1" zoomScaleNormal="100" zoomScaleSheetLayoutView="75" workbookViewId="0">
      <x:selection activeCell="G4" activeCellId="0" sqref="G4:G12"/>
    </x:sheetView>
  </x:sheetViews>
  <x:sheetFormatPr defaultColWidth="9" defaultRowHeight="16.39999999999999857891"/>
  <x:cols>
    <x:col min="5" max="6" width="12.25" bestFit="1" customWidth="1"/>
    <x:col min="7" max="7" width="13.5" bestFit="1" customWidth="1"/>
  </x:cols>
  <x:sheetData>
    <x:row r="1" spans="1:7" ht="20.64999999999999857891">
      <x:c r="A1" s="27" t="s">
        <x:v>8</x:v>
      </x:c>
      <x:c r="B1" s="27"/>
      <x:c r="C1" s="27"/>
      <x:c r="D1" s="27"/>
      <x:c r="E1" s="27"/>
      <x:c r="F1" s="27"/>
      <x:c r="G1" s="27"/>
    </x:row>
    <x:row r="2" spans="2:2">
      <x:c r="B2" s="4"/>
    </x:row>
    <x:row r="3" spans="1:7">
      <x:c r="A3" s="6" t="s">
        <x:v>50</x:v>
      </x:c>
      <x:c r="B3" s="6" t="s">
        <x:v>31</x:v>
      </x:c>
      <x:c r="C3" s="6" t="s">
        <x:v>129</x:v>
      </x:c>
      <x:c r="D3" s="6" t="s">
        <x:v>38</x:v>
      </x:c>
      <x:c r="E3" s="6" t="s">
        <x:v>43</x:v>
      </x:c>
      <x:c r="F3" s="7" t="s">
        <x:v>28</x:v>
      </x:c>
      <x:c r="G3" s="7" t="s">
        <x:v>117</x:v>
      </x:c>
    </x:row>
    <x:row r="4" spans="1:7">
      <x:c r="A4" s="6" t="s">
        <x:v>27</x:v>
      </x:c>
      <x:c r="B4" s="6" t="s">
        <x:v>46</x:v>
      </x:c>
      <x:c r="C4" s="6">
        <x:v>5</x:v>
      </x:c>
      <x:c r="D4" s="8">
        <x:v>0.34999999999999998</x:v>
      </x:c>
      <x:c r="E4" s="9">
        <x:v>850000</x:v>
      </x:c>
      <x:c r="F4" s="10">
        <x:f>E4*D4</x:f>
        <x:v>297500</x:v>
      </x:c>
      <x:c r="G4" s="9">
        <x:f>E4+F4</x:f>
        <x:v>1147500</x:v>
      </x:c>
    </x:row>
    <x:row r="5" spans="1:7">
      <x:c r="A5" s="6" t="s">
        <x:v>16</x:v>
      </x:c>
      <x:c r="B5" s="6" t="s">
        <x:v>34</x:v>
      </x:c>
      <x:c r="C5" s="6">
        <x:v>7</x:v>
      </x:c>
      <x:c r="D5" s="8">
        <x:v>0.40000000000000002</x:v>
      </x:c>
      <x:c r="E5" s="9">
        <x:v>725000</x:v>
      </x:c>
      <x:c r="F5" s="10">
        <x:f t="shared" ref="F5:F12" si="0">E5*D5</x:f>
        <x:v>290000</x:v>
      </x:c>
      <x:c r="G5" s="9">
        <x:f t="shared" ref="G5:G12" si="1">E5+F5</x:f>
        <x:v>1015000</x:v>
      </x:c>
    </x:row>
    <x:row r="6" spans="1:7">
      <x:c r="A6" s="6" t="s">
        <x:v>17</x:v>
      </x:c>
      <x:c r="B6" s="6" t="s">
        <x:v>42</x:v>
      </x:c>
      <x:c r="C6" s="6">
        <x:v>10</x:v>
      </x:c>
      <x:c r="D6" s="8">
        <x:v>0.5</x:v>
      </x:c>
      <x:c r="E6" s="9">
        <x:v>905000</x:v>
      </x:c>
      <x:c r="F6" s="10">
        <x:f t="shared" si="0"/>
        <x:v>452500</x:v>
      </x:c>
      <x:c r="G6" s="9">
        <x:f t="shared" si="1"/>
        <x:v>1357500</x:v>
      </x:c>
    </x:row>
    <x:row r="7" spans="1:7">
      <x:c r="A7" s="6" t="s">
        <x:v>23</x:v>
      </x:c>
      <x:c r="B7" s="6" t="s">
        <x:v>37</x:v>
      </x:c>
      <x:c r="C7" s="6">
        <x:v>12</x:v>
      </x:c>
      <x:c r="D7" s="8">
        <x:v>0.5</x:v>
      </x:c>
      <x:c r="E7" s="9">
        <x:v>835800</x:v>
      </x:c>
      <x:c r="F7" s="10">
        <x:f t="shared" si="0"/>
        <x:v>417900</x:v>
      </x:c>
      <x:c r="G7" s="9">
        <x:f t="shared" si="1"/>
        <x:v>1253700</x:v>
      </x:c>
    </x:row>
    <x:row r="8" spans="1:7">
      <x:c r="A8" s="6" t="s">
        <x:v>41</x:v>
      </x:c>
      <x:c r="B8" s="6" t="s">
        <x:v>22</x:v>
      </x:c>
      <x:c r="C8" s="6">
        <x:v>15</x:v>
      </x:c>
      <x:c r="D8" s="8">
        <x:v>0.55000000000000004</x:v>
      </x:c>
      <x:c r="E8" s="9">
        <x:v>965000</x:v>
      </x:c>
      <x:c r="F8" s="10">
        <x:f t="shared" si="0"/>
        <x:v>530750</x:v>
      </x:c>
      <x:c r="G8" s="9">
        <x:f t="shared" si="1"/>
        <x:v>1495750</x:v>
      </x:c>
    </x:row>
    <x:row r="9" spans="1:7">
      <x:c r="A9" s="6" t="s">
        <x:v>21</x:v>
      </x:c>
      <x:c r="B9" s="6" t="s">
        <x:v>37</x:v>
      </x:c>
      <x:c r="C9" s="6">
        <x:v>11</x:v>
      </x:c>
      <x:c r="D9" s="8">
        <x:v>0.5</x:v>
      </x:c>
      <x:c r="E9" s="9">
        <x:v>780000</x:v>
      </x:c>
      <x:c r="F9" s="10">
        <x:f t="shared" si="0"/>
        <x:v>390000</x:v>
      </x:c>
      <x:c r="G9" s="9">
        <x:f t="shared" si="1"/>
        <x:v>1170000</x:v>
      </x:c>
    </x:row>
    <x:row r="10" spans="1:7">
      <x:c r="A10" s="6" t="s">
        <x:v>51</x:v>
      </x:c>
      <x:c r="B10" s="6" t="s">
        <x:v>46</x:v>
      </x:c>
      <x:c r="C10" s="6">
        <x:v>7</x:v>
      </x:c>
      <x:c r="D10" s="8">
        <x:v>0.40000000000000002</x:v>
      </x:c>
      <x:c r="E10" s="9">
        <x:v>879000</x:v>
      </x:c>
      <x:c r="F10" s="10">
        <x:f t="shared" si="0"/>
        <x:v>351600</x:v>
      </x:c>
      <x:c r="G10" s="9">
        <x:f t="shared" si="1"/>
        <x:v>1230600</x:v>
      </x:c>
    </x:row>
    <x:row r="11" spans="1:7">
      <x:c r="A11" s="6" t="s">
        <x:v>26</x:v>
      </x:c>
      <x:c r="B11" s="6" t="s">
        <x:v>34</x:v>
      </x:c>
      <x:c r="C11" s="6">
        <x:v>9</x:v>
      </x:c>
      <x:c r="D11" s="8">
        <x:v>0.40000000000000002</x:v>
      </x:c>
      <x:c r="E11" s="9">
        <x:v>778800</x:v>
      </x:c>
      <x:c r="F11" s="10">
        <x:f t="shared" si="0"/>
        <x:v>311520</x:v>
      </x:c>
      <x:c r="G11" s="9">
        <x:f t="shared" si="1"/>
        <x:v>1090320</x:v>
      </x:c>
    </x:row>
    <x:row r="12" spans="1:7">
      <x:c r="A12" s="6" t="s">
        <x:v>18</x:v>
      </x:c>
      <x:c r="B12" s="6" t="s">
        <x:v>45</x:v>
      </x:c>
      <x:c r="C12" s="6">
        <x:v>18</x:v>
      </x:c>
      <x:c r="D12" s="8">
        <x:v>0.55000000000000004</x:v>
      </x:c>
      <x:c r="E12" s="9">
        <x:v>675000</x:v>
      </x:c>
      <x:c r="F12" s="10">
        <x:f t="shared" si="0"/>
        <x:v>371250.00000000006</x:v>
      </x:c>
      <x:c r="G12" s="9">
        <x:f t="shared" si="1"/>
        <x:v>1046250</x:v>
      </x:c>
    </x:row>
  </x:sheetData>
  <x:mergeCells count="1">
    <x:mergeCell ref="A1:G1"/>
  </x:mergeCells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300" copies="1"/>
  <x:drawing r:id="rId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A1:H9"/>
  <x:sheetViews>
    <x:sheetView topLeftCell="A1" zoomScaleNormal="100" zoomScaleSheetLayoutView="75" workbookViewId="0">
      <x:selection activeCell="H12" activeCellId="0" sqref="H12:H12"/>
    </x:sheetView>
  </x:sheetViews>
  <x:sheetFormatPr defaultColWidth="9" defaultRowHeight="16.39999999999999857891"/>
  <x:cols>
    <x:col min="1" max="1" width="17.875" bestFit="1" customWidth="1"/>
    <x:col min="3" max="3" width="13" bestFit="1" customWidth="1"/>
  </x:cols>
  <x:sheetData>
    <x:row r="1" spans="1:8">
      <x:c r="A1" s="28" t="s">
        <x:v>4</x:v>
      </x:c>
      <x:c r="B1" s="28"/>
      <x:c r="C1" s="28"/>
      <x:c r="D1" s="28"/>
      <x:c r="E1" s="28"/>
      <x:c r="F1" s="28"/>
      <x:c r="G1" s="28"/>
      <x:c r="H1" s="28"/>
    </x:row>
    <x:row r="3" spans="1:8">
      <x:c r="A3" s="33" t="s">
        <x:v>47</x:v>
      </x:c>
      <x:c r="B3" s="33" t="s">
        <x:v>49</x:v>
      </x:c>
      <x:c r="C3" s="33" t="s">
        <x:v>137</x:v>
      </x:c>
      <x:c r="D3" s="33" t="s">
        <x:v>54</x:v>
      </x:c>
      <x:c r="E3" s="33" t="s">
        <x:v>148</x:v>
      </x:c>
      <x:c r="F3" s="33" t="s">
        <x:v>52</x:v>
      </x:c>
      <x:c r="G3" s="33" t="s">
        <x:v>19</x:v>
      </x:c>
      <x:c r="H3" s="33" t="s">
        <x:v>30</x:v>
      </x:c>
    </x:row>
    <x:row r="4" spans="1:8">
      <x:c r="A4" s="3" t="s">
        <x:v>132</x:v>
      </x:c>
      <x:c r="B4" s="3">
        <x:v>55</x:v>
      </x:c>
      <x:c r="C4" s="3">
        <x:v>21</x:v>
      </x:c>
      <x:c r="D4" s="3">
        <x:v>2</x:v>
      </x:c>
      <x:c r="E4" s="3">
        <x:v>1</x:v>
      </x:c>
      <x:c r="F4" s="3">
        <x:v>2</x:v>
      </x:c>
      <x:c r="G4" s="3">
        <x:v>3</x:v>
      </x:c>
      <x:c r="H4" s="12">
        <x:f>SUM(C4:G4)/B4</x:f>
        <x:v>0.52727272727272723</x:v>
      </x:c>
    </x:row>
    <x:row r="5" spans="1:8">
      <x:c r="A5" s="3" t="s">
        <x:v>140</x:v>
      </x:c>
      <x:c r="B5" s="3">
        <x:v>47</x:v>
      </x:c>
      <x:c r="C5" s="3">
        <x:v>26</x:v>
      </x:c>
      <x:c r="D5" s="3">
        <x:v>2</x:v>
      </x:c>
      <x:c r="E5" s="3">
        <x:v>2</x:v>
      </x:c>
      <x:c r="F5" s="3">
        <x:v>2</x:v>
      </x:c>
      <x:c r="G5" s="3">
        <x:v>4</x:v>
      </x:c>
      <x:c r="H5" s="12">
        <x:f t="shared" ref="H5:H9" si="0">SUM(C5:G5)/B5</x:f>
        <x:v>0.76595744680851063</x:v>
      </x:c>
    </x:row>
    <x:row r="6" spans="1:8">
      <x:c r="A6" s="3" t="s">
        <x:v>147</x:v>
      </x:c>
      <x:c r="B6" s="3">
        <x:v>48</x:v>
      </x:c>
      <x:c r="C6" s="3">
        <x:v>18</x:v>
      </x:c>
      <x:c r="D6" s="3">
        <x:v>2</x:v>
      </x:c>
      <x:c r="E6" s="3">
        <x:v>1</x:v>
      </x:c>
      <x:c r="F6" s="3">
        <x:v>1</x:v>
      </x:c>
      <x:c r="G6" s="3">
        <x:v>2</x:v>
      </x:c>
      <x:c r="H6" s="12">
        <x:f t="shared" si="0"/>
        <x:v>0.5</x:v>
      </x:c>
    </x:row>
    <x:row r="7" spans="1:8">
      <x:c r="A7" s="3" t="s">
        <x:v>134</x:v>
      </x:c>
      <x:c r="B7" s="3">
        <x:v>47</x:v>
      </x:c>
      <x:c r="C7" s="3">
        <x:v>18</x:v>
      </x:c>
      <x:c r="D7" s="3">
        <x:v>3</x:v>
      </x:c>
      <x:c r="E7" s="3">
        <x:v>1</x:v>
      </x:c>
      <x:c r="F7" s="3">
        <x:v>1</x:v>
      </x:c>
      <x:c r="G7" s="3">
        <x:v>2</x:v>
      </x:c>
      <x:c r="H7" s="12">
        <x:f t="shared" si="0"/>
        <x:v>0.53191489361702127</x:v>
      </x:c>
    </x:row>
    <x:row r="8" spans="1:8">
      <x:c r="A8" s="3" t="s">
        <x:v>133</x:v>
      </x:c>
      <x:c r="B8" s="3">
        <x:v>42</x:v>
      </x:c>
      <x:c r="C8" s="3">
        <x:v>30</x:v>
      </x:c>
      <x:c r="D8" s="3">
        <x:v>1</x:v>
      </x:c>
      <x:c r="E8" s="3">
        <x:v>3</x:v>
      </x:c>
      <x:c r="F8" s="3">
        <x:v>1</x:v>
      </x:c>
      <x:c r="G8" s="3">
        <x:v>1</x:v>
      </x:c>
      <x:c r="H8" s="12">
        <x:f t="shared" si="0"/>
        <x:v>0.8571428571428571</x:v>
      </x:c>
    </x:row>
    <x:row r="9" spans="1:8">
      <x:c r="A9" s="3" t="s">
        <x:v>33</x:v>
      </x:c>
      <x:c r="B9" s="3">
        <x:v>30</x:v>
      </x:c>
      <x:c r="C9" s="3">
        <x:v>13</x:v>
      </x:c>
      <x:c r="D9" s="3">
        <x:v>1</x:v>
      </x:c>
      <x:c r="E9" s="3">
        <x:v>1</x:v>
      </x:c>
      <x:c r="F9" s="3">
        <x:v>3</x:v>
      </x:c>
      <x:c r="G9" s="3">
        <x:v>3</x:v>
      </x:c>
      <x:c r="H9" s="12">
        <x:f t="shared" si="0"/>
        <x:v>0.69999999999999996</x:v>
      </x:c>
    </x:row>
  </x:sheetData>
  <x:mergeCells count="1">
    <x:mergeCell ref="A1:H1"/>
  </x:mergeCells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300" copies="1"/>
  <x:drawing r:id="rId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B2:I9"/>
  <x:sheetViews>
    <x:sheetView topLeftCell="A1" zoomScaleNormal="100" zoomScaleSheetLayoutView="75" workbookViewId="0">
      <x:selection activeCell="J2" activeCellId="0" sqref="J2:J2"/>
    </x:sheetView>
  </x:sheetViews>
  <x:sheetFormatPr defaultColWidth="9" defaultRowHeight="16.39999999999999857891"/>
  <x:cols>
    <x:col min="2" max="2" width="17.875" bestFit="1" customWidth="1"/>
    <x:col min="4" max="4" width="13" bestFit="1" customWidth="1"/>
  </x:cols>
  <x:sheetData>
    <x:row r="2" spans="2:2">
      <x:c r="B2" t="s">
        <x:v>15</x:v>
      </x:c>
    </x:row>
    <x:row r="3" spans="2:9">
      <x:c r="B3" s="32" t="s">
        <x:v>47</x:v>
      </x:c>
      <x:c r="C3" s="32" t="s">
        <x:v>49</x:v>
      </x:c>
      <x:c r="D3" s="32" t="s">
        <x:v>137</x:v>
      </x:c>
      <x:c r="E3" s="32" t="s">
        <x:v>54</x:v>
      </x:c>
      <x:c r="F3" s="32" t="s">
        <x:v>148</x:v>
      </x:c>
      <x:c r="G3" s="32" t="s">
        <x:v>52</x:v>
      </x:c>
      <x:c r="H3" s="32" t="s">
        <x:v>19</x:v>
      </x:c>
      <x:c r="I3" s="32" t="s">
        <x:v>30</x:v>
      </x:c>
    </x:row>
    <x:row r="4" spans="2:9">
      <x:c r="B4" s="3" t="s">
        <x:v>132</x:v>
      </x:c>
      <x:c r="C4" s="3">
        <x:v>55</x:v>
      </x:c>
      <x:c r="D4" s="3">
        <x:v>21</x:v>
      </x:c>
      <x:c r="E4" s="3">
        <x:v>2</x:v>
      </x:c>
      <x:c r="F4" s="3">
        <x:v>1</x:v>
      </x:c>
      <x:c r="G4" s="3">
        <x:v>2</x:v>
      </x:c>
      <x:c r="H4" s="3">
        <x:v>3</x:v>
      </x:c>
      <x:c r="I4" s="13">
        <x:f>(D4+E4+F4+G4+H4)/C4</x:f>
        <x:v>0.52727272727272723</x:v>
      </x:c>
    </x:row>
    <x:row r="5" spans="2:9">
      <x:c r="B5" s="3" t="s">
        <x:v>140</x:v>
      </x:c>
      <x:c r="C5" s="3">
        <x:v>47</x:v>
      </x:c>
      <x:c r="D5" s="3">
        <x:v>26</x:v>
      </x:c>
      <x:c r="E5" s="3">
        <x:v>2</x:v>
      </x:c>
      <x:c r="F5" s="3">
        <x:v>2</x:v>
      </x:c>
      <x:c r="G5" s="3">
        <x:v>2</x:v>
      </x:c>
      <x:c r="H5" s="3">
        <x:v>4</x:v>
      </x:c>
      <x:c r="I5" s="13">
        <x:f t="shared" ref="I5:I9" si="0">(D5+E5+F5+G5+H5)/C5</x:f>
        <x:v>0.76595744680851063</x:v>
      </x:c>
    </x:row>
    <x:row r="6" spans="2:9">
      <x:c r="B6" s="3" t="s">
        <x:v>147</x:v>
      </x:c>
      <x:c r="C6" s="3">
        <x:v>48</x:v>
      </x:c>
      <x:c r="D6" s="3">
        <x:v>18</x:v>
      </x:c>
      <x:c r="E6" s="3">
        <x:v>2</x:v>
      </x:c>
      <x:c r="F6" s="3">
        <x:v>1</x:v>
      </x:c>
      <x:c r="G6" s="3">
        <x:v>1</x:v>
      </x:c>
      <x:c r="H6" s="3">
        <x:v>2</x:v>
      </x:c>
      <x:c r="I6" s="13">
        <x:f t="shared" si="0"/>
        <x:v>0.5</x:v>
      </x:c>
    </x:row>
    <x:row r="7" spans="2:9">
      <x:c r="B7" s="3" t="s">
        <x:v>134</x:v>
      </x:c>
      <x:c r="C7" s="3">
        <x:v>47</x:v>
      </x:c>
      <x:c r="D7" s="3">
        <x:v>18</x:v>
      </x:c>
      <x:c r="E7" s="3">
        <x:v>3</x:v>
      </x:c>
      <x:c r="F7" s="3">
        <x:v>1</x:v>
      </x:c>
      <x:c r="G7" s="3">
        <x:v>1</x:v>
      </x:c>
      <x:c r="H7" s="3">
        <x:v>2</x:v>
      </x:c>
      <x:c r="I7" s="13">
        <x:f t="shared" si="0"/>
        <x:v>0.53191489361702127</x:v>
      </x:c>
    </x:row>
    <x:row r="8" spans="2:9">
      <x:c r="B8" s="3" t="s">
        <x:v>133</x:v>
      </x:c>
      <x:c r="C8" s="3">
        <x:v>42</x:v>
      </x:c>
      <x:c r="D8" s="3">
        <x:v>30</x:v>
      </x:c>
      <x:c r="E8" s="3">
        <x:v>1</x:v>
      </x:c>
      <x:c r="F8" s="3">
        <x:v>3</x:v>
      </x:c>
      <x:c r="G8" s="3">
        <x:v>1</x:v>
      </x:c>
      <x:c r="H8" s="3">
        <x:v>1</x:v>
      </x:c>
      <x:c r="I8" s="13">
        <x:f t="shared" si="0"/>
        <x:v>0.8571428571428571</x:v>
      </x:c>
    </x:row>
    <x:row r="9" spans="2:9">
      <x:c r="B9" s="3" t="s">
        <x:v>33</x:v>
      </x:c>
      <x:c r="C9" s="3">
        <x:v>30</x:v>
      </x:c>
      <x:c r="D9" s="3">
        <x:v>13</x:v>
      </x:c>
      <x:c r="E9" s="3">
        <x:v>1</x:v>
      </x:c>
      <x:c r="F9" s="3">
        <x:v>1</x:v>
      </x:c>
      <x:c r="G9" s="3">
        <x:v>3</x:v>
      </x:c>
      <x:c r="H9" s="3">
        <x:v>3</x:v>
      </x:c>
      <x:c r="I9" s="13">
        <x:f t="shared" si="0"/>
        <x:v>0.69999999999999996</x:v>
      </x:c>
    </x:row>
  </x:sheetData>
  <x:pageMargins left="0.69986110925674438477" right="0.69986110925674438477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drawing r:id="rId1"/>
  <x:legacyDrawing r:id="rId2"/>
</x:worksheet>
</file>

<file path=xl/worksheets/sheet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I18"/>
  <x:sheetViews>
    <x:sheetView topLeftCell="A1" zoomScaleNormal="100" zoomScaleSheetLayoutView="75" workbookViewId="0">
      <x:selection activeCell="J2" activeCellId="0" sqref="J2:J2"/>
    </x:sheetView>
  </x:sheetViews>
  <x:sheetFormatPr defaultColWidth="9" defaultRowHeight="16.39999999999999857891"/>
  <x:cols>
    <x:col min="4" max="4" width="9.875" bestFit="1" customWidth="1"/>
    <x:col min="6" max="6" width="9.375" bestFit="1" customWidth="1"/>
    <x:col min="7" max="7" width="9.125" bestFit="1" customWidth="1"/>
    <x:col min="8" max="8" width="13" bestFit="1" customWidth="1"/>
    <x:col min="9" max="9" width="11.625" customWidth="1"/>
  </x:cols>
  <x:sheetData>
    <x:row r="1" spans="1:9" ht="23.5">
      <x:c r="A1" s="29" t="s">
        <x:v>13</x:v>
      </x:c>
      <x:c r="B1" s="29"/>
      <x:c r="C1" s="29"/>
      <x:c r="D1" s="29"/>
      <x:c r="E1" s="29"/>
      <x:c r="F1" s="29"/>
      <x:c r="G1" s="29"/>
      <x:c r="H1" s="29"/>
      <x:c r="I1" s="29"/>
    </x:row>
    <x:row r="2" spans="1:9">
      <x:c r="A2" s="14"/>
      <x:c r="B2" s="14"/>
      <x:c r="C2" s="14"/>
      <x:c r="D2" s="14"/>
      <x:c r="E2" s="14"/>
      <x:c r="F2" s="14"/>
      <x:c r="G2" s="14"/>
      <x:c r="H2" s="15" t="s">
        <x:v>20</x:v>
      </x:c>
      <x:c r="I2" s="16">
        <x:v>0.29999999999999999</x:v>
      </x:c>
    </x:row>
    <x:row r="3" spans="1:9">
      <x:c r="A3" s="17" t="s">
        <x:v>53</x:v>
      </x:c>
      <x:c r="B3" s="17" t="s">
        <x:v>44</x:v>
      </x:c>
      <x:c r="C3" s="17" t="s">
        <x:v>67</x:v>
      </x:c>
      <x:c r="D3" s="17" t="s">
        <x:v>76</x:v>
      </x:c>
      <x:c r="E3" s="17" t="s">
        <x:v>66</x:v>
      </x:c>
      <x:c r="F3" s="17" t="s">
        <x:v>152</x:v>
      </x:c>
      <x:c r="G3" s="17" t="s">
        <x:v>56</x:v>
      </x:c>
      <x:c r="H3" s="17" t="s">
        <x:v>63</x:v>
      </x:c>
      <x:c r="I3" s="17" t="s">
        <x:v>83</x:v>
      </x:c>
    </x:row>
    <x:row r="4" spans="1:9">
      <x:c r="A4" s="17" t="s">
        <x:v>32</x:v>
      </x:c>
      <x:c r="B4" s="17" t="s">
        <x:v>48</x:v>
      </x:c>
      <x:c r="C4" s="17" t="s">
        <x:v>72</x:v>
      </x:c>
      <x:c r="D4" s="18">
        <x:v>41060</x:v>
      </x:c>
      <x:c r="E4" s="17">
        <x:v>50</x:v>
      </x:c>
      <x:c r="F4" s="19">
        <x:v>150000</x:v>
      </x:c>
      <x:c r="G4" s="17">
        <x:v>30</x:v>
      </x:c>
      <x:c r="H4" s="20">
        <x:f t="shared" ref="H4:H18" si="0">F4*G4</x:f>
        <x:v>4500000</x:v>
      </x:c>
      <x:c r="I4" s="34">
        <x:f>$I$2*H4</x:f>
        <x:v>1350000</x:v>
      </x:c>
    </x:row>
    <x:row r="5" spans="1:9">
      <x:c r="A5" s="17" t="s">
        <x:v>86</x:v>
      </x:c>
      <x:c r="B5" s="17" t="s">
        <x:v>79</x:v>
      </x:c>
      <x:c r="C5" s="17" t="s">
        <x:v>84</x:v>
      </x:c>
      <x:c r="D5" s="18">
        <x:v>41061</x:v>
      </x:c>
      <x:c r="E5" s="17">
        <x:v>40</x:v>
      </x:c>
      <x:c r="F5" s="19">
        <x:v>250000</x:v>
      </x:c>
      <x:c r="G5" s="17">
        <x:v>38</x:v>
      </x:c>
      <x:c r="H5" s="20">
        <x:f t="shared" si="0"/>
        <x:v>9500000</x:v>
      </x:c>
      <x:c r="I5" s="34">
        <x:f t="shared" ref="I5:I18" si="1">$I$2*H5</x:f>
        <x:v>2850000</x:v>
      </x:c>
    </x:row>
    <x:row r="6" spans="1:9">
      <x:c r="A6" s="17" t="s">
        <x:v>32</x:v>
      </x:c>
      <x:c r="B6" s="17" t="s">
        <x:v>80</x:v>
      </x:c>
      <x:c r="C6" s="17" t="s">
        <x:v>35</x:v>
      </x:c>
      <x:c r="D6" s="18">
        <x:v>41061</x:v>
      </x:c>
      <x:c r="E6" s="17">
        <x:v>50</x:v>
      </x:c>
      <x:c r="F6" s="19">
        <x:v>150000</x:v>
      </x:c>
      <x:c r="G6" s="17">
        <x:v>34</x:v>
      </x:c>
      <x:c r="H6" s="20">
        <x:f t="shared" si="0"/>
        <x:v>5100000</x:v>
      </x:c>
      <x:c r="I6" s="34">
        <x:f t="shared" si="1"/>
        <x:v>1530000</x:v>
      </x:c>
    </x:row>
    <x:row r="7" spans="1:9">
      <x:c r="A7" s="17" t="s">
        <x:v>68</x:v>
      </x:c>
      <x:c r="B7" s="17" t="s">
        <x:v>80</x:v>
      </x:c>
      <x:c r="C7" s="17" t="s">
        <x:v>73</x:v>
      </x:c>
      <x:c r="D7" s="18">
        <x:v>41061</x:v>
      </x:c>
      <x:c r="E7" s="17">
        <x:v>60</x:v>
      </x:c>
      <x:c r="F7" s="19">
        <x:v>600000</x:v>
      </x:c>
      <x:c r="G7" s="17">
        <x:v>57</x:v>
      </x:c>
      <x:c r="H7" s="20">
        <x:f t="shared" si="0"/>
        <x:v>34200000</x:v>
      </x:c>
      <x:c r="I7" s="34">
        <x:f t="shared" si="1"/>
        <x:v>10260000</x:v>
      </x:c>
    </x:row>
    <x:row r="8" spans="1:9">
      <x:c r="A8" s="17" t="s">
        <x:v>86</x:v>
      </x:c>
      <x:c r="B8" s="17" t="s">
        <x:v>29</x:v>
      </x:c>
      <x:c r="C8" s="17" t="s">
        <x:v>70</x:v>
      </x:c>
      <x:c r="D8" s="18">
        <x:v>41061</x:v>
      </x:c>
      <x:c r="E8" s="17">
        <x:v>80</x:v>
      </x:c>
      <x:c r="F8" s="19">
        <x:v>250000</x:v>
      </x:c>
      <x:c r="G8" s="17">
        <x:v>59</x:v>
      </x:c>
      <x:c r="H8" s="20">
        <x:f t="shared" si="0"/>
        <x:v>14750000</x:v>
      </x:c>
      <x:c r="I8" s="34">
        <x:f t="shared" si="1"/>
        <x:v>4425000</x:v>
      </x:c>
    </x:row>
    <x:row r="9" spans="1:9">
      <x:c r="A9" s="17" t="s">
        <x:v>68</x:v>
      </x:c>
      <x:c r="B9" s="17" t="s">
        <x:v>81</x:v>
      </x:c>
      <x:c r="C9" s="17" t="s">
        <x:v>85</x:v>
      </x:c>
      <x:c r="D9" s="18">
        <x:v>41060</x:v>
      </x:c>
      <x:c r="E9" s="17">
        <x:v>60</x:v>
      </x:c>
      <x:c r="F9" s="19">
        <x:v>600000</x:v>
      </x:c>
      <x:c r="G9" s="17">
        <x:v>55</x:v>
      </x:c>
      <x:c r="H9" s="20">
        <x:f t="shared" si="0"/>
        <x:v>33000000</x:v>
      </x:c>
      <x:c r="I9" s="34">
        <x:f t="shared" si="1"/>
        <x:v>9900000</x:v>
      </x:c>
    </x:row>
    <x:row r="10" spans="1:9">
      <x:c r="A10" s="17" t="s">
        <x:v>68</x:v>
      </x:c>
      <x:c r="B10" s="17" t="s">
        <x:v>48</x:v>
      </x:c>
      <x:c r="C10" s="17" t="s">
        <x:v>82</x:v>
      </x:c>
      <x:c r="D10" s="18">
        <x:v>41060</x:v>
      </x:c>
      <x:c r="E10" s="17">
        <x:v>60</x:v>
      </x:c>
      <x:c r="F10" s="19">
        <x:v>600000</x:v>
      </x:c>
      <x:c r="G10" s="17">
        <x:v>60</x:v>
      </x:c>
      <x:c r="H10" s="20">
        <x:f t="shared" si="0"/>
        <x:v>36000000</x:v>
      </x:c>
      <x:c r="I10" s="34">
        <x:f t="shared" si="1"/>
        <x:v>10800000</x:v>
      </x:c>
    </x:row>
    <x:row r="11" spans="1:9">
      <x:c r="A11" s="17" t="s">
        <x:v>32</x:v>
      </x:c>
      <x:c r="B11" s="17" t="s">
        <x:v>81</x:v>
      </x:c>
      <x:c r="C11" s="17" t="s">
        <x:v>65</x:v>
      </x:c>
      <x:c r="D11" s="18">
        <x:v>41060</x:v>
      </x:c>
      <x:c r="E11" s="17">
        <x:v>40</x:v>
      </x:c>
      <x:c r="F11" s="19">
        <x:v>150000</x:v>
      </x:c>
      <x:c r="G11" s="17">
        <x:v>29</x:v>
      </x:c>
      <x:c r="H11" s="20">
        <x:f t="shared" si="0"/>
        <x:v>4350000</x:v>
      </x:c>
      <x:c r="I11" s="34">
        <x:f t="shared" si="1"/>
        <x:v>1305000</x:v>
      </x:c>
    </x:row>
    <x:row r="12" spans="1:9">
      <x:c r="A12" s="17" t="s">
        <x:v>86</x:v>
      </x:c>
      <x:c r="B12" s="17" t="s">
        <x:v>80</x:v>
      </x:c>
      <x:c r="C12" s="17" t="s">
        <x:v>74</x:v>
      </x:c>
      <x:c r="D12" s="18">
        <x:v>41061</x:v>
      </x:c>
      <x:c r="E12" s="17">
        <x:v>50</x:v>
      </x:c>
      <x:c r="F12" s="19">
        <x:v>250000</x:v>
      </x:c>
      <x:c r="G12" s="17">
        <x:v>45</x:v>
      </x:c>
      <x:c r="H12" s="20">
        <x:f t="shared" si="0"/>
        <x:v>11250000</x:v>
      </x:c>
      <x:c r="I12" s="34">
        <x:f t="shared" si="1"/>
        <x:v>3375000</x:v>
      </x:c>
    </x:row>
    <x:row r="13" spans="1:9">
      <x:c r="A13" s="17" t="s">
        <x:v>86</x:v>
      </x:c>
      <x:c r="B13" s="17" t="s">
        <x:v>48</x:v>
      </x:c>
      <x:c r="C13" s="17" t="s">
        <x:v>75</x:v>
      </x:c>
      <x:c r="D13" s="18">
        <x:v>41060</x:v>
      </x:c>
      <x:c r="E13" s="17">
        <x:v>30</x:v>
      </x:c>
      <x:c r="F13" s="19">
        <x:v>250000</x:v>
      </x:c>
      <x:c r="G13" s="17">
        <x:v>19</x:v>
      </x:c>
      <x:c r="H13" s="20">
        <x:f t="shared" si="0"/>
        <x:v>4750000</x:v>
      </x:c>
      <x:c r="I13" s="34">
        <x:f t="shared" si="1"/>
        <x:v>1425000</x:v>
      </x:c>
    </x:row>
    <x:row r="14" spans="1:9">
      <x:c r="A14" s="17" t="s">
        <x:v>86</x:v>
      </x:c>
      <x:c r="B14" s="17" t="s">
        <x:v>81</x:v>
      </x:c>
      <x:c r="C14" s="17" t="s">
        <x:v>55</x:v>
      </x:c>
      <x:c r="D14" s="18">
        <x:v>41060</x:v>
      </x:c>
      <x:c r="E14" s="17">
        <x:v>50</x:v>
      </x:c>
      <x:c r="F14" s="19">
        <x:v>250000</x:v>
      </x:c>
      <x:c r="G14" s="17">
        <x:v>47</x:v>
      </x:c>
      <x:c r="H14" s="20">
        <x:f t="shared" si="0"/>
        <x:v>11750000</x:v>
      </x:c>
      <x:c r="I14" s="34">
        <x:f t="shared" si="1"/>
        <x:v>3525000</x:v>
      </x:c>
    </x:row>
    <x:row r="15" spans="1:9">
      <x:c r="A15" s="17" t="s">
        <x:v>32</x:v>
      </x:c>
      <x:c r="B15" s="17" t="s">
        <x:v>79</x:v>
      </x:c>
      <x:c r="C15" s="17" t="s">
        <x:v>40</x:v>
      </x:c>
      <x:c r="D15" s="18">
        <x:v>41061</x:v>
      </x:c>
      <x:c r="E15" s="17">
        <x:v>30</x:v>
      </x:c>
      <x:c r="F15" s="19">
        <x:v>150000</x:v>
      </x:c>
      <x:c r="G15" s="17">
        <x:v>26</x:v>
      </x:c>
      <x:c r="H15" s="20">
        <x:f t="shared" si="0"/>
        <x:v>3900000</x:v>
      </x:c>
      <x:c r="I15" s="34">
        <x:f t="shared" si="1"/>
        <x:v>1170000</x:v>
      </x:c>
    </x:row>
    <x:row r="16" spans="1:9">
      <x:c r="A16" s="17" t="s">
        <x:v>68</x:v>
      </x:c>
      <x:c r="B16" s="17" t="s">
        <x:v>79</x:v>
      </x:c>
      <x:c r="C16" s="17" t="s">
        <x:v>24</x:v>
      </x:c>
      <x:c r="D16" s="18">
        <x:v>41061</x:v>
      </x:c>
      <x:c r="E16" s="17">
        <x:v>80</x:v>
      </x:c>
      <x:c r="F16" s="19">
        <x:v>600000</x:v>
      </x:c>
      <x:c r="G16" s="17">
        <x:v>69</x:v>
      </x:c>
      <x:c r="H16" s="20">
        <x:f t="shared" si="0"/>
        <x:v>41400000</x:v>
      </x:c>
      <x:c r="I16" s="34">
        <x:f t="shared" si="1"/>
        <x:v>12420000</x:v>
      </x:c>
    </x:row>
    <x:row r="17" spans="1:9">
      <x:c r="A17" s="17" t="s">
        <x:v>32</x:v>
      </x:c>
      <x:c r="B17" s="17" t="s">
        <x:v>29</x:v>
      </x:c>
      <x:c r="C17" s="17" t="s">
        <x:v>25</x:v>
      </x:c>
      <x:c r="D17" s="18">
        <x:v>41061</x:v>
      </x:c>
      <x:c r="E17" s="17">
        <x:v>50</x:v>
      </x:c>
      <x:c r="F17" s="19">
        <x:v>150000</x:v>
      </x:c>
      <x:c r="G17" s="17">
        <x:v>40</x:v>
      </x:c>
      <x:c r="H17" s="20">
        <x:f t="shared" si="0"/>
        <x:v>6000000</x:v>
      </x:c>
      <x:c r="I17" s="34">
        <x:f t="shared" si="1"/>
        <x:v>1800000</x:v>
      </x:c>
    </x:row>
    <x:row r="18" spans="1:9">
      <x:c r="A18" s="17" t="s">
        <x:v>68</x:v>
      </x:c>
      <x:c r="B18" s="17" t="s">
        <x:v>29</x:v>
      </x:c>
      <x:c r="C18" s="17" t="s">
        <x:v>69</x:v>
      </x:c>
      <x:c r="D18" s="18">
        <x:v>41061</x:v>
      </x:c>
      <x:c r="E18" s="17">
        <x:v>60</x:v>
      </x:c>
      <x:c r="F18" s="19">
        <x:v>600000</x:v>
      </x:c>
      <x:c r="G18" s="17">
        <x:v>52</x:v>
      </x:c>
      <x:c r="H18" s="20">
        <x:f t="shared" si="0"/>
        <x:v>31200000</x:v>
      </x:c>
      <x:c r="I18" s="34">
        <x:f t="shared" si="1"/>
        <x:v>9360000</x:v>
      </x:c>
    </x:row>
  </x:sheetData>
  <x:mergeCells count="1">
    <x:mergeCell ref="A1:I1"/>
  </x:mergeCells>
  <x:pageMargins left="0.69986110925674438477" right="0.69986110925674438477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drawing r:id="rId1"/>
  <x:legacyDrawing r:id="rId2"/>
</x:worksheet>
</file>

<file path=xl/worksheets/sheet7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6"/>
  <x:dimension ref="A1:F11"/>
  <x:sheetViews>
    <x:sheetView topLeftCell="A1" zoomScaleNormal="100" zoomScaleSheetLayoutView="75" workbookViewId="0">
      <x:selection activeCell="G1" activeCellId="0" sqref="G1:G1"/>
    </x:sheetView>
  </x:sheetViews>
  <x:sheetFormatPr defaultColWidth="9" defaultRowHeight="16.39999999999999857891"/>
  <x:cols>
    <x:col min="1" max="1" width="14.25" customWidth="1"/>
    <x:col min="3" max="3" width="13.25" customWidth="1"/>
    <x:col min="4" max="4" width="13.375" customWidth="1"/>
    <x:col min="5" max="5" width="13.75" customWidth="1"/>
    <x:col min="6" max="6" width="17.25" customWidth="1"/>
  </x:cols>
  <x:sheetData>
    <x:row r="1" spans="1:1">
      <x:c r="A1" t="s">
        <x:v>12</x:v>
      </x:c>
    </x:row>
    <x:row r="2" spans="5:6">
      <x:c r="E2" t="s">
        <x:v>143</x:v>
      </x:c>
      <x:c r="F2" s="21">
        <x:v>1250</x:v>
      </x:c>
    </x:row>
    <x:row r="3" spans="1:6">
      <x:c r="A3" s="1" t="s">
        <x:v>151</x:v>
      </x:c>
      <x:c r="B3" s="1" t="s">
        <x:v>78</x:v>
      </x:c>
      <x:c r="C3" s="1" t="s">
        <x:v>141</x:v>
      </x:c>
      <x:c r="D3" s="1" t="s">
        <x:v>149</x:v>
      </x:c>
      <x:c r="E3" s="1" t="s">
        <x:v>144</x:v>
      </x:c>
      <x:c r="F3" s="1" t="s">
        <x:v>136</x:v>
      </x:c>
    </x:row>
    <x:row r="4" spans="1:6">
      <x:c r="A4" s="1" t="s">
        <x:v>5</x:v>
      </x:c>
      <x:c r="B4" s="1" t="s">
        <x:v>71</x:v>
      </x:c>
      <x:c r="C4" s="1" t="s">
        <x:v>145</x:v>
      </x:c>
      <x:c r="D4" s="22">
        <x:v>900</x:v>
      </x:c>
      <x:c r="E4" s="23">
        <x:v>136</x:v>
      </x:c>
      <x:c r="F4" s="34">
        <x:f>D4*$F$2*E4</x:f>
        <x:v>153000000</x:v>
      </x:c>
    </x:row>
    <x:row r="5" spans="1:6">
      <x:c r="A5" s="1" t="s">
        <x:v>3</x:v>
      </x:c>
      <x:c r="B5" s="1" t="s">
        <x:v>64</x:v>
      </x:c>
      <x:c r="C5" s="1" t="s">
        <x:v>138</x:v>
      </x:c>
      <x:c r="D5" s="23">
        <x:v>1000</x:v>
      </x:c>
      <x:c r="E5" s="23">
        <x:v>58</x:v>
      </x:c>
      <x:c r="F5" s="34">
        <x:f t="shared" ref="F5:F11" si="0">D5*$F$2*E5</x:f>
        <x:v>72500000</x:v>
      </x:c>
    </x:row>
    <x:row r="6" spans="1:6">
      <x:c r="A6" s="1" t="s">
        <x:v>7</x:v>
      </x:c>
      <x:c r="B6" s="1" t="s">
        <x:v>71</x:v>
      </x:c>
      <x:c r="C6" s="1" t="s">
        <x:v>58</x:v>
      </x:c>
      <x:c r="D6" s="23">
        <x:v>700</x:v>
      </x:c>
      <x:c r="E6" s="23">
        <x:v>45</x:v>
      </x:c>
      <x:c r="F6" s="34">
        <x:f t="shared" si="0"/>
        <x:v>39375000</x:v>
      </x:c>
    </x:row>
    <x:row r="7" spans="1:6">
      <x:c r="A7" s="1" t="s">
        <x:v>2</x:v>
      </x:c>
      <x:c r="B7" s="1" t="s">
        <x:v>64</x:v>
      </x:c>
      <x:c r="C7" s="1" t="s">
        <x:v>150</x:v>
      </x:c>
      <x:c r="D7" s="23">
        <x:v>500</x:v>
      </x:c>
      <x:c r="E7" s="23">
        <x:v>782</x:v>
      </x:c>
      <x:c r="F7" s="34">
        <x:f t="shared" si="0"/>
        <x:v>488750000</x:v>
      </x:c>
    </x:row>
    <x:row r="8" spans="1:6">
      <x:c r="A8" s="1" t="s">
        <x:v>6</x:v>
      </x:c>
      <x:c r="B8" s="1" t="s">
        <x:v>71</x:v>
      </x:c>
      <x:c r="C8" s="1">
        <x:v>1944</x:v>
      </x:c>
      <x:c r="D8" s="23">
        <x:v>1200</x:v>
      </x:c>
      <x:c r="E8" s="23">
        <x:v>56</x:v>
      </x:c>
      <x:c r="F8" s="34">
        <x:f t="shared" si="0"/>
        <x:v>84000000</x:v>
      </x:c>
    </x:row>
    <x:row r="9" spans="1:6">
      <x:c r="A9" s="1" t="s">
        <x:v>11</x:v>
      </x:c>
      <x:c r="B9" s="1" t="s">
        <x:v>64</x:v>
      </x:c>
      <x:c r="C9" s="1" t="s">
        <x:v>60</x:v>
      </x:c>
      <x:c r="D9" s="23">
        <x:v>400</x:v>
      </x:c>
      <x:c r="E9" s="23">
        <x:v>154</x:v>
      </x:c>
      <x:c r="F9" s="34">
        <x:f t="shared" si="0"/>
        <x:v>77000000</x:v>
      </x:c>
    </x:row>
    <x:row r="10" spans="1:6">
      <x:c r="A10" s="1" t="s">
        <x:v>9</x:v>
      </x:c>
      <x:c r="B10" s="1" t="s">
        <x:v>71</x:v>
      </x:c>
      <x:c r="C10" s="1" t="s">
        <x:v>110</x:v>
      </x:c>
      <x:c r="D10" s="23">
        <x:v>1000</x:v>
      </x:c>
      <x:c r="E10" s="23">
        <x:v>23</x:v>
      </x:c>
      <x:c r="F10" s="34">
        <x:f t="shared" si="0"/>
        <x:v>28750000</x:v>
      </x:c>
    </x:row>
    <x:row r="11" spans="1:6">
      <x:c r="A11" s="1" t="s">
        <x:v>1</x:v>
      </x:c>
      <x:c r="B11" s="1" t="s">
        <x:v>64</x:v>
      </x:c>
      <x:c r="C11" s="1" t="s">
        <x:v>153</x:v>
      </x:c>
      <x:c r="D11" s="23">
        <x:v>700</x:v>
      </x:c>
      <x:c r="E11" s="23">
        <x:v>98</x:v>
      </x:c>
      <x:c r="F11" s="34">
        <x:f t="shared" si="0"/>
        <x:v>85750000</x:v>
      </x:c>
    </x:row>
  </x:sheetData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  <x:drawing r:id="rId1"/>
  <x:legacyDrawing r:id="rId2"/>
</x:worksheet>
</file>

<file path=xl/worksheets/sheet8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7"/>
  <x:dimension ref="B2:E17"/>
  <x:sheetViews>
    <x:sheetView tabSelected="1" topLeftCell="A1" zoomScaleNormal="100" zoomScaleSheetLayoutView="75" workbookViewId="0">
      <x:selection activeCell="F1" activeCellId="0" sqref="F1:F1"/>
    </x:sheetView>
  </x:sheetViews>
  <x:sheetFormatPr defaultColWidth="9" defaultRowHeight="16.39999999999999857891"/>
  <x:cols>
    <x:col min="2" max="2" width="15.25" customWidth="1"/>
    <x:col min="3" max="3" width="11.5" customWidth="1"/>
    <x:col min="4" max="4" width="9.625" customWidth="1"/>
    <x:col min="5" max="5" width="12.875" customWidth="1"/>
  </x:cols>
  <x:sheetData>
    <x:row r="2" spans="4:5">
      <x:c r="D2" s="3" t="s">
        <x:v>101</x:v>
      </x:c>
      <x:c r="E2" s="24">
        <x:v>1198.8800000000001</x:v>
      </x:c>
    </x:row>
    <x:row r="3" spans="2:5">
      <x:c r="B3" s="1" t="s">
        <x:v>61</x:v>
      </x:c>
      <x:c r="C3" s="1" t="s">
        <x:v>144</x:v>
      </x:c>
      <x:c r="D3" s="1" t="s">
        <x:v>120</x:v>
      </x:c>
      <x:c r="E3" s="1" t="s">
        <x:v>59</x:v>
      </x:c>
    </x:row>
    <x:row r="4" spans="2:5">
      <x:c r="B4" s="1" t="s">
        <x:v>0</x:v>
      </x:c>
      <x:c r="C4" s="1">
        <x:v>12</x:v>
      </x:c>
      <x:c r="D4" s="3">
        <x:v>1</x:v>
      </x:c>
      <x:c r="E4" s="34">
        <x:f>C4*D4*$E$2</x:f>
        <x:v>14386.560000000001</x:v>
      </x:c>
    </x:row>
    <x:row r="5" spans="2:5">
      <x:c r="B5" s="1" t="s">
        <x:v>146</x:v>
      </x:c>
      <x:c r="C5" s="1">
        <x:v>20</x:v>
      </x:c>
      <x:c r="D5" s="3">
        <x:v>1.5</x:v>
      </x:c>
      <x:c r="E5" s="34">
        <x:f t="shared" ref="E5:E11" si="0">C5*D5*$E$2</x:f>
        <x:v>35966.400000000001</x:v>
      </x:c>
    </x:row>
    <x:row r="6" spans="2:5">
      <x:c r="B6" s="1" t="s">
        <x:v>62</x:v>
      </x:c>
      <x:c r="C6" s="1">
        <x:v>23</x:v>
      </x:c>
      <x:c r="D6" s="3">
        <x:v>1.3</x:v>
      </x:c>
      <x:c r="E6" s="34">
        <x:f t="shared" si="0"/>
        <x:v>35846.512000000002</x:v>
      </x:c>
    </x:row>
    <x:row r="7" spans="2:5">
      <x:c r="B7" s="1" t="s">
        <x:v>139</x:v>
      </x:c>
      <x:c r="C7" s="1">
        <x:v>9</x:v>
      </x:c>
      <x:c r="D7" s="3">
        <x:v>2.5</x:v>
      </x:c>
      <x:c r="E7" s="34">
        <x:f t="shared" si="0"/>
        <x:v>26974.800000000003</x:v>
      </x:c>
    </x:row>
    <x:row r="8" spans="2:5">
      <x:c r="B8" s="1" t="s">
        <x:v>142</x:v>
      </x:c>
      <x:c r="C8" s="1">
        <x:v>8</x:v>
      </x:c>
      <x:c r="D8" s="3">
        <x:v>1.7</x:v>
      </x:c>
      <x:c r="E8" s="34">
        <x:f t="shared" si="0"/>
        <x:v>16304.768000000002</x:v>
      </x:c>
    </x:row>
    <x:row r="9" spans="2:5">
      <x:c r="B9" s="1" t="s">
        <x:v>77</x:v>
      </x:c>
      <x:c r="C9" s="1">
        <x:v>31</x:v>
      </x:c>
      <x:c r="D9" s="3">
        <x:v>1.2</x:v>
      </x:c>
      <x:c r="E9" s="34">
        <x:f t="shared" si="0"/>
        <x:v>44598.335999999996</x:v>
      </x:c>
    </x:row>
    <x:row r="10" spans="2:5">
      <x:c r="B10" s="1" t="s">
        <x:v>57</x:v>
      </x:c>
      <x:c r="C10" s="1">
        <x:v>25</x:v>
      </x:c>
      <x:c r="D10" s="3">
        <x:v>0.69999999999999996</x:v>
      </x:c>
      <x:c r="E10" s="34">
        <x:f t="shared" si="0"/>
        <x:v>20980.400000000001</x:v>
      </x:c>
    </x:row>
    <x:row r="11" spans="2:5">
      <x:c r="B11" s="1" t="s">
        <x:v>135</x:v>
      </x:c>
      <x:c r="C11" s="1">
        <x:v>219</x:v>
      </x:c>
      <x:c r="D11" s="3">
        <x:v>0.5</x:v>
      </x:c>
      <x:c r="E11" s="34">
        <x:f t="shared" si="0"/>
        <x:v>131277.36000000002</x:v>
      </x:c>
    </x:row>
    <x:row r="17" spans="2:3">
      <x:c r="B17" s="11"/>
      <x:c r="C17" s="11"/>
    </x:row>
  </x:sheetData>
  <x:pageMargins left="0.69986110925674438477" right="0.69986110925674438477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  <x:drawing r:id="rId1"/>
  <x:legacyDrawing r:id="rId2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8" baseType="lpstr">
      <vt:lpstr>매크로작업1</vt:lpstr>
      <vt:lpstr>매크로작업2</vt:lpstr>
      <vt:lpstr>매크로작업3</vt:lpstr>
      <vt:lpstr>매크로작업4</vt:lpstr>
      <vt:lpstr>매크로작업5</vt:lpstr>
      <vt:lpstr>매크로작업6</vt:lpstr>
      <vt:lpstr>매크로작업7</vt:lpstr>
      <vt:lpstr>매크로작업8</vt:lpstr>
    </vt:vector>
  </ep:TitlesOfParts>
  <ep:TotalTime>43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mondi</cp:lastModifiedBy>
  <cp:revision>5</cp:revision>
  <dcterms:created xsi:type="dcterms:W3CDTF">2023-01-17T14:22:13.000</dcterms:created>
  <dcterms:modified xsi:type="dcterms:W3CDTF">2023-05-21T13:51:23.027</dcterms:modified>
  <cp:version>1200.0100.01</cp:version>
</cp:coreProperties>
</file>