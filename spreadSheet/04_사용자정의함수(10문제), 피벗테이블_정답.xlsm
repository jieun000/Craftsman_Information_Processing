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ssi\Documents\00_유튜브 강의\02_컴활1급실기\00_유튜브 라이브 강의\01_스프레드시트\04일차_사용자정의함수,피벗테이블\"/>
    </mc:Choice>
  </mc:AlternateContent>
  <bookViews>
    <workbookView xWindow="0" yWindow="0" windowWidth="14385" windowHeight="6570" tabRatio="888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69" r:id="rId12"/>
    <sheet name="피벗테이블2" sheetId="70" r:id="rId13"/>
    <sheet name="Sheet3" sheetId="76" r:id="rId14"/>
    <sheet name="피벗테이블3" sheetId="71" r:id="rId15"/>
    <sheet name="피벗테이블4" sheetId="72" r:id="rId16"/>
    <sheet name="피벗테이블5" sheetId="73" r:id="rId17"/>
  </sheets>
  <functionGroups builtInGroupCount="18"/>
  <externalReferences>
    <externalReference r:id="rId18"/>
    <externalReference r:id="rId19"/>
    <externalReference r:id="rId20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62913"/>
  <pivotCaches>
    <pivotCache cacheId="0" r:id="rId21"/>
    <pivotCache cacheId="4" r:id="rId22"/>
    <pivotCache cacheId="140" r:id="rId23"/>
    <pivotCache cacheId="141" r:id="rId24"/>
    <pivotCache cacheId="142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  <x15:modelTable id="소득공제" name="소득공제" connection="소득공제"/>
          <x15:modelTable id="기풍전자판매현황" name="기풍전자판매현황" connection="기풍전자판매현황"/>
        </x15:modelTables>
      </x15:dataModel>
    </ext>
  </extLst>
</workbook>
</file>

<file path=xl/calcChain.xml><?xml version="1.0" encoding="utf-8"?>
<calcChain xmlns="http://schemas.openxmlformats.org/spreadsheetml/2006/main">
  <c r="K7" i="68" l="1"/>
  <c r="K9" i="68"/>
  <c r="K22" i="68"/>
  <c r="K21" i="37"/>
  <c r="K9" i="37"/>
  <c r="K18" i="37"/>
  <c r="I23" i="67"/>
  <c r="I8" i="67"/>
  <c r="I37" i="67"/>
  <c r="I27" i="67"/>
  <c r="I4" i="67"/>
  <c r="I26" i="40"/>
  <c r="I23" i="40"/>
  <c r="I15" i="40"/>
  <c r="I17" i="40"/>
  <c r="J14" i="38"/>
  <c r="J15" i="38"/>
  <c r="J37" i="38"/>
  <c r="J29" i="38"/>
  <c r="J27" i="38"/>
  <c r="K15" i="66"/>
  <c r="K8" i="66"/>
  <c r="K25" i="66"/>
  <c r="K4" i="66"/>
  <c r="K14" i="39"/>
  <c r="K8" i="39"/>
  <c r="K25" i="39"/>
  <c r="J13" i="33"/>
  <c r="J7" i="33"/>
  <c r="J8" i="33"/>
  <c r="J9" i="33"/>
  <c r="J26" i="33"/>
  <c r="H21" i="32"/>
  <c r="H38" i="32"/>
  <c r="H8" i="32"/>
  <c r="H33" i="32"/>
  <c r="H20" i="32"/>
  <c r="I32" i="36"/>
  <c r="I27" i="36"/>
  <c r="I12" i="36"/>
  <c r="K33" i="39"/>
  <c r="J23" i="33"/>
  <c r="J17" i="33"/>
  <c r="H29" i="32"/>
  <c r="H16" i="32"/>
  <c r="H18" i="32"/>
  <c r="I10" i="36"/>
  <c r="I28" i="36"/>
  <c r="I19" i="36"/>
  <c r="H25" i="32"/>
  <c r="K15" i="68"/>
  <c r="K17" i="68"/>
  <c r="K10" i="68"/>
  <c r="K11" i="37"/>
  <c r="K25" i="37"/>
  <c r="K12" i="37"/>
  <c r="I31" i="67"/>
  <c r="I16" i="67"/>
  <c r="I38" i="67"/>
  <c r="I28" i="67"/>
  <c r="I5" i="40"/>
  <c r="I27" i="40"/>
  <c r="I39" i="40"/>
  <c r="I31" i="40"/>
  <c r="I33" i="40"/>
  <c r="J22" i="38"/>
  <c r="J8" i="38"/>
  <c r="J9" i="38"/>
  <c r="J10" i="38"/>
  <c r="J13" i="38"/>
  <c r="K23" i="66"/>
  <c r="K16" i="66"/>
  <c r="K19" i="66"/>
  <c r="K5" i="39"/>
  <c r="K22" i="39"/>
  <c r="K16" i="39"/>
  <c r="J21" i="33"/>
  <c r="J16" i="33"/>
  <c r="J11" i="33"/>
  <c r="H28" i="32"/>
  <c r="H4" i="32"/>
  <c r="I7" i="36"/>
  <c r="I9" i="36"/>
  <c r="I18" i="36"/>
  <c r="K23" i="68"/>
  <c r="K25" i="68"/>
  <c r="K6" i="68"/>
  <c r="K6" i="37"/>
  <c r="K10" i="37"/>
  <c r="K8" i="37"/>
  <c r="I39" i="67"/>
  <c r="I24" i="67"/>
  <c r="I9" i="67"/>
  <c r="I29" i="67"/>
  <c r="I13" i="40"/>
  <c r="I20" i="40"/>
  <c r="I24" i="40"/>
  <c r="I8" i="40"/>
  <c r="I34" i="40"/>
  <c r="J30" i="38"/>
  <c r="J16" i="38"/>
  <c r="J17" i="38"/>
  <c r="J18" i="38"/>
  <c r="J4" i="38"/>
  <c r="K31" i="66"/>
  <c r="K24" i="66"/>
  <c r="K12" i="66"/>
  <c r="K13" i="39"/>
  <c r="K30" i="39"/>
  <c r="K24" i="39"/>
  <c r="K18" i="39"/>
  <c r="J37" i="33"/>
  <c r="J31" i="33"/>
  <c r="J24" i="33"/>
  <c r="J25" i="33"/>
  <c r="J19" i="33"/>
  <c r="H37" i="32"/>
  <c r="H7" i="32"/>
  <c r="H24" i="32"/>
  <c r="H36" i="32"/>
  <c r="I33" i="36"/>
  <c r="I11" i="36"/>
  <c r="I31" i="36"/>
  <c r="K13" i="68"/>
  <c r="K18" i="68"/>
  <c r="K11" i="68"/>
  <c r="K14" i="37"/>
  <c r="K19" i="37"/>
  <c r="K4" i="37"/>
  <c r="I34" i="67"/>
  <c r="I32" i="67"/>
  <c r="I17" i="67"/>
  <c r="I30" i="67"/>
  <c r="I21" i="40"/>
  <c r="I6" i="40"/>
  <c r="I40" i="40"/>
  <c r="I32" i="40"/>
  <c r="I35" i="40"/>
  <c r="J38" i="38"/>
  <c r="J24" i="38"/>
  <c r="J25" i="38"/>
  <c r="J26" i="38"/>
  <c r="K6" i="66"/>
  <c r="K32" i="66"/>
  <c r="K33" i="66"/>
  <c r="K29" i="66"/>
  <c r="K21" i="39"/>
  <c r="K7" i="39"/>
  <c r="K32" i="39"/>
  <c r="K12" i="39"/>
  <c r="J6" i="33"/>
  <c r="J39" i="33"/>
  <c r="J32" i="33"/>
  <c r="J33" i="33"/>
  <c r="J27" i="33"/>
  <c r="H34" i="32"/>
  <c r="H15" i="32"/>
  <c r="H32" i="32"/>
  <c r="H10" i="32"/>
  <c r="I6" i="36"/>
  <c r="I20" i="36"/>
  <c r="I15" i="36"/>
  <c r="I13" i="36"/>
  <c r="I17" i="36"/>
  <c r="I5" i="36"/>
  <c r="K13" i="37"/>
  <c r="I26" i="67"/>
  <c r="I9" i="40"/>
  <c r="J28" i="38"/>
  <c r="K13" i="66"/>
  <c r="K19" i="39"/>
  <c r="J28" i="33"/>
  <c r="H30" i="32"/>
  <c r="I26" i="36"/>
  <c r="K14" i="68"/>
  <c r="K19" i="68"/>
  <c r="K21" i="68"/>
  <c r="K22" i="37"/>
  <c r="K20" i="37"/>
  <c r="I5" i="67"/>
  <c r="I35" i="67"/>
  <c r="I40" i="67"/>
  <c r="I25" i="67"/>
  <c r="I11" i="67"/>
  <c r="I29" i="40"/>
  <c r="I14" i="40"/>
  <c r="I18" i="40"/>
  <c r="I10" i="40"/>
  <c r="I12" i="40"/>
  <c r="J7" i="38"/>
  <c r="J32" i="38"/>
  <c r="J33" i="38"/>
  <c r="J34" i="38"/>
  <c r="K14" i="66"/>
  <c r="K17" i="66"/>
  <c r="K18" i="66"/>
  <c r="K10" i="66"/>
  <c r="K29" i="39"/>
  <c r="K15" i="39"/>
  <c r="K26" i="39"/>
  <c r="K10" i="39"/>
  <c r="J14" i="33"/>
  <c r="J35" i="33"/>
  <c r="J40" i="33"/>
  <c r="J41" i="33"/>
  <c r="J36" i="33"/>
  <c r="H6" i="32"/>
  <c r="H23" i="32"/>
  <c r="H26" i="32"/>
  <c r="H11" i="32"/>
  <c r="I24" i="36"/>
  <c r="I29" i="36"/>
  <c r="K5" i="68"/>
  <c r="I25" i="40"/>
  <c r="J36" i="38"/>
  <c r="K9" i="66"/>
  <c r="K17" i="39"/>
  <c r="J20" i="33"/>
  <c r="H12" i="32"/>
  <c r="K8" i="68"/>
  <c r="K12" i="68"/>
  <c r="K4" i="68"/>
  <c r="K15" i="37"/>
  <c r="K7" i="37"/>
  <c r="I6" i="67"/>
  <c r="I20" i="67"/>
  <c r="I18" i="67"/>
  <c r="I33" i="67"/>
  <c r="I13" i="67"/>
  <c r="I37" i="40"/>
  <c r="I22" i="40"/>
  <c r="I11" i="40"/>
  <c r="I19" i="40"/>
  <c r="I4" i="40"/>
  <c r="J23" i="38"/>
  <c r="J40" i="38"/>
  <c r="J19" i="38"/>
  <c r="J11" i="38"/>
  <c r="K22" i="66"/>
  <c r="K26" i="66"/>
  <c r="K20" i="66"/>
  <c r="K28" i="66"/>
  <c r="K27" i="39"/>
  <c r="K23" i="39"/>
  <c r="K20" i="39"/>
  <c r="K11" i="39"/>
  <c r="J22" i="33"/>
  <c r="J29" i="33"/>
  <c r="J18" i="33"/>
  <c r="J10" i="33"/>
  <c r="J4" i="33"/>
  <c r="H14" i="32"/>
  <c r="H31" i="32"/>
  <c r="H9" i="32"/>
  <c r="H19" i="32"/>
  <c r="I16" i="36"/>
  <c r="I22" i="36"/>
  <c r="I8" i="36"/>
  <c r="I4" i="36"/>
  <c r="K16" i="37"/>
  <c r="I36" i="67"/>
  <c r="I38" i="40"/>
  <c r="J6" i="38"/>
  <c r="J21" i="38"/>
  <c r="K11" i="66"/>
  <c r="J5" i="33"/>
  <c r="J12" i="33"/>
  <c r="H35" i="32"/>
  <c r="K16" i="68"/>
  <c r="K20" i="68"/>
  <c r="K5" i="37"/>
  <c r="K23" i="37"/>
  <c r="K24" i="37"/>
  <c r="I7" i="67"/>
  <c r="I21" i="67"/>
  <c r="I19" i="67"/>
  <c r="I10" i="67"/>
  <c r="I22" i="67"/>
  <c r="I16" i="40"/>
  <c r="I30" i="40"/>
  <c r="I28" i="40"/>
  <c r="I36" i="40"/>
  <c r="J5" i="38"/>
  <c r="J31" i="38"/>
  <c r="J12" i="38"/>
  <c r="J35" i="38"/>
  <c r="J20" i="38"/>
  <c r="K30" i="66"/>
  <c r="K27" i="66"/>
  <c r="K5" i="66"/>
  <c r="K21" i="66"/>
  <c r="K28" i="39"/>
  <c r="K31" i="39"/>
  <c r="K9" i="39"/>
  <c r="K4" i="39"/>
  <c r="J30" i="33"/>
  <c r="J15" i="33"/>
  <c r="J42" i="33"/>
  <c r="J34" i="33"/>
  <c r="H5" i="32"/>
  <c r="H22" i="32"/>
  <c r="H39" i="32"/>
  <c r="H17" i="32"/>
  <c r="H27" i="32"/>
  <c r="I21" i="36"/>
  <c r="I25" i="36"/>
  <c r="I30" i="36"/>
  <c r="I23" i="36"/>
  <c r="K24" i="68"/>
  <c r="K17" i="37"/>
  <c r="I15" i="67"/>
  <c r="I14" i="67"/>
  <c r="I12" i="67"/>
  <c r="I7" i="40"/>
  <c r="J39" i="38"/>
  <c r="K7" i="66"/>
  <c r="K6" i="39"/>
  <c r="J38" i="33"/>
  <c r="H13" i="32"/>
  <c r="I14" i="36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기풍대학오피스점수.accdb;DefaultDir=C:\OA;DriverId=25;FIL=MS Access;MaxBufferSize=2048;PageTimeout=5;" command="SELECT 기풍대학오피스점수.이름, 기풍대학오피스점수.학과, 기풍대학오피스점수.과목, 기풍대학오피스점수.접수일, 기풍대학오피스점수.시험날짜, 기풍대학오피스점수.점수_x000d__x000a_FROM `C:\OA\기풍대학오피스점수.accdb`.기풍대학오피스점수 기풍대학오피스점수"/>
  </connection>
  <connection id="2" name="MS Access Database_Query1" type="1" refreshedVersion="6">
    <dbPr connection="DSN=MS Access Database;DBQ=C:\OA\기풍대학오피스점수.accdb;DefaultDir=C:\OA;DriverId=25;FIL=MS Access;MaxBufferSize=2048;PageTimeout=5;" command="SELECT 기풍대학오피스점수.이름, 기풍대학오피스점수.학과, 기풍대학오피스점수.접수일, 기풍대학오피스점수.시험날짜, 기풍대학오피스점수.점수, 기풍대학오피스점수.과목_x000d__x000a_FROM `C:\OA\기풍대학오피스점수.accdb`.기풍대학오피스점수 기풍대학오피스점수"/>
  </connection>
  <connection id="3" name="MS Access Database_Query2" type="1" refreshedVersion="6">
    <dbPr connection="DSN=MS Access Database;DBQ=C:\OA\생활기상정보.accdb;DefaultDir=C:\OA;DriverId=25;FIL=MS Access;MaxBufferSize=2048;PageTimeout=5;" command="SELECT 기상자료.기상, 기상자료.지역, 기상자료.`1월`, 기상자료.`2월`, 기상자료.`3월`, 기상자료.`4월`, 기상자료.`5월`, 기상자료.`12월`_x000d__x000a_FROM `C:\OA\생활기상정보.accdb`.기상자료 기상자료"/>
  </connection>
  <connection id="4" name="MS Access Database_Query3" type="1" refreshedVersion="6">
    <dbPr connection="DSN=MS Access Database;DBQ=C:\OA\기풍대학오피스점수.accdb;DefaultDir=C:\OA;DriverId=25;FIL=MS Access;MaxBufferSize=2048;PageTimeout=5;" command="SELECT 기풍대학오피스점수.학과, 기풍대학오피스점수.과목, 기풍대학오피스점수.접수일, 기풍대학오피스점수.시험날짜, 기풍대학오피스점수.점수_x000d__x000a_FROM `C:\OA\기풍대학오피스점수.accdb`.기풍대학오피스점수 기풍대학오피스점수"/>
  </connection>
  <connection id="5" name="MS Access Database_Query4" type="1" refreshedVersion="6">
    <dbPr connection="DSN=MS Access Database;DBQ=C:\OA\기풍대학오피스점수.accdb;DefaultDir=C:\OA;DriverId=25;FIL=MS Access;MaxBufferSize=2048;PageTimeout=5;" command="SELECT 기풍대학오피스점수.학번, 기풍대학오피스점수.학과, 기풍대학오피스점수.과목, 기풍대학오피스점수.접수일, 기풍대학오피스점수.시험날짜, 기풍대학오피스점수.점수_x000d__x000a_FROM `C:\OA\기풍대학오피스점수.accdb`.기풍대학오피스점수 기풍대학오피스점수"/>
  </connection>
  <connection id="6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name="기풍전자판매현황" type="103" refreshedVersion="6" minRefreshableVersion="5">
    <extLst>
      <ext xmlns:x15="http://schemas.microsoft.com/office/spreadsheetml/2010/11/main" uri="{DE250136-89BD-433C-8126-D09CA5730AF9}">
        <x15:connection id="기풍전자판매현황" autoDelete="1">
          <x15:textPr codePage="949" sourceFile="C:\OA\기풍전자판매현황.csv" tab="0" comma="1">
            <textFields count="5"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8" name="소득공제" type="103" refreshedVersion="6" minRefreshableVersion="5">
    <extLst>
      <ext xmlns:x15="http://schemas.microsoft.com/office/spreadsheetml/2010/11/main" uri="{DE250136-89BD-433C-8126-D09CA5730AF9}">
        <x15:connection id="소득공제" autoDelete="1">
          <x15:textPr codePage="949" sourceFile="C:\OA\소득공제.txt">
            <textFields count="6"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9" name="출석부관리" type="103" refreshedVersion="6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OA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<sst xmlns="http://schemas.openxmlformats.org/spreadsheetml/2006/main" count="1569" uniqueCount="376">
  <si>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</si>
  <si>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</si>
  <si>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</si>
  <si>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</si>
  <si>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</si>
  <si>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</si>
  <si>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</si>
  <si>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</si>
  <si>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</si>
  <si>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</si>
  <si>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</si>
  <si>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</si>
  <si>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</si>
  <si>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</si>
  <si>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</si>
  <si>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</si>
  <si>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</si>
  <si>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</si>
  <si>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</si>
  <si>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</si>
  <si>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</si>
  <si>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</si>
  <si>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</si>
  <si>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</si>
  <si>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</si>
  <si>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</si>
  <si>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</si>
  <si>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</si>
  <si>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</si>
  <si>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</si>
  <si>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</si>
  <si>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</si>
  <si>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</si>
  <si>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</si>
  <si>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</si>
  <si>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</si>
  <si>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</si>
  <si>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</si>
  <si>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</si>
  <si>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</si>
  <si>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</si>
  <si>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</si>
  <si>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</si>
  <si>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</si>
  <si>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</si>
  <si>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</si>
  <si>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</si>
  <si>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</si>
  <si>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</si>
  <si>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</si>
  <si>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</si>
  <si>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</si>
  <si>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</si>
  <si>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</si>
  <si>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</si>
  <si>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</si>
  <si>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</si>
  <si>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</si>
  <si>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</si>
  <si>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</si>
  <si>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</si>
  <si>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</si>
  <si>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</si>
  <si>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</si>
  <si>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</si>
  <si>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</si>
  <si>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</si>
  <si>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</si>
  <si>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</si>
  <si>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</si>
  <si>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</si>
  <si>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</si>
  <si>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</si>
  <si>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</si>
  <si>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</si>
  <si>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</si>
  <si>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</si>
  <si>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</si>
  <si>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</si>
  <si>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</si>
  <si>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</si>
  <si>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</si>
  <si>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</si>
  <si>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</si>
  <si>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</si>
  <si>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</si>
  <si>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</si>
  <si>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</si>
  <si>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</si>
  <si>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</si>
  <si>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</si>
  <si>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</si>
  <si>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</si>
  <si>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</si>
  <si>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</si>
  <si>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</si>
  <si>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</si>
  <si>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</si>
  <si>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</si>
  <si>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</si>
  <si>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</si>
  <si>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</si>
  <si>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</si>
  <si>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</si>
  <si>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</si>
  <si>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</si>
  <si>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</si>
  <si>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</si>
  <si>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</si>
  <si>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</si>
  <si>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</si>
  <si>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</si>
  <si>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</si>
  <si>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</si>
  <si>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</si>
  <si>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</si>
  <si>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</si>
  <si>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</si>
  <si>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</si>
  <si>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</si>
  <si>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</si>
  <si>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</si>
  <si>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</si>
  <si>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</si>
  <si>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</si>
  <si>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</si>
  <si>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</si>
  <si>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</si>
  <si>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</si>
  <si>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</si>
  <si>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</si>
  <si>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</si>
  <si>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</si>
  <si>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</si>
  <si>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</si>
  <si>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</si>
  <si>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</si>
  <si>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</si>
  <si>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</si>
  <si>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</si>
  <si>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</si>
  <si>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</si>
  <si>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</si>
  <si>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</si>
  <si>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</si>
  <si>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</si>
  <si>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</si>
  <si>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</si>
  <si>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</si>
  <si>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</si>
  <si>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</si>
  <si>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</si>
  <si>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</si>
  <si>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</si>
  <si>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</si>
  <si>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</si>
  <si>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</si>
  <si>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</si>
  <si>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</si>
  <si>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</si>
  <si>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</si>
  <si>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</si>
  <si>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</si>
  <si>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</si>
  <si>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</si>
  <si>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</si>
  <si>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</si>
  <si>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</si>
  <si>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</si>
  <si>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</si>
  <si>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</si>
  <si>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</si>
  <si>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</si>
  <si>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</si>
  <si>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</si>
  <si>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</si>
  <si>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</si>
  <si>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</si>
  <si>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</si>
  <si>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</si>
  <si>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</si>
  <si>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</si>
  <si>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</si>
  <si>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</si>
  <si>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</si>
  <si>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</si>
  <si>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</si>
  <si>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</si>
  <si>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</si>
  <si>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</si>
  <si>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</si>
  <si>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</si>
  <si>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</si>
  <si>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</si>
  <si>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</si>
  <si>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</si>
  <si>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</si>
  <si>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</si>
  <si>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</si>
  <si>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</si>
  <si>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</si>
  <si>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</si>
  <si>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</si>
  <si>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</si>
  <si>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</si>
  <si>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</si>
  <si>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</si>
  <si>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</si>
  <si>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</si>
  <si>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</si>
  <si>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</si>
  <si>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</si>
  <si>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</si>
  <si>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</si>
  <si>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</si>
  <si>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</si>
  <si>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</si>
  <si>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</si>
  <si>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</si>
  <si>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</si>
  <si>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</si>
  <si>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</si>
  <si>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</si>
  <si>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</si>
  <si>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</si>
  <si>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</si>
  <si>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</si>
  <si>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</si>
  <si>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</si>
  <si>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</si>
  <si>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</si>
  <si>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</si>
  <si>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</si>
  <si>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</si>
  <si>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</si>
  <si>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</si>
  <si>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</si>
  <si>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</si>
  <si>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</si>
  <si>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</si>
  <si>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</si>
  <si>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</si>
  <si>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</si>
  <si>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</si>
  <si>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</si>
  <si>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</si>
  <si>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</si>
  <si>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</si>
  <si>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</si>
  <si>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</si>
  <si>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</si>
  <si>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</si>
  <si>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</si>
  <si>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</si>
  <si>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</si>
  <si>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</si>
  <si>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</si>
  <si>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</si>
  <si>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</si>
  <si>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</si>
  <si>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</si>
  <si>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</si>
  <si>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</si>
  <si>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</si>
  <si>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</si>
  <si>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</si>
  <si>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</si>
  <si>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</si>
  <si>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</si>
  <si>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</si>
  <si>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</si>
  <si>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</si>
  <si>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</si>
  <si>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</si>
  <si>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</si>
  <si>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</si>
  <si>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</si>
  <si>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</si>
  <si>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</si>
  <si>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</si>
  <si>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</si>
  <si>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</si>
  <si>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</si>
  <si>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</si>
  <si>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</si>
  <si>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</si>
  <si>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</si>
  <si>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</si>
  <si>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</si>
  <si>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</si>
  <si>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</si>
  <si>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</si>
  <si>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</si>
  <si>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</si>
  <si>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</si>
  <si>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</si>
  <si>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</si>
  <si>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</si>
  <si>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</si>
  <si>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</si>
  <si>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</si>
  <si>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</si>
  <si>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</si>
  <si>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</si>
  <si>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</si>
  <si>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</si>
  <si>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</si>
  <si>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</si>
  <si>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</si>
  <si>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</si>
  <si>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</si>
  <si>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</si>
  <si>
    <t>총합계</t>
  </si>
  <si>
    <t>컴퓨터공학과</t>
  </si>
  <si>
    <t>평균 : 점수</t>
  </si>
  <si>
    <t>TV</t>
  </si>
  <si>
    <t>냉장고</t>
  </si>
  <si>
    <t>노트북</t>
  </si>
  <si>
    <t>세탁기</t>
  </si>
  <si>
    <t>청소기</t>
  </si>
  <si>
    <t>이체</t>
  </si>
  <si>
    <t>카드</t>
  </si>
  <si>
    <t>페이</t>
  </si>
  <si>
    <t>현금</t>
  </si>
  <si>
    <t>합계: 금액</t>
  </si>
  <si>
    <t>합계: 판매대수</t>
  </si>
  <si>
    <t>값</t>
  </si>
  <si>
    <t>합계 : 포인트</t>
  </si>
  <si>
    <t>한순희</t>
  </si>
  <si>
    <t>장유진</t>
  </si>
  <si>
    <t>이수영</t>
  </si>
  <si>
    <t>★★★</t>
  </si>
  <si>
    <t>결제방법</t>
  </si>
  <si>
    <t>상품명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</si>
  <si>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</si>
  <si>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</si>
  <si>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</si>
  <si>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</si>
  <si>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</si>
  <si>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</si>
  <si>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</si>
  <si>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믿음반</t>
  </si>
  <si>
    <t>소망반</t>
  </si>
  <si>
    <t>온유반</t>
  </si>
  <si>
    <t>절제반</t>
  </si>
  <si>
    <t>남</t>
  </si>
  <si>
    <t>여</t>
  </si>
  <si>
    <t>평균: 출석수</t>
  </si>
  <si>
    <t>전체 평균: 출석수</t>
  </si>
  <si>
    <t>전체 학생수</t>
  </si>
  <si>
    <t>학생수</t>
  </si>
  <si>
    <t>성별</t>
  </si>
  <si>
    <t>학년</t>
  </si>
  <si>
    <t>반</t>
  </si>
  <si>
    <t>*</t>
  </si>
  <si>
    <t>강원</t>
  </si>
  <si>
    <t>경기</t>
  </si>
  <si>
    <t>경상</t>
  </si>
  <si>
    <t>전라</t>
  </si>
  <si>
    <t>제주</t>
  </si>
  <si>
    <t>충청</t>
  </si>
  <si>
    <t>강수량</t>
  </si>
  <si>
    <t>습도</t>
  </si>
  <si>
    <t>최고기온</t>
  </si>
  <si>
    <t>평균온도</t>
  </si>
  <si>
    <t>합계 : 겨울기상</t>
  </si>
  <si>
    <t>전체 합계 : 겨울기상</t>
  </si>
  <si>
    <t>전체 합계 : 봄기상</t>
  </si>
  <si>
    <t>합계 : 봄기상</t>
  </si>
  <si>
    <t>기상</t>
  </si>
  <si>
    <t>지역</t>
  </si>
  <si>
    <t>전체 평균 : 점수</t>
  </si>
  <si>
    <t>전체 합계 : 포인트</t>
  </si>
  <si>
    <t>전체 합계: 금액</t>
  </si>
  <si>
    <t>전체 평균: 금액</t>
  </si>
  <si>
    <t>평균: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</si>
</sst>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\ &quot;세&quot;"/>
    <numFmt numFmtId="177" formatCode="000"/>
    <numFmt numFmtId="178" formatCode="#,##0_ "/>
    <numFmt numFmtId="179" formatCode="0_ 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0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 applyProtection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NumberFormat="1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4" borderId="2" xfId="6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0" fillId="0" borderId="2" xfId="0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 wrapText="1" readingOrder="1"/>
    </xf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5" fillId="5" borderId="3" xfId="7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5" borderId="4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vertical="center" wrapText="1"/>
    </xf>
    <xf numFmtId="3" fontId="5" fillId="5" borderId="6" xfId="0" applyNumberFormat="1" applyFont="1" applyFill="1" applyBorder="1" applyAlignment="1">
      <alignment horizontal="right" vertical="center" wrapText="1"/>
    </xf>
    <xf numFmtId="0" fontId="5" fillId="5" borderId="3" xfId="7" applyFont="1" applyFill="1" applyBorder="1" applyAlignment="1">
      <alignment vertical="center" wrapText="1"/>
    </xf>
    <xf numFmtId="3" fontId="5" fillId="5" borderId="5" xfId="7" applyNumberFormat="1" applyFont="1" applyFill="1" applyBorder="1" applyAlignment="1">
      <alignment horizontal="right" vertical="center" wrapText="1"/>
    </xf>
    <xf numFmtId="0" fontId="5" fillId="5" borderId="3" xfId="0" applyFont="1" applyFill="1" applyBorder="1" applyAlignment="1">
      <alignment vertical="center" wrapText="1"/>
    </xf>
    <xf numFmtId="3" fontId="5" fillId="5" borderId="5" xfId="0" applyNumberFormat="1" applyFont="1" applyFill="1" applyBorder="1" applyAlignment="1">
      <alignment horizontal="right" vertical="center" wrapText="1"/>
    </xf>
    <xf numFmtId="0" fontId="12" fillId="0" borderId="7" xfId="7" applyFont="1" applyBorder="1" applyAlignment="1">
      <alignment horizontal="center" vertical="center"/>
    </xf>
    <xf numFmtId="3" fontId="6" fillId="0" borderId="1" xfId="10" applyNumberFormat="1" applyFont="1" applyBorder="1">
      <alignment vertical="center"/>
    </xf>
    <xf numFmtId="0" fontId="13" fillId="3" borderId="7" xfId="5" applyFont="1" applyBorder="1" applyAlignment="1">
      <alignment horizontal="center"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4" borderId="7" xfId="6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4" borderId="7" xfId="6" applyBorder="1" applyAlignment="1">
      <alignment horizontal="center"/>
    </xf>
    <xf numFmtId="0" fontId="2" fillId="4" borderId="2" xfId="6" applyBorder="1" applyAlignment="1">
      <alignment horizontal="center" vertical="center"/>
    </xf>
    <xf numFmtId="0" fontId="2" fillId="4" borderId="7" xfId="6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2" fontId="0" fillId="0" borderId="0" xfId="0" applyNumberFormat="1">
      <alignment vertical="center"/>
    </xf>
  </cellXfs>
  <cellStyles count="11">
    <cellStyle name="강조색1" xfId="2" builtinId="29"/>
    <cellStyle name="강조색2" xfId="6" builtinId="33"/>
    <cellStyle name="백분율 2" xfId="8"/>
    <cellStyle name="보통" xfId="5" builtinId="28"/>
    <cellStyle name="쉼표 [0]" xfId="1" builtinId="6"/>
    <cellStyle name="쉼표 [0] 2" xfId="4"/>
    <cellStyle name="쉼표 [0] 3" xfId="10"/>
    <cellStyle name="제목 5" xfId="9"/>
    <cellStyle name="표준" xfId="0" builtinId="0"/>
    <cellStyle name="표준 2" xfId="3"/>
    <cellStyle name="표준 2 2" xfId="7"/>
  </cellStyles>
  <dxfs count="2"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../ppt/media/image4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/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/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/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/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/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/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/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/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/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/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/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/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/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958184CB-9BA8-4C2F-B79C-556290E81BD5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FFDB95A-3DDC-49A7-9CB9-393E3434E1B6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CB180C7-6B2B-42E4-AD32-3EB33563B8E9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E78E1CC8-FE2D-4FA3-8711-71ABADA732A3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AE6B1C04-AC60-473C-80C5-0549BCD8D07C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E679A3E8-1068-44E7-8876-6B31C8678732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B187E0AF-EC92-4EE5-96D5-7FC3D2477157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574F742F-9381-4B45-A083-37500659EB6A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EF501908-B9FA-4B1E-AC58-97AA9DD23A81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92C3FE16-4ED2-4F04-BA61-890D6272DF9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6EB0E216-80FA-440F-BB88-F890F8FA3DC3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EADE8562-5C7C-48A4-A191-20D943F13A94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7CA10174-A5F9-4D91-9733-D3B959EE9899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968452DB-7360-468B-BF0E-7A8795FF6089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C5C78344-76FC-4B18-BEC5-3F0FC7D0FF05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75A5625F-D3AB-421B-9A56-E03E74FD54B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lc="http://schemas.openxmlformats.org/drawingml/2006/lockedCanvas" xmlns="" xmlns:asvg="http://schemas.microsoft.com/office/drawing/2016/SVG/main" xmlns:p="http://schemas.openxmlformats.org/presentationml/2006/main" r:embed="rId5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/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기풍쌤" refreshedDate="44601.609429629629" createdVersion="6" refreshedVersion="6" minRefreshableVersion="3" recordCount="87">
  <cacheSource type="external" connectionId="2"/>
  <cacheFields count="9">
    <cacheField name="이름" numFmtId="0" sqlType="-9">
      <sharedItems/>
    </cacheField>
    <cacheField name="학과" numFmtId="0" sqlType="-9">
      <sharedItems count="4">
        <s v="코딩설계공학과"/>
        <s v="전자공학과"/>
        <s v="드론콘텐츠과"/>
        <s v="컴퓨터공학과"/>
      </sharedItems>
    </cacheField>
    <cacheField name="접수일" numFmtId="0" sqlType="11">
      <sharedItems containsSemiMixedTypes="0" containsNonDate="0" containsDate="1" containsString="0" minDate="2021-07-09T00:00:00" maxDate="2021-07-18T00:00:00"/>
    </cacheField>
    <cacheField name="시험날짜" numFmtId="0" sqlType="11">
      <sharedItems containsSemiMixedTypes="0" containsNonDate="0" containsDate="1" containsString="0" minDate="2021-07-20T15:53:00" maxDate="2021-08-01T00:00:00" count="41">
        <d v="2021-07-31T00:00:00"/>
        <d v="2021-07-30T00:00:00"/>
        <d v="2021-07-20T15:53:00"/>
        <d v="2021-07-27T16:58:00"/>
        <d v="2021-07-29T16:02:00"/>
        <d v="2021-07-22T15:28:00"/>
        <d v="2021-07-29T16:47:00"/>
        <d v="2021-07-27T17:11:00"/>
        <d v="2021-07-22T16:08:00"/>
        <d v="2021-07-20T15:55:00"/>
        <d v="2021-07-27T17:09:00"/>
        <d v="2021-07-29T16:45:00"/>
        <d v="2021-07-27T18:29:00"/>
        <d v="2021-07-20T16:27:00"/>
        <d v="2021-07-29T16:01:00"/>
        <d v="2021-07-27T18:04:00"/>
        <d v="2021-07-20T16:36:00"/>
        <d v="2021-07-22T15:53:00"/>
        <d v="2021-07-27T16:55:00"/>
        <d v="2021-07-22T15:59:00"/>
        <d v="2021-07-22T16:04:00"/>
        <d v="2021-07-29T16:03:00"/>
        <d v="2021-07-27T17:59:00"/>
        <d v="2021-07-20T16:18:00"/>
        <d v="2021-07-29T16:57:00"/>
        <d v="2021-07-29T17:49:00"/>
        <d v="2021-07-20T15:58:00"/>
        <d v="2021-07-27T17:35:00"/>
        <d v="2021-07-29T16:36:00"/>
        <d v="2021-07-27T18:17:00"/>
        <d v="2021-07-29T16:52:00"/>
        <d v="2021-07-22T15:50:00"/>
        <d v="2021-07-22T16:11:00"/>
        <d v="2021-07-20T16:19:00"/>
        <d v="2021-07-22T16:09:00"/>
        <d v="2021-07-27T17:32:00"/>
        <d v="2021-07-27T17:33:00"/>
        <d v="2021-07-27T16:56:00"/>
        <d v="2021-07-27T18:15:00"/>
        <d v="2021-07-22T16:06:00"/>
        <d v="2021-07-27T17:49:00"/>
      </sharedItems>
      <fieldGroup par="7" base="3">
        <rangePr groupBy="minutes" startDate="2021-07-20T15:53:00" endDate="2021-08-01T00:00:00"/>
        <groupItems count="62">
          <s v="&lt;2021-07-20"/>
          <s v="0분"/>
          <s v="1분"/>
          <s v="2분"/>
          <s v="3분"/>
          <s v="4분"/>
          <s v="5분"/>
          <s v="6분"/>
          <s v="7분"/>
          <s v="8분"/>
          <s v="9분"/>
          <s v="10분"/>
          <s v="11분"/>
          <s v="12분"/>
          <s v="13분"/>
          <s v="14분"/>
          <s v="15분"/>
          <s v="16분"/>
          <s v="17분"/>
          <s v="18분"/>
          <s v="19분"/>
          <s v="20분"/>
          <s v="21분"/>
          <s v="22분"/>
          <s v="23분"/>
          <s v="24분"/>
          <s v="25분"/>
          <s v="26분"/>
          <s v="27분"/>
          <s v="28분"/>
          <s v="29분"/>
          <s v="30분"/>
          <s v="31분"/>
          <s v="32분"/>
          <s v="33분"/>
          <s v="34분"/>
          <s v="35분"/>
          <s v="36분"/>
          <s v="37분"/>
          <s v="38분"/>
          <s v="39분"/>
          <s v="40분"/>
          <s v="41분"/>
          <s v="42분"/>
          <s v="43분"/>
          <s v="44분"/>
          <s v="45분"/>
          <s v="46분"/>
          <s v="47분"/>
          <s v="48분"/>
          <s v="49분"/>
          <s v="50분"/>
          <s v="51분"/>
          <s v="52분"/>
          <s v="53분"/>
          <s v="54분"/>
          <s v="55분"/>
          <s v="56분"/>
          <s v="57분"/>
          <s v="58분"/>
          <s v="59분"/>
          <s v="&gt;2021-08-01"/>
        </groupItems>
      </fieldGroup>
    </cacheField>
    <cacheField name="점수" numFmtId="0" sqlType="4">
      <sharedItems containsSemiMixedTypes="0" containsString="0" containsNumber="1" containsInteger="1" minValue="345" maxValue="1000"/>
    </cacheField>
    <cacheField name="과목" numFmtId="0" sqlType="-9">
      <sharedItems count="4">
        <s v="워드"/>
        <s v="파워포인트"/>
        <s v="엑셀"/>
        <s v="액세스"/>
      </sharedItems>
    </cacheField>
    <cacheField name="시" numFmtId="0" databaseField="0">
      <fieldGroup base="3">
        <rangePr groupBy="hours" startDate="2021-07-20T15:53:00" endDate="2021-08-01T00:00:00"/>
        <groupItems count="26">
          <s v="&lt;2021-07-20"/>
          <s v="0시"/>
          <s v="1시"/>
          <s v="2시"/>
          <s v="3시"/>
          <s v="4시"/>
          <s v="5시"/>
          <s v="6시"/>
          <s v="7시"/>
          <s v="8시"/>
          <s v="9시"/>
          <s v="10시"/>
          <s v="11시"/>
          <s v="12시"/>
          <s v="13시"/>
          <s v="14시"/>
          <s v="15시"/>
          <s v="16시"/>
          <s v="17시"/>
          <s v="18시"/>
          <s v="19시"/>
          <s v="20시"/>
          <s v="21시"/>
          <s v="22시"/>
          <s v="23시"/>
          <s v="&gt;2021-08-01"/>
        </groupItems>
      </fieldGroup>
    </cacheField>
    <cacheField name="일" numFmtId="0" databaseField="0">
      <fieldGroup base="3">
        <rangePr groupBy="days" startDate="2021-07-20T15:53:00" endDate="2021-08-01T00:00:00"/>
        <groupItems count="368">
          <s v="&lt;2021-07-2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1-08-01"/>
        </groupItems>
      </fieldGroup>
    </cacheField>
    <cacheField name="포인트" numFmtId="0" formula="점수/1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기풍쌤" refreshedDate="44601.652315740743" createdVersion="6" refreshedVersion="6" minRefreshableVersion="3" recordCount="88">
  <cacheSource type="external" connectionId="3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기풍쌤" refreshedDate="44601.647395254629" backgroundQuery="1" createdVersion="6" refreshedVersion="6" minRefreshableVersion="3" recordCount="0" supportSubquery="1" supportAdvancedDrill="1">
  <cacheSource type="external" connectionId="6"/>
  <cacheFields count="5">
    <cacheField name="[출석부관리].[학년].[학년]" caption="학년" numFmtId="0" hierarchy="11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2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14" level="1">
      <sharedItems count="2">
        <s v="남"/>
        <s v="여"/>
      </sharedItems>
    </cacheField>
    <cacheField name="[Measures].[평균: 출석수]" caption="평균: 출석수" numFmtId="0" hierarchy="24" level="32767"/>
    <cacheField name="[Measures].[개수: 이름]" caption="개수: 이름" numFmtId="0" hierarchy="25" level="32767"/>
  </cacheFields>
  <cacheHierarchies count="27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상품(상세)]" caption="상품(상세)" attribute="1" defaultMemberUniqueName="[기풍전자판매현황].[상품(상세)].[All]" allUniqueName="[기풍전자판매현황].[상품(상세)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성명]" caption="성명" attribute="1" defaultMemberUniqueName="[소득공제].[성명].[All]" allUniqueName="[소득공제].[성명].[All]" dimensionUniqueName="[소득공제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소득공제내용]" caption="소득공제내용" attribute="1" defaultMemberUniqueName="[소득공제].[소득공제내용].[All]" allUniqueName="[소득공제].[소득공제내용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기풍쌤" refreshedDate="44601.901491435186" backgroundQuery="1" createdVersion="6" refreshedVersion="6" minRefreshableVersion="3" recordCount="0" supportSubquery="1" supportAdvancedDrill="1">
  <cacheSource type="external" connectionId="6"/>
  <cacheFields count="4">
    <cacheField name="[기풍전자판매현황].[상품명].[상품명]" caption="상품명" numFmtId="0" level="1">
      <sharedItems count="5">
        <s v="TV"/>
        <s v="냉장고"/>
        <s v="노트북"/>
        <s v="세탁기"/>
        <s v="청소기"/>
      </sharedItems>
    </cacheField>
    <cacheField name="[기풍전자판매현황].[결제방법].[결제방법]" caption="결제방법" numFmtId="0" hierarchy="4" level="1">
      <sharedItems count="4">
        <s v="이체"/>
        <s v="카드"/>
        <s v="페이"/>
        <s v="현금"/>
      </sharedItems>
    </cacheField>
    <cacheField name="[Measures].[합계: 금액]" caption="합계: 금액" numFmtId="0" hierarchy="20" level="32767"/>
    <cacheField name="[Measures].[합계: 판매대수]" caption="합계: 판매대수" numFmtId="0" hierarchy="21" level="32767"/>
  </cacheFields>
  <cacheHierarchies count="27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2" memberValueDatatype="130" unbalanced="0">
      <fieldsUsage count="2">
        <fieldUsage x="-1"/>
        <fieldUsage x="0"/>
      </fieldsUsage>
    </cacheHierarchy>
    <cacheHierarchy uniqueName="[기풍전자판매현황].[상품(상세)]" caption="상품(상세)" attribute="1" defaultMemberUniqueName="[기풍전자판매현황].[상품(상세)].[All]" allUniqueName="[기풍전자판매현황].[상품(상세)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2" memberValueDatatype="130" unbalanced="0">
      <fieldsUsage count="2">
        <fieldUsage x="-1"/>
        <fieldUsage x="1"/>
      </fieldsUsage>
    </cacheHierarchy>
    <cacheHierarchy uniqueName="[소득공제].[성명]" caption="성명" attribute="1" defaultMemberUniqueName="[소득공제].[성명].[All]" allUniqueName="[소득공제].[성명].[All]" dimensionUniqueName="[소득공제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소득공제내용]" caption="소득공제내용" attribute="1" defaultMemberUniqueName="[소득공제].[소득공제내용].[All]" allUniqueName="[소득공제].[소득공제내용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기풍전자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대수]" caption="합계: 판매대수" measure="1" displayFolder="" measureGroup="기풍전자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기풍쌤" refreshedDate="44601.906634722225" backgroundQuery="1" createdVersion="6" refreshedVersion="6" minRefreshableVersion="3" recordCount="0" supportSubquery="1" supportAdvancedDrill="1">
  <cacheSource type="external" connectionId="6"/>
  <cacheFields count="4">
    <cacheField name="[Measures].[합계: 금액 2]" caption="합계: 금액 2" numFmtId="0" hierarchy="22" level="32767"/>
    <cacheField name="[소득공제].[소득공제].[소득공제]" caption="소득공제" numFmtId="0" hierarchy="7" level="1">
      <sharedItems count="2">
        <s v="신용카드"/>
        <s v="지정기부금"/>
      </sharedItems>
    </cacheField>
    <cacheField name="[소득공제].[법인명].[법인명]" caption="법인명" numFmtId="0" hierarchy="9" level="1">
      <sharedItems count="3">
        <s v="미래카드"/>
        <s v="사단법인"/>
        <s v="상공카드"/>
      </sharedItems>
    </cacheField>
    <cacheField name="[Measures].[평균: 금액]" caption="평균: 금액" numFmtId="0" hierarchy="26" level="32767"/>
  </cacheFields>
  <cacheHierarchies count="27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상품(상세)]" caption="상품(상세)" attribute="1" defaultMemberUniqueName="[기풍전자판매현황].[상품(상세)].[All]" allUniqueName="[기풍전자판매현황].[상품(상세)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성명]" caption="성명" attribute="1" defaultMemberUniqueName="[소득공제].[성명].[All]" allUniqueName="[소득공제].[성명].[All]" dimensionUniqueName="[소득공제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2" memberValueDatatype="130" unbalanced="0">
      <fieldsUsage count="2">
        <fieldUsage x="-1"/>
        <fieldUsage x="1"/>
      </fieldsUsage>
    </cacheHierarchy>
    <cacheHierarchy uniqueName="[소득공제].[소득공제내용]" caption="소득공제내용" attribute="1" defaultMemberUniqueName="[소득공제].[소득공제내용].[All]" allUniqueName="[소득공제].[소득공제내용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2" memberValueDatatype="130" unbalanced="0">
      <fieldsUsage count="2">
        <fieldUsage x="-1"/>
        <fieldUsage x="2"/>
      </fieldsUsage>
    </cacheHierarchy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금액 2]" caption="합계: 금액 2" measure="1" displayFolder="" measureGroup="소득공제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평균: 금액]" caption="평균: 금액" measure="1" displayFolder="" measureGroup="소득공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">
  <r>
    <s v="강경순"/>
    <x v="0"/>
    <d v="2021-07-13T00:00:00"/>
    <x v="0"/>
    <n v="936"/>
    <x v="0"/>
  </r>
  <r>
    <s v="강경순"/>
    <x v="0"/>
    <d v="2021-07-12T00:00:00"/>
    <x v="1"/>
    <n v="838"/>
    <x v="1"/>
  </r>
  <r>
    <s v="강경순"/>
    <x v="0"/>
    <d v="2021-07-12T13:06:25"/>
    <x v="2"/>
    <n v="975"/>
    <x v="2"/>
  </r>
  <r>
    <s v="강경순"/>
    <x v="0"/>
    <d v="2021-07-13T13:42:54"/>
    <x v="3"/>
    <n v="379"/>
    <x v="3"/>
  </r>
  <r>
    <s v="강정화"/>
    <x v="0"/>
    <d v="2021-07-15T00:00:00"/>
    <x v="0"/>
    <n v="893"/>
    <x v="0"/>
  </r>
  <r>
    <s v="강정화"/>
    <x v="0"/>
    <d v="2021-07-15T18:30:49"/>
    <x v="4"/>
    <n v="800"/>
    <x v="3"/>
  </r>
  <r>
    <s v="공은주"/>
    <x v="0"/>
    <d v="2021-07-16T09:22:46"/>
    <x v="5"/>
    <n v="975"/>
    <x v="2"/>
  </r>
  <r>
    <s v="공은주"/>
    <x v="0"/>
    <d v="2021-07-16T11:38:14"/>
    <x v="4"/>
    <n v="350"/>
    <x v="3"/>
  </r>
  <r>
    <s v="곽경미"/>
    <x v="1"/>
    <d v="2021-07-12T13:34:45"/>
    <x v="5"/>
    <n v="979"/>
    <x v="2"/>
  </r>
  <r>
    <s v="곽경미"/>
    <x v="1"/>
    <d v="2021-07-16T09:25:22"/>
    <x v="6"/>
    <n v="862"/>
    <x v="3"/>
  </r>
  <r>
    <s v="곽복규"/>
    <x v="2"/>
    <d v="2021-07-12T13:29:56"/>
    <x v="5"/>
    <n v="893"/>
    <x v="2"/>
  </r>
  <r>
    <s v="곽향순"/>
    <x v="2"/>
    <d v="2021-07-09T15:59:37"/>
    <x v="7"/>
    <n v="908"/>
    <x v="3"/>
  </r>
  <r>
    <s v="곽호동"/>
    <x v="2"/>
    <d v="2021-07-12T13:29:50"/>
    <x v="8"/>
    <n v="675"/>
    <x v="2"/>
  </r>
  <r>
    <s v="김경희"/>
    <x v="1"/>
    <d v="2021-07-09T00:00:00"/>
    <x v="0"/>
    <n v="925"/>
    <x v="0"/>
  </r>
  <r>
    <s v="김금선"/>
    <x v="0"/>
    <d v="2021-07-13T00:00:00"/>
    <x v="0"/>
    <n v="567"/>
    <x v="0"/>
  </r>
  <r>
    <s v="김금선"/>
    <x v="0"/>
    <d v="2021-07-12T13:13:49"/>
    <x v="9"/>
    <n v="975"/>
    <x v="2"/>
  </r>
  <r>
    <s v="김금선"/>
    <x v="0"/>
    <d v="2021-07-13T14:15:34"/>
    <x v="10"/>
    <n v="540"/>
    <x v="3"/>
  </r>
  <r>
    <s v="김미영"/>
    <x v="1"/>
    <d v="2021-07-13T09:54:40"/>
    <x v="5"/>
    <n v="567"/>
    <x v="2"/>
  </r>
  <r>
    <s v="김미영"/>
    <x v="1"/>
    <d v="2021-07-13T13:24:04"/>
    <x v="11"/>
    <n v="769"/>
    <x v="3"/>
  </r>
  <r>
    <s v="김미영"/>
    <x v="1"/>
    <d v="2021-07-13T00:00:00"/>
    <x v="0"/>
    <n v="936"/>
    <x v="0"/>
  </r>
  <r>
    <s v="김병래"/>
    <x v="2"/>
    <d v="2021-07-13T13:24:20"/>
    <x v="12"/>
    <n v="838"/>
    <x v="3"/>
  </r>
  <r>
    <s v="김병래"/>
    <x v="2"/>
    <d v="2021-07-12T13:13:13"/>
    <x v="13"/>
    <n v="957"/>
    <x v="2"/>
  </r>
  <r>
    <s v="김병래"/>
    <x v="2"/>
    <d v="2021-07-13T00:00:00"/>
    <x v="0"/>
    <n v="936"/>
    <x v="0"/>
  </r>
  <r>
    <s v="김상덕"/>
    <x v="0"/>
    <d v="2021-07-09T00:00:00"/>
    <x v="0"/>
    <n v="975"/>
    <x v="0"/>
  </r>
  <r>
    <s v="김상덕"/>
    <x v="0"/>
    <d v="2021-07-09T19:34:40"/>
    <x v="14"/>
    <n v="800"/>
    <x v="3"/>
  </r>
  <r>
    <s v="김상덕"/>
    <x v="0"/>
    <d v="2021-07-13T15:32:57"/>
    <x v="5"/>
    <n v="1000"/>
    <x v="2"/>
  </r>
  <r>
    <s v="김숙자"/>
    <x v="1"/>
    <d v="2021-07-14T00:00:00"/>
    <x v="1"/>
    <n v="838"/>
    <x v="1"/>
  </r>
  <r>
    <s v="김숙자"/>
    <x v="1"/>
    <d v="2021-07-09T15:57:54"/>
    <x v="15"/>
    <n v="767"/>
    <x v="3"/>
  </r>
  <r>
    <s v="김숙자"/>
    <x v="1"/>
    <d v="2021-07-09T00:00:00"/>
    <x v="0"/>
    <n v="893"/>
    <x v="0"/>
  </r>
  <r>
    <s v="김숙자"/>
    <x v="1"/>
    <d v="2021-07-14T16:38:30"/>
    <x v="16"/>
    <n v="850"/>
    <x v="2"/>
  </r>
  <r>
    <s v="김찬수"/>
    <x v="2"/>
    <d v="2021-07-15T20:07:42"/>
    <x v="4"/>
    <n v="642"/>
    <x v="3"/>
  </r>
  <r>
    <s v="김찬수"/>
    <x v="2"/>
    <d v="2021-07-12T13:42:39"/>
    <x v="5"/>
    <n v="950"/>
    <x v="2"/>
  </r>
  <r>
    <s v="노선녀"/>
    <x v="1"/>
    <d v="2021-07-12T00:00:00"/>
    <x v="0"/>
    <n v="345"/>
    <x v="0"/>
  </r>
  <r>
    <s v="박갑열"/>
    <x v="0"/>
    <d v="2021-07-13T13:14:58"/>
    <x v="5"/>
    <n v="871"/>
    <x v="2"/>
  </r>
  <r>
    <s v="박강훈"/>
    <x v="0"/>
    <d v="2021-07-09T19:27:11"/>
    <x v="17"/>
    <n v="914"/>
    <x v="2"/>
  </r>
  <r>
    <s v="박강훈"/>
    <x v="0"/>
    <d v="2021-07-09T17:17:48"/>
    <x v="18"/>
    <n v="642"/>
    <x v="3"/>
  </r>
  <r>
    <s v="박금옥"/>
    <x v="1"/>
    <d v="2021-07-13T14:15:34"/>
    <x v="19"/>
    <n v="975"/>
    <x v="2"/>
  </r>
  <r>
    <s v="박금옥"/>
    <x v="1"/>
    <d v="2021-07-13T00:00:00"/>
    <x v="0"/>
    <n v="1000"/>
    <x v="0"/>
  </r>
  <r>
    <s v="박금옥"/>
    <x v="1"/>
    <d v="2021-07-13T12:48:17"/>
    <x v="6"/>
    <n v="733"/>
    <x v="3"/>
  </r>
  <r>
    <s v="박낙균"/>
    <x v="3"/>
    <d v="2021-07-12T09:31:08"/>
    <x v="5"/>
    <n v="975"/>
    <x v="2"/>
  </r>
  <r>
    <s v="박미숙"/>
    <x v="0"/>
    <d v="2021-07-17T00:00:00"/>
    <x v="5"/>
    <n v="975"/>
    <x v="2"/>
  </r>
  <r>
    <s v="박연축"/>
    <x v="3"/>
    <d v="2021-07-15T20:07:42"/>
    <x v="20"/>
    <n v="957"/>
    <x v="2"/>
  </r>
  <r>
    <s v="박연축"/>
    <x v="3"/>
    <d v="2021-07-12T13:33:55"/>
    <x v="21"/>
    <n v="815"/>
    <x v="3"/>
  </r>
  <r>
    <s v="배영란"/>
    <x v="3"/>
    <d v="2021-07-13T00:00:00"/>
    <x v="0"/>
    <n v="893"/>
    <x v="0"/>
  </r>
  <r>
    <s v="신은희"/>
    <x v="3"/>
    <d v="2021-07-09T16:01:01"/>
    <x v="22"/>
    <n v="650"/>
    <x v="3"/>
  </r>
  <r>
    <s v="신은희"/>
    <x v="3"/>
    <d v="2021-07-09T00:00:00"/>
    <x v="1"/>
    <n v="733"/>
    <x v="1"/>
  </r>
  <r>
    <s v="신은희"/>
    <x v="3"/>
    <d v="2021-07-09T15:59:30"/>
    <x v="23"/>
    <n v="914"/>
    <x v="2"/>
  </r>
  <r>
    <s v="심용섭"/>
    <x v="3"/>
    <d v="2021-07-12T13:05:14"/>
    <x v="24"/>
    <n v="723"/>
    <x v="3"/>
  </r>
  <r>
    <s v="심용섭"/>
    <x v="3"/>
    <d v="2021-07-09T16:08:30"/>
    <x v="5"/>
    <n v="829"/>
    <x v="2"/>
  </r>
  <r>
    <s v="엄일호"/>
    <x v="1"/>
    <d v="2021-07-12T13:33:25"/>
    <x v="25"/>
    <n v="770"/>
    <x v="3"/>
  </r>
  <r>
    <s v="유재천"/>
    <x v="1"/>
    <d v="2021-07-09T16:01:01"/>
    <x v="26"/>
    <n v="914"/>
    <x v="2"/>
  </r>
  <r>
    <s v="유재천"/>
    <x v="1"/>
    <d v="2021-07-09T00:00:00"/>
    <x v="0"/>
    <n v="925"/>
    <x v="0"/>
  </r>
  <r>
    <s v="유재천"/>
    <x v="1"/>
    <d v="2021-07-09T16:02:24"/>
    <x v="27"/>
    <n v="833"/>
    <x v="3"/>
  </r>
  <r>
    <s v="유재천"/>
    <x v="1"/>
    <d v="2021-07-09T00:00:00"/>
    <x v="1"/>
    <n v="723"/>
    <x v="1"/>
  </r>
  <r>
    <s v="이수영"/>
    <x v="2"/>
    <d v="2021-07-12T13:30:32"/>
    <x v="5"/>
    <n v="914"/>
    <x v="2"/>
  </r>
  <r>
    <s v="이수영"/>
    <x v="2"/>
    <d v="2021-07-12T13:06:34"/>
    <x v="28"/>
    <n v="838"/>
    <x v="3"/>
  </r>
  <r>
    <s v="이승열"/>
    <x v="0"/>
    <d v="2021-07-09T16:28:04"/>
    <x v="29"/>
    <n v="815"/>
    <x v="3"/>
  </r>
  <r>
    <s v="이승열"/>
    <x v="0"/>
    <d v="2021-07-09T00:00:00"/>
    <x v="0"/>
    <n v="880"/>
    <x v="0"/>
  </r>
  <r>
    <s v="이원철"/>
    <x v="0"/>
    <d v="2021-07-12T09:31:08"/>
    <x v="5"/>
    <n v="893"/>
    <x v="2"/>
  </r>
  <r>
    <s v="이원철"/>
    <x v="0"/>
    <d v="2021-07-13T00:00:00"/>
    <x v="0"/>
    <n v="936"/>
    <x v="0"/>
  </r>
  <r>
    <s v="이지연"/>
    <x v="1"/>
    <d v="2021-07-12T15:48:12"/>
    <x v="5"/>
    <n v="893"/>
    <x v="2"/>
  </r>
  <r>
    <s v="이지연"/>
    <x v="1"/>
    <d v="2021-07-12T13:06:25"/>
    <x v="14"/>
    <n v="838"/>
    <x v="3"/>
  </r>
  <r>
    <s v="장성형"/>
    <x v="2"/>
    <d v="2021-07-09T00:00:00"/>
    <x v="0"/>
    <n v="857"/>
    <x v="0"/>
  </r>
  <r>
    <s v="장성형"/>
    <x v="2"/>
    <d v="2021-07-09T16:16:40"/>
    <x v="5"/>
    <n v="533"/>
    <x v="2"/>
  </r>
  <r>
    <s v="장유진"/>
    <x v="2"/>
    <d v="2021-07-12T13:30:32"/>
    <x v="30"/>
    <n v="800"/>
    <x v="3"/>
  </r>
  <r>
    <s v="장유진"/>
    <x v="2"/>
    <d v="2021-07-09T15:56:31"/>
    <x v="31"/>
    <n v="950"/>
    <x v="2"/>
  </r>
  <r>
    <s v="전희자"/>
    <x v="1"/>
    <d v="2021-07-16T09:24:42"/>
    <x v="32"/>
    <n v="825"/>
    <x v="2"/>
  </r>
  <r>
    <s v="전희자"/>
    <x v="1"/>
    <d v="2021-07-09T00:00:00"/>
    <x v="0"/>
    <n v="914"/>
    <x v="0"/>
  </r>
  <r>
    <s v="조병철"/>
    <x v="1"/>
    <d v="2021-07-09T00:00:00"/>
    <x v="1"/>
    <n v="815"/>
    <x v="1"/>
  </r>
  <r>
    <s v="조병철"/>
    <x v="1"/>
    <d v="2021-07-09T15:59:37"/>
    <x v="33"/>
    <n v="975"/>
    <x v="2"/>
  </r>
  <r>
    <s v="조희숙"/>
    <x v="0"/>
    <d v="2021-07-13T14:44:50"/>
    <x v="34"/>
    <n v="936"/>
    <x v="2"/>
  </r>
  <r>
    <s v="조희숙"/>
    <x v="0"/>
    <d v="2021-07-12T13:34:45"/>
    <x v="35"/>
    <n v="885"/>
    <x v="3"/>
  </r>
  <r>
    <s v="최금선"/>
    <x v="0"/>
    <d v="2021-07-16T11:37:27"/>
    <x v="36"/>
    <n v="990"/>
    <x v="3"/>
  </r>
  <r>
    <s v="최금선"/>
    <x v="0"/>
    <d v="2021-07-16T00:00:00"/>
    <x v="0"/>
    <n v="533"/>
    <x v="0"/>
  </r>
  <r>
    <s v="최상두"/>
    <x v="1"/>
    <d v="2021-07-09T00:00:00"/>
    <x v="0"/>
    <n v="823"/>
    <x v="0"/>
  </r>
  <r>
    <s v="최상두"/>
    <x v="1"/>
    <d v="2021-07-12T13:05:10"/>
    <x v="5"/>
    <n v="700"/>
    <x v="2"/>
  </r>
  <r>
    <s v="최원준"/>
    <x v="3"/>
    <d v="2021-07-12T13:05:22"/>
    <x v="2"/>
    <n v="936"/>
    <x v="2"/>
  </r>
  <r>
    <s v="최원준"/>
    <x v="3"/>
    <d v="2021-07-12T00:00:00"/>
    <x v="1"/>
    <n v="642"/>
    <x v="1"/>
  </r>
  <r>
    <s v="최원준"/>
    <x v="3"/>
    <d v="2021-07-12T13:28:22"/>
    <x v="37"/>
    <n v="900"/>
    <x v="3"/>
  </r>
  <r>
    <s v="한순희"/>
    <x v="2"/>
    <d v="2021-07-09T15:56:31"/>
    <x v="38"/>
    <n v="733"/>
    <x v="3"/>
  </r>
  <r>
    <s v="한순희"/>
    <x v="2"/>
    <d v="2021-07-15T18:30:49"/>
    <x v="5"/>
    <n v="893"/>
    <x v="2"/>
  </r>
  <r>
    <s v="함영미"/>
    <x v="2"/>
    <d v="2021-07-09T16:28:04"/>
    <x v="39"/>
    <n v="914"/>
    <x v="2"/>
  </r>
  <r>
    <s v="홍재근"/>
    <x v="3"/>
    <d v="2021-07-13T15:34:21"/>
    <x v="40"/>
    <n v="800"/>
    <x v="3"/>
  </r>
  <r>
    <s v="홍재근"/>
    <x v="3"/>
    <d v="2021-07-09T17:22:48"/>
    <x v="5"/>
    <n v="925"/>
    <x v="2"/>
  </r>
  <r>
    <s v="홍종관"/>
    <x v="0"/>
    <d v="2021-07-13T17:49:07"/>
    <x v="5"/>
    <n v="936"/>
    <x v="2"/>
  </r>
  <r>
    <s v="홍종관"/>
    <x v="0"/>
    <d v="2021-07-13T13:14:58"/>
    <x v="4"/>
    <n v="862"/>
    <x v="3"/>
  </r>
  <r>
    <s v="홍종관"/>
    <x v="0"/>
    <d v="2021-07-13T00:00:00"/>
    <x v="0"/>
    <n v="567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피벗 테이블5" cacheId="140" applyNumberFormats="0" applyBorderFormats="0" applyFontFormats="0" applyPatternFormats="0" applyAlignmentFormats="0" applyWidthHeightFormats="1" dataCaption="값" missingCaption="*" updatedVersion="6" minRefreshableVersion="3" useAutoFormatting="1" itemPrintTitles="1" mergeItem="1" createdVersion="6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dataField="1" compact="0" showAll="0"/>
    <pivotField dataField="1" compact="0" showAl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79"/>
    <dataField name="학생수" fld="4" subtotal="count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1"/>
    <rowHierarchyUsage hierarchyUsage="12"/>
  </rowHierarchiesUsage>
  <colHierarchiesUsage count="2">
    <colHierarchyUsage hierarchyUsage="1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</extLst>
</pivotTableDefinition>
</file>

<file path=xl/pivotTables/pivotTable2.xml><?xml version="1.0" encoding="utf-8"?>
<pivotTableDefinition xmlns="http://schemas.openxmlformats.org/spreadsheetml/2006/main" name="피벗 테이블6" cacheId="4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2" cacheId="0" dataOnRows="1" applyNumberFormats="0" applyBorderFormats="0" applyFontFormats="0" applyPatternFormats="0" applyAlignmentFormats="0" applyWidthHeightFormats="1" dataCaption="값" missingCaption="★★★" updatedVersion="6" minRefreshableVersion="3" useAutoFormatting="1" colGrandTotals="0" itemPrintTitles="1" mergeItem="1" createdVersion="6" indent="0" compact="0" outline="1" outlineData="1" compactData="0" multipleFieldFilters="0" fieldListSortAscending="1">
  <location ref="B3:G18" firstHeaderRow="1" firstDataRow="2" firstDataCol="2"/>
  <pivotFields count="9">
    <pivotField compact="0" showAll="0"/>
    <pivotField axis="axisCol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compact="0" showAll="0"/>
    <pivotField axis="axisRow" compact="0" showAll="0">
      <items count="5">
        <item x="3"/>
        <item x="2"/>
        <item x="0"/>
        <item x="1"/>
        <item t="default"/>
      </items>
    </pivotField>
    <pivotField compact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compact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dataField="1" compact="0" dragToRow="0" dragToCol="0" dragToPage="0" showAll="0"/>
  </pivotFields>
  <rowFields count="2">
    <field x="5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평균 : 점수" fld="4" subtotal="average" baseField="5" baseItem="0" numFmtId="178"/>
    <dataField name="합계 : 포인트" fld="8" baseField="0" baseItem="0" numFmtId="178"/>
  </dataFields>
  <pivotTableStyleInfo name="PivotStyleMedium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3" cacheId="141" applyNumberFormats="0" applyBorderFormats="0" applyFontFormats="0" applyPatternFormats="0" applyAlignmentFormats="0" applyWidthHeightFormats="1" dataCaption="값" missingCaption="*" updatedVersion="6" minRefreshableVersion="3" printDrill="1" useAutoFormatting="1" subtotalHiddenItems="1" colGrandTotals="0" itemPrintTitles="1" mergeItem="1" createdVersion="6" indent="0" compact="0" compactData="0" multipleFieldFilters="0">
  <location ref="B4:J12" firstHeaderRow="1" firstDataRow="3" firstDataCol="1"/>
  <pivotFields count="4">
    <pivotField axis="axisRow" compact="0" allDrilled="1" outline="0" subtotalTop="0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compact="0" allDrilled="1" outline="0" subtotalTop="0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dataFields count="2">
    <dataField name="합계: 금액" fld="2" baseField="0" baseItem="3" numFmtId="41"/>
    <dataField name="합계: 판매대수" fld="3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0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풍전자판매현황">
        <x15:activeTabTopLevelEntity name="[기풍전자판매현황]"/>
      </x15:pivotTableUISettings>
    </ext>
  </extLst>
</pivotTableDefinition>
</file>

<file path=xl/pivotTables/pivotTable5.xml><?xml version="1.0" encoding="utf-8"?>
<pivotTableDefinition xmlns="http://schemas.openxmlformats.org/spreadsheetml/2006/main" name="피벗 테이블4" cacheId="142" dataOnRows="1" applyNumberFormats="0" applyBorderFormats="0" applyFontFormats="0" applyPatternFormats="0" applyAlignmentFormats="0" applyWidthHeightFormats="1" dataCaption="값" missingCaption="-" updatedVersion="6" minRefreshableVersion="3" useAutoFormatting="1" subtotalHiddenItems="1" colGrandTotals="0" itemPrintTitles="1" mergeItem="1" createdVersion="6" indent="0" compact="0" outline="1" outlineData="1" compactData="0" multipleFieldFilters="0">
  <location ref="B4:E16" firstHeaderRow="1" firstDataRow="2" firstDataCol="2"/>
  <pivotFields count="4">
    <pivotField dataField="1" compact="0" showAll="0"/>
    <pivotField axis="axisCol" compact="0" allDrilled="1" showAll="0" dataSourceSort="1" defaultAttributeDrillState="1">
      <items count="3">
        <item x="0"/>
        <item x="1"/>
        <item t="default"/>
      </items>
    </pivotField>
    <pivotField axis="axisRow" compact="0" allDrilled="1" showAll="0" dataSourceSort="1" defaultAttributeDrillState="1">
      <items count="4">
        <item s="1" x="0"/>
        <item s="1" x="1"/>
        <item s="1" x="2"/>
        <item t="default"/>
      </items>
    </pivotField>
    <pivotField dataField="1" compact="0" showAll="0"/>
  </pivotFields>
  <rowFields count="2">
    <field x="2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2">
    <i>
      <x/>
    </i>
    <i>
      <x v="1"/>
    </i>
  </colItems>
  <dataFields count="2">
    <dataField name="합계: 금액" fld="0" baseField="2" baseItem="0" numFmtId="42"/>
    <dataField name="평균: 금액" fld="3" subtotal="average" baseField="2" baseItem="0" numFmtId="42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3" showRowHeaders="1" showColHeaders="1" showRowStripes="0" showColStripes="1" showLastColumn="1"/>
  <rowHierarchiesUsage count="2">
    <rowHierarchyUsage hierarchyUsage="9"/>
    <rowHierarchyUsage hierarchyUsage="-2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소득공제">
        <x15:activeTabTopLevelEntity name="[소득공제]"/>
      </x15:pivotTableUISettings>
    </ext>
  </extLst>
</pivotTableDefinition>
</file>

<file path=xl/tables/table1.xml><?xml version="1.0" encoding="utf-8"?>
<table xmlns="http://schemas.openxmlformats.org/spreadsheetml/2006/main" id="3" name="표3" displayName="표3" ref="A1:F7" totalsRowShown="0">
  <autoFilter ref="A1:F7"/>
  <tableColumns count="6">
    <tableColumn id="1" name="이름"/>
    <tableColumn id="2" name="학과"/>
    <tableColumn id="3" name="접수일" dataDxfId="1"/>
    <tableColumn id="4" name="시험날짜" dataDxfId="0"/>
    <tableColumn id="5" name="점수"/>
    <tableColumn id="6" name="과목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I27" sqref="I27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39"/>
  <sheetViews>
    <sheetView zoomScale="115" zoomScaleNormal="115" workbookViewId="0">
      <selection activeCell="B2" sqref="B2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>
        <f>fn가입상태(F4,G4)</f>
        <v>휴먼보험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>
        <f t="shared" ref="H5:H39" si="0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>
        <f t="shared" si="0"/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>
        <f t="shared" si="0"/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>
        <f t="shared" si="0"/>
        <v>1개월미납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>
        <f t="shared" si="0"/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>
        <f t="shared" si="0"/>
        <v>1개월미납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>
        <f t="shared" si="0"/>
        <v>1개월미납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>
        <f t="shared" si="0"/>
        <v>1개월미납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>
        <f t="shared" si="0"/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>
        <f t="shared" si="0"/>
        <v>2개월미납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>
        <f t="shared" si="0"/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>
        <f t="shared" si="0"/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>
        <f t="shared" si="0"/>
        <v>2개월미납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>
        <f t="shared" si="0"/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>
        <f t="shared" si="0"/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>
        <f t="shared" si="0"/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>
        <f t="shared" si="0"/>
        <v>1개월미납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>
        <f t="shared" si="0"/>
        <v>2개월미납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>
        <f t="shared" si="0"/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>
        <f t="shared" si="0"/>
        <v>2개월미납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>
        <f t="shared" si="0"/>
        <v>2개월미납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>
        <f t="shared" si="0"/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>
        <f t="shared" si="0"/>
        <v>1개월미납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>
        <f t="shared" si="0"/>
        <v>1개월미납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>
        <f t="shared" si="0"/>
        <v>2개월미납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>
        <f t="shared" si="0"/>
        <v>2개월미납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>
        <f t="shared" si="0"/>
        <v>1개월미납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>
        <f t="shared" si="0"/>
        <v>1개월미납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>
        <f t="shared" si="0"/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>
        <f t="shared" si="0"/>
        <v>2개월미납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>
        <f t="shared" si="0"/>
        <v>1개월미납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>
        <f t="shared" si="0"/>
        <v>2개월미납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>
        <f t="shared" si="0"/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>
        <f t="shared" si="0"/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>
        <f t="shared" si="0"/>
        <v>1개월미납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42"/>
  <sheetViews>
    <sheetView workbookViewId="0">
      <selection activeCell="M12" sqref="M12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</cols>
  <sheetData>
    <row r="2" spans="2:10" x14ac:dyDescent="0.6">
      <c r="B2" s="31" t="s">
        <v>273</v>
      </c>
      <c r="C2" s="27"/>
      <c r="D2" s="27"/>
      <c r="E2" s="27"/>
      <c r="F2" s="27"/>
      <c r="G2" s="27"/>
      <c r="H2" s="27"/>
      <c r="I2" s="27"/>
      <c r="J2" s="27"/>
    </row>
    <row r="3" spans="2:10" x14ac:dyDescent="0.6">
      <c r="B3" s="39" t="s">
        <v>45</v>
      </c>
      <c r="C3" s="39" t="s">
        <v>19</v>
      </c>
      <c r="D3" s="41" t="s">
        <v>20</v>
      </c>
      <c r="E3" s="39" t="s">
        <v>46</v>
      </c>
      <c r="F3" s="39" t="s">
        <v>47</v>
      </c>
      <c r="G3" s="39" t="s">
        <v>48</v>
      </c>
      <c r="H3" s="41" t="s">
        <v>49</v>
      </c>
      <c r="I3" s="39" t="s">
        <v>50</v>
      </c>
      <c r="J3" s="41" t="s">
        <v>51</v>
      </c>
    </row>
    <row r="4" spans="2:10" ht="19.25" customHeight="1" x14ac:dyDescent="0.6">
      <c r="B4" s="32" t="s">
        <v>21</v>
      </c>
      <c r="C4" s="32" t="s">
        <v>22</v>
      </c>
      <c r="D4" s="32" t="s">
        <v>52</v>
      </c>
      <c r="E4" s="33" t="s">
        <v>23</v>
      </c>
      <c r="F4" s="33" t="s">
        <v>24</v>
      </c>
      <c r="G4" s="33" t="s">
        <v>44</v>
      </c>
      <c r="H4" s="32" t="s">
        <v>53</v>
      </c>
      <c r="I4" s="34">
        <v>612700</v>
      </c>
      <c r="J4" s="40">
        <f>fn의료비보조(C4,E4,I4)</f>
        <v>306350</v>
      </c>
    </row>
    <row r="5" spans="2:10" ht="19.25" customHeight="1" x14ac:dyDescent="0.6">
      <c r="B5" s="30" t="s">
        <v>21</v>
      </c>
      <c r="C5" s="30" t="s">
        <v>22</v>
      </c>
      <c r="D5" s="32" t="s">
        <v>52</v>
      </c>
      <c r="E5" s="35" t="s">
        <v>25</v>
      </c>
      <c r="F5" s="35" t="s">
        <v>26</v>
      </c>
      <c r="G5" s="35" t="s">
        <v>27</v>
      </c>
      <c r="H5" s="32" t="s">
        <v>54</v>
      </c>
      <c r="I5" s="36">
        <v>13000</v>
      </c>
      <c r="J5" s="40">
        <f t="shared" ref="J5:J42" si="0">fn의료비보조(C5,E5,I5)</f>
        <v>0</v>
      </c>
    </row>
    <row r="6" spans="2:10" ht="19.25" customHeight="1" x14ac:dyDescent="0.6">
      <c r="B6" s="30" t="s">
        <v>21</v>
      </c>
      <c r="C6" s="30" t="s">
        <v>22</v>
      </c>
      <c r="D6" s="32" t="s">
        <v>52</v>
      </c>
      <c r="E6" s="35" t="s">
        <v>25</v>
      </c>
      <c r="F6" s="35" t="s">
        <v>26</v>
      </c>
      <c r="G6" s="35" t="s">
        <v>27</v>
      </c>
      <c r="H6" s="32" t="s">
        <v>54</v>
      </c>
      <c r="I6" s="36">
        <v>46000</v>
      </c>
      <c r="J6" s="40">
        <f t="shared" si="0"/>
        <v>0</v>
      </c>
    </row>
    <row r="7" spans="2:10" ht="19.25" customHeight="1" x14ac:dyDescent="0.6">
      <c r="B7" s="30" t="s">
        <v>21</v>
      </c>
      <c r="C7" s="30" t="s">
        <v>22</v>
      </c>
      <c r="D7" s="32" t="s">
        <v>52</v>
      </c>
      <c r="E7" s="35" t="s">
        <v>28</v>
      </c>
      <c r="F7" s="35" t="s">
        <v>29</v>
      </c>
      <c r="G7" s="35" t="s">
        <v>30</v>
      </c>
      <c r="H7" s="32" t="s">
        <v>30</v>
      </c>
      <c r="I7" s="36">
        <v>3000</v>
      </c>
      <c r="J7" s="40">
        <f t="shared" si="0"/>
        <v>0</v>
      </c>
    </row>
    <row r="8" spans="2:10" ht="19.25" customHeight="1" x14ac:dyDescent="0.6">
      <c r="B8" s="30" t="s">
        <v>21</v>
      </c>
      <c r="C8" s="30" t="s">
        <v>22</v>
      </c>
      <c r="D8" s="32" t="s">
        <v>52</v>
      </c>
      <c r="E8" s="35" t="s">
        <v>25</v>
      </c>
      <c r="F8" s="35" t="s">
        <v>29</v>
      </c>
      <c r="G8" s="35" t="s">
        <v>27</v>
      </c>
      <c r="H8" s="32" t="s">
        <v>54</v>
      </c>
      <c r="I8" s="36">
        <v>536790</v>
      </c>
      <c r="J8" s="40">
        <f t="shared" si="0"/>
        <v>0</v>
      </c>
    </row>
    <row r="9" spans="2:10" ht="19.25" customHeight="1" x14ac:dyDescent="0.6">
      <c r="B9" s="30" t="s">
        <v>21</v>
      </c>
      <c r="C9" s="30" t="s">
        <v>22</v>
      </c>
      <c r="D9" s="32" t="s">
        <v>52</v>
      </c>
      <c r="E9" s="35" t="s">
        <v>25</v>
      </c>
      <c r="F9" s="35" t="s">
        <v>29</v>
      </c>
      <c r="G9" s="35" t="s">
        <v>27</v>
      </c>
      <c r="H9" s="32" t="s">
        <v>54</v>
      </c>
      <c r="I9" s="36">
        <v>1738200</v>
      </c>
      <c r="J9" s="40">
        <f t="shared" si="0"/>
        <v>0</v>
      </c>
    </row>
    <row r="10" spans="2:10" ht="19.25" customHeight="1" x14ac:dyDescent="0.6">
      <c r="B10" s="30" t="s">
        <v>21</v>
      </c>
      <c r="C10" s="30" t="s">
        <v>22</v>
      </c>
      <c r="D10" s="32" t="s">
        <v>52</v>
      </c>
      <c r="E10" s="35" t="s">
        <v>25</v>
      </c>
      <c r="F10" s="35" t="s">
        <v>31</v>
      </c>
      <c r="G10" s="35" t="s">
        <v>27</v>
      </c>
      <c r="H10" s="32" t="s">
        <v>54</v>
      </c>
      <c r="I10" s="36">
        <v>23520</v>
      </c>
      <c r="J10" s="40">
        <f t="shared" si="0"/>
        <v>0</v>
      </c>
    </row>
    <row r="11" spans="2:10" ht="19.25" customHeight="1" x14ac:dyDescent="0.6">
      <c r="B11" s="29" t="s">
        <v>21</v>
      </c>
      <c r="C11" s="29" t="s">
        <v>22</v>
      </c>
      <c r="D11" s="32" t="s">
        <v>52</v>
      </c>
      <c r="E11" s="37" t="s">
        <v>23</v>
      </c>
      <c r="F11" s="37" t="s">
        <v>24</v>
      </c>
      <c r="G11" s="37" t="s">
        <v>32</v>
      </c>
      <c r="H11" s="32" t="s">
        <v>55</v>
      </c>
      <c r="I11" s="38">
        <v>58600</v>
      </c>
      <c r="J11" s="40">
        <f t="shared" si="0"/>
        <v>29300</v>
      </c>
    </row>
    <row r="12" spans="2:10" ht="19.25" customHeight="1" x14ac:dyDescent="0.6">
      <c r="B12" s="29" t="s">
        <v>21</v>
      </c>
      <c r="C12" s="29" t="s">
        <v>22</v>
      </c>
      <c r="D12" s="32" t="s">
        <v>52</v>
      </c>
      <c r="E12" s="37" t="s">
        <v>23</v>
      </c>
      <c r="F12" s="37" t="s">
        <v>24</v>
      </c>
      <c r="G12" s="37" t="s">
        <v>32</v>
      </c>
      <c r="H12" s="32" t="s">
        <v>55</v>
      </c>
      <c r="I12" s="38">
        <v>117840</v>
      </c>
      <c r="J12" s="40">
        <f t="shared" si="0"/>
        <v>58920</v>
      </c>
    </row>
    <row r="13" spans="2:10" ht="19.25" customHeight="1" x14ac:dyDescent="0.6">
      <c r="B13" s="29" t="s">
        <v>56</v>
      </c>
      <c r="C13" s="29" t="s">
        <v>57</v>
      </c>
      <c r="D13" s="32" t="s">
        <v>58</v>
      </c>
      <c r="E13" s="37" t="s">
        <v>33</v>
      </c>
      <c r="F13" s="37" t="s">
        <v>34</v>
      </c>
      <c r="G13" s="37" t="s">
        <v>59</v>
      </c>
      <c r="H13" s="32" t="s">
        <v>30</v>
      </c>
      <c r="I13" s="38">
        <v>220000</v>
      </c>
      <c r="J13" s="40">
        <f t="shared" si="0"/>
        <v>0</v>
      </c>
    </row>
    <row r="14" spans="2:10" ht="19.25" customHeight="1" x14ac:dyDescent="0.6">
      <c r="B14" s="29" t="s">
        <v>56</v>
      </c>
      <c r="C14" s="29" t="s">
        <v>57</v>
      </c>
      <c r="D14" s="32" t="s">
        <v>58</v>
      </c>
      <c r="E14" s="37" t="s">
        <v>23</v>
      </c>
      <c r="F14" s="37" t="s">
        <v>24</v>
      </c>
      <c r="G14" s="37" t="s">
        <v>44</v>
      </c>
      <c r="H14" s="32" t="s">
        <v>53</v>
      </c>
      <c r="I14" s="38">
        <v>44700</v>
      </c>
      <c r="J14" s="40">
        <f t="shared" si="0"/>
        <v>35760</v>
      </c>
    </row>
    <row r="15" spans="2:10" ht="19.25" customHeight="1" x14ac:dyDescent="0.6">
      <c r="B15" s="29" t="s">
        <v>56</v>
      </c>
      <c r="C15" s="29" t="s">
        <v>57</v>
      </c>
      <c r="D15" s="32" t="s">
        <v>58</v>
      </c>
      <c r="E15" s="37" t="s">
        <v>23</v>
      </c>
      <c r="F15" s="37" t="s">
        <v>24</v>
      </c>
      <c r="G15" s="37" t="s">
        <v>44</v>
      </c>
      <c r="H15" s="32" t="s">
        <v>53</v>
      </c>
      <c r="I15" s="38">
        <v>88400</v>
      </c>
      <c r="J15" s="40">
        <f t="shared" si="0"/>
        <v>70720</v>
      </c>
    </row>
    <row r="16" spans="2:10" ht="19.25" customHeight="1" x14ac:dyDescent="0.6">
      <c r="B16" s="29" t="s">
        <v>56</v>
      </c>
      <c r="C16" s="29" t="s">
        <v>57</v>
      </c>
      <c r="D16" s="32" t="s">
        <v>58</v>
      </c>
      <c r="E16" s="37" t="s">
        <v>23</v>
      </c>
      <c r="F16" s="37" t="s">
        <v>24</v>
      </c>
      <c r="G16" s="37" t="s">
        <v>32</v>
      </c>
      <c r="H16" s="32" t="s">
        <v>55</v>
      </c>
      <c r="I16" s="38">
        <v>107190</v>
      </c>
      <c r="J16" s="40">
        <f t="shared" si="0"/>
        <v>85752</v>
      </c>
    </row>
    <row r="17" spans="2:10" ht="19.25" customHeight="1" x14ac:dyDescent="0.6">
      <c r="B17" s="29" t="s">
        <v>35</v>
      </c>
      <c r="C17" s="29" t="s">
        <v>36</v>
      </c>
      <c r="D17" s="32" t="s">
        <v>52</v>
      </c>
      <c r="E17" s="37" t="s">
        <v>23</v>
      </c>
      <c r="F17" s="37" t="s">
        <v>24</v>
      </c>
      <c r="G17" s="37" t="s">
        <v>32</v>
      </c>
      <c r="H17" s="32" t="s">
        <v>55</v>
      </c>
      <c r="I17" s="38">
        <v>360600</v>
      </c>
      <c r="J17" s="40">
        <f t="shared" si="0"/>
        <v>180300</v>
      </c>
    </row>
    <row r="18" spans="2:10" ht="19.25" customHeight="1" x14ac:dyDescent="0.6">
      <c r="B18" s="30" t="s">
        <v>35</v>
      </c>
      <c r="C18" s="30" t="s">
        <v>36</v>
      </c>
      <c r="D18" s="32" t="s">
        <v>52</v>
      </c>
      <c r="E18" s="35" t="s">
        <v>28</v>
      </c>
      <c r="F18" s="35" t="s">
        <v>29</v>
      </c>
      <c r="G18" s="35" t="s">
        <v>30</v>
      </c>
      <c r="H18" s="32" t="s">
        <v>30</v>
      </c>
      <c r="I18" s="36">
        <v>145000</v>
      </c>
      <c r="J18" s="40">
        <f t="shared" si="0"/>
        <v>0</v>
      </c>
    </row>
    <row r="19" spans="2:10" ht="19.25" customHeight="1" x14ac:dyDescent="0.6">
      <c r="B19" s="30" t="s">
        <v>35</v>
      </c>
      <c r="C19" s="30" t="s">
        <v>36</v>
      </c>
      <c r="D19" s="32" t="s">
        <v>52</v>
      </c>
      <c r="E19" s="35" t="s">
        <v>28</v>
      </c>
      <c r="F19" s="35" t="s">
        <v>29</v>
      </c>
      <c r="G19" s="35" t="s">
        <v>30</v>
      </c>
      <c r="H19" s="32" t="s">
        <v>30</v>
      </c>
      <c r="I19" s="36">
        <v>231000</v>
      </c>
      <c r="J19" s="40">
        <f t="shared" si="0"/>
        <v>0</v>
      </c>
    </row>
    <row r="20" spans="2:10" ht="19.25" customHeight="1" x14ac:dyDescent="0.6">
      <c r="B20" s="29" t="s">
        <v>35</v>
      </c>
      <c r="C20" s="29" t="s">
        <v>36</v>
      </c>
      <c r="D20" s="32" t="s">
        <v>52</v>
      </c>
      <c r="E20" s="37" t="s">
        <v>23</v>
      </c>
      <c r="F20" s="37" t="s">
        <v>24</v>
      </c>
      <c r="G20" s="37" t="s">
        <v>32</v>
      </c>
      <c r="H20" s="32" t="s">
        <v>55</v>
      </c>
      <c r="I20" s="38">
        <v>50620</v>
      </c>
      <c r="J20" s="40">
        <f t="shared" si="0"/>
        <v>25310</v>
      </c>
    </row>
    <row r="21" spans="2:10" ht="19.25" customHeight="1" x14ac:dyDescent="0.6">
      <c r="B21" s="30" t="s">
        <v>37</v>
      </c>
      <c r="C21" s="30" t="s">
        <v>38</v>
      </c>
      <c r="D21" s="32" t="s">
        <v>52</v>
      </c>
      <c r="E21" s="35" t="s">
        <v>39</v>
      </c>
      <c r="F21" s="35" t="s">
        <v>26</v>
      </c>
      <c r="G21" s="35" t="s">
        <v>40</v>
      </c>
      <c r="H21" s="32" t="s">
        <v>60</v>
      </c>
      <c r="I21" s="36">
        <v>46360</v>
      </c>
      <c r="J21" s="40">
        <f t="shared" si="0"/>
        <v>0</v>
      </c>
    </row>
    <row r="22" spans="2:10" ht="19.25" customHeight="1" x14ac:dyDescent="0.6">
      <c r="B22" s="30" t="s">
        <v>37</v>
      </c>
      <c r="C22" s="30" t="s">
        <v>38</v>
      </c>
      <c r="D22" s="32" t="s">
        <v>52</v>
      </c>
      <c r="E22" s="35" t="s">
        <v>39</v>
      </c>
      <c r="F22" s="35" t="s">
        <v>26</v>
      </c>
      <c r="G22" s="35" t="s">
        <v>40</v>
      </c>
      <c r="H22" s="32" t="s">
        <v>60</v>
      </c>
      <c r="I22" s="36">
        <v>143040</v>
      </c>
      <c r="J22" s="40">
        <f t="shared" si="0"/>
        <v>0</v>
      </c>
    </row>
    <row r="23" spans="2:10" ht="19.25" customHeight="1" x14ac:dyDescent="0.6">
      <c r="B23" s="30" t="s">
        <v>37</v>
      </c>
      <c r="C23" s="30" t="s">
        <v>38</v>
      </c>
      <c r="D23" s="32" t="s">
        <v>52</v>
      </c>
      <c r="E23" s="35" t="s">
        <v>39</v>
      </c>
      <c r="F23" s="35" t="s">
        <v>29</v>
      </c>
      <c r="G23" s="35" t="s">
        <v>40</v>
      </c>
      <c r="H23" s="32" t="s">
        <v>60</v>
      </c>
      <c r="I23" s="36">
        <v>138660</v>
      </c>
      <c r="J23" s="40">
        <f t="shared" si="0"/>
        <v>0</v>
      </c>
    </row>
    <row r="24" spans="2:10" ht="19.25" customHeight="1" x14ac:dyDescent="0.6">
      <c r="B24" s="30" t="s">
        <v>37</v>
      </c>
      <c r="C24" s="30" t="s">
        <v>38</v>
      </c>
      <c r="D24" s="32" t="s">
        <v>52</v>
      </c>
      <c r="E24" s="35" t="s">
        <v>39</v>
      </c>
      <c r="F24" s="35" t="s">
        <v>29</v>
      </c>
      <c r="G24" s="35" t="s">
        <v>40</v>
      </c>
      <c r="H24" s="32" t="s">
        <v>60</v>
      </c>
      <c r="I24" s="36">
        <v>239250</v>
      </c>
      <c r="J24" s="40">
        <f t="shared" si="0"/>
        <v>0</v>
      </c>
    </row>
    <row r="25" spans="2:10" ht="19.25" customHeight="1" x14ac:dyDescent="0.6">
      <c r="B25" s="30" t="s">
        <v>37</v>
      </c>
      <c r="C25" s="30" t="s">
        <v>38</v>
      </c>
      <c r="D25" s="32" t="s">
        <v>52</v>
      </c>
      <c r="E25" s="35" t="s">
        <v>39</v>
      </c>
      <c r="F25" s="35" t="s">
        <v>31</v>
      </c>
      <c r="G25" s="35" t="s">
        <v>40</v>
      </c>
      <c r="H25" s="32" t="s">
        <v>60</v>
      </c>
      <c r="I25" s="36">
        <v>4000</v>
      </c>
      <c r="J25" s="40">
        <f t="shared" si="0"/>
        <v>0</v>
      </c>
    </row>
    <row r="26" spans="2:10" ht="19.25" customHeight="1" x14ac:dyDescent="0.6">
      <c r="B26" s="29" t="s">
        <v>37</v>
      </c>
      <c r="C26" s="29" t="s">
        <v>38</v>
      </c>
      <c r="D26" s="32" t="s">
        <v>52</v>
      </c>
      <c r="E26" s="37" t="s">
        <v>23</v>
      </c>
      <c r="F26" s="37" t="s">
        <v>24</v>
      </c>
      <c r="G26" s="37" t="s">
        <v>32</v>
      </c>
      <c r="H26" s="32" t="s">
        <v>55</v>
      </c>
      <c r="I26" s="38">
        <v>81970</v>
      </c>
      <c r="J26" s="40">
        <f t="shared" si="0"/>
        <v>65576</v>
      </c>
    </row>
    <row r="27" spans="2:10" ht="19.25" customHeight="1" x14ac:dyDescent="0.6">
      <c r="B27" s="30" t="s">
        <v>41</v>
      </c>
      <c r="C27" s="30" t="s">
        <v>42</v>
      </c>
      <c r="D27" s="32" t="s">
        <v>52</v>
      </c>
      <c r="E27" s="35" t="s">
        <v>25</v>
      </c>
      <c r="F27" s="35" t="s">
        <v>26</v>
      </c>
      <c r="G27" s="35" t="s">
        <v>43</v>
      </c>
      <c r="H27" s="32" t="s">
        <v>61</v>
      </c>
      <c r="I27" s="36">
        <v>15000</v>
      </c>
      <c r="J27" s="40">
        <f t="shared" si="0"/>
        <v>0</v>
      </c>
    </row>
    <row r="28" spans="2:10" ht="19.25" customHeight="1" x14ac:dyDescent="0.6">
      <c r="B28" s="30" t="s">
        <v>41</v>
      </c>
      <c r="C28" s="30" t="s">
        <v>42</v>
      </c>
      <c r="D28" s="32" t="s">
        <v>52</v>
      </c>
      <c r="E28" s="35" t="s">
        <v>25</v>
      </c>
      <c r="F28" s="35" t="s">
        <v>26</v>
      </c>
      <c r="G28" s="35" t="s">
        <v>27</v>
      </c>
      <c r="H28" s="32" t="s">
        <v>54</v>
      </c>
      <c r="I28" s="36">
        <v>111980</v>
      </c>
      <c r="J28" s="40">
        <f t="shared" si="0"/>
        <v>0</v>
      </c>
    </row>
    <row r="29" spans="2:10" ht="19.25" customHeight="1" x14ac:dyDescent="0.6">
      <c r="B29" s="30" t="s">
        <v>41</v>
      </c>
      <c r="C29" s="30" t="s">
        <v>42</v>
      </c>
      <c r="D29" s="32" t="s">
        <v>52</v>
      </c>
      <c r="E29" s="35" t="s">
        <v>25</v>
      </c>
      <c r="F29" s="35" t="s">
        <v>26</v>
      </c>
      <c r="G29" s="35" t="s">
        <v>27</v>
      </c>
      <c r="H29" s="32" t="s">
        <v>54</v>
      </c>
      <c r="I29" s="36">
        <v>213200</v>
      </c>
      <c r="J29" s="40">
        <f t="shared" si="0"/>
        <v>0</v>
      </c>
    </row>
    <row r="30" spans="2:10" ht="19.25" customHeight="1" x14ac:dyDescent="0.6">
      <c r="B30" s="29" t="s">
        <v>41</v>
      </c>
      <c r="C30" s="29" t="s">
        <v>42</v>
      </c>
      <c r="D30" s="32" t="s">
        <v>52</v>
      </c>
      <c r="E30" s="37" t="s">
        <v>33</v>
      </c>
      <c r="F30" s="37" t="s">
        <v>34</v>
      </c>
      <c r="G30" s="37" t="s">
        <v>59</v>
      </c>
      <c r="H30" s="32" t="s">
        <v>30</v>
      </c>
      <c r="I30" s="38">
        <v>110000</v>
      </c>
      <c r="J30" s="40">
        <f t="shared" si="0"/>
        <v>0</v>
      </c>
    </row>
    <row r="31" spans="2:10" ht="19.25" customHeight="1" x14ac:dyDescent="0.6">
      <c r="B31" s="29" t="s">
        <v>41</v>
      </c>
      <c r="C31" s="29" t="s">
        <v>42</v>
      </c>
      <c r="D31" s="32" t="s">
        <v>52</v>
      </c>
      <c r="E31" s="37" t="s">
        <v>33</v>
      </c>
      <c r="F31" s="37" t="s">
        <v>34</v>
      </c>
      <c r="G31" s="37" t="s">
        <v>59</v>
      </c>
      <c r="H31" s="32" t="s">
        <v>30</v>
      </c>
      <c r="I31" s="38">
        <v>240000</v>
      </c>
      <c r="J31" s="40">
        <f t="shared" si="0"/>
        <v>0</v>
      </c>
    </row>
    <row r="32" spans="2:10" ht="19.25" customHeight="1" x14ac:dyDescent="0.6">
      <c r="B32" s="29" t="s">
        <v>41</v>
      </c>
      <c r="C32" s="29" t="s">
        <v>42</v>
      </c>
      <c r="D32" s="32" t="s">
        <v>52</v>
      </c>
      <c r="E32" s="37" t="s">
        <v>33</v>
      </c>
      <c r="F32" s="37" t="s">
        <v>34</v>
      </c>
      <c r="G32" s="37" t="s">
        <v>59</v>
      </c>
      <c r="H32" s="32" t="s">
        <v>30</v>
      </c>
      <c r="I32" s="38">
        <v>600000</v>
      </c>
      <c r="J32" s="40">
        <f t="shared" si="0"/>
        <v>0</v>
      </c>
    </row>
    <row r="33" spans="2:10" ht="19.25" customHeight="1" x14ac:dyDescent="0.6">
      <c r="B33" s="30" t="s">
        <v>41</v>
      </c>
      <c r="C33" s="30" t="s">
        <v>42</v>
      </c>
      <c r="D33" s="32" t="s">
        <v>52</v>
      </c>
      <c r="E33" s="35" t="s">
        <v>28</v>
      </c>
      <c r="F33" s="35" t="s">
        <v>29</v>
      </c>
      <c r="G33" s="35" t="s">
        <v>30</v>
      </c>
      <c r="H33" s="32" t="s">
        <v>30</v>
      </c>
      <c r="I33" s="36">
        <v>62340</v>
      </c>
      <c r="J33" s="40">
        <f t="shared" si="0"/>
        <v>0</v>
      </c>
    </row>
    <row r="34" spans="2:10" ht="19.25" customHeight="1" x14ac:dyDescent="0.6">
      <c r="B34" s="30" t="s">
        <v>41</v>
      </c>
      <c r="C34" s="30" t="s">
        <v>42</v>
      </c>
      <c r="D34" s="32" t="s">
        <v>52</v>
      </c>
      <c r="E34" s="35" t="s">
        <v>28</v>
      </c>
      <c r="F34" s="35" t="s">
        <v>29</v>
      </c>
      <c r="G34" s="35" t="s">
        <v>30</v>
      </c>
      <c r="H34" s="32" t="s">
        <v>30</v>
      </c>
      <c r="I34" s="36">
        <v>213020</v>
      </c>
      <c r="J34" s="40">
        <f t="shared" si="0"/>
        <v>0</v>
      </c>
    </row>
    <row r="35" spans="2:10" ht="19.25" customHeight="1" x14ac:dyDescent="0.6">
      <c r="B35" s="30" t="s">
        <v>41</v>
      </c>
      <c r="C35" s="30" t="s">
        <v>42</v>
      </c>
      <c r="D35" s="32" t="s">
        <v>52</v>
      </c>
      <c r="E35" s="35" t="s">
        <v>25</v>
      </c>
      <c r="F35" s="35" t="s">
        <v>29</v>
      </c>
      <c r="G35" s="35" t="s">
        <v>27</v>
      </c>
      <c r="H35" s="32" t="s">
        <v>54</v>
      </c>
      <c r="I35" s="36">
        <v>1925602</v>
      </c>
      <c r="J35" s="40">
        <f t="shared" si="0"/>
        <v>0</v>
      </c>
    </row>
    <row r="36" spans="2:10" ht="19.25" customHeight="1" x14ac:dyDescent="0.6">
      <c r="B36" s="30" t="s">
        <v>41</v>
      </c>
      <c r="C36" s="30" t="s">
        <v>42</v>
      </c>
      <c r="D36" s="32" t="s">
        <v>52</v>
      </c>
      <c r="E36" s="35" t="s">
        <v>25</v>
      </c>
      <c r="F36" s="35" t="s">
        <v>29</v>
      </c>
      <c r="G36" s="35" t="s">
        <v>27</v>
      </c>
      <c r="H36" s="32" t="s">
        <v>54</v>
      </c>
      <c r="I36" s="36">
        <v>2638488</v>
      </c>
      <c r="J36" s="40">
        <f t="shared" si="0"/>
        <v>0</v>
      </c>
    </row>
    <row r="37" spans="2:10" ht="19.25" customHeight="1" x14ac:dyDescent="0.6">
      <c r="B37" s="30" t="s">
        <v>41</v>
      </c>
      <c r="C37" s="30" t="s">
        <v>42</v>
      </c>
      <c r="D37" s="32" t="s">
        <v>52</v>
      </c>
      <c r="E37" s="35" t="s">
        <v>25</v>
      </c>
      <c r="F37" s="35" t="s">
        <v>29</v>
      </c>
      <c r="G37" s="35" t="s">
        <v>43</v>
      </c>
      <c r="H37" s="32" t="s">
        <v>61</v>
      </c>
      <c r="I37" s="36">
        <v>10725504</v>
      </c>
      <c r="J37" s="40">
        <f t="shared" si="0"/>
        <v>0</v>
      </c>
    </row>
    <row r="38" spans="2:10" ht="19.25" customHeight="1" x14ac:dyDescent="0.6">
      <c r="B38" s="30" t="s">
        <v>41</v>
      </c>
      <c r="C38" s="30" t="s">
        <v>42</v>
      </c>
      <c r="D38" s="32" t="s">
        <v>52</v>
      </c>
      <c r="E38" s="35" t="s">
        <v>25</v>
      </c>
      <c r="F38" s="35" t="s">
        <v>29</v>
      </c>
      <c r="G38" s="35" t="s">
        <v>43</v>
      </c>
      <c r="H38" s="32" t="s">
        <v>61</v>
      </c>
      <c r="I38" s="36">
        <v>12127516</v>
      </c>
      <c r="J38" s="40">
        <f t="shared" si="0"/>
        <v>0</v>
      </c>
    </row>
    <row r="39" spans="2:10" ht="19.25" customHeight="1" x14ac:dyDescent="0.6">
      <c r="B39" s="30" t="s">
        <v>41</v>
      </c>
      <c r="C39" s="30" t="s">
        <v>42</v>
      </c>
      <c r="D39" s="32" t="s">
        <v>52</v>
      </c>
      <c r="E39" s="35" t="s">
        <v>25</v>
      </c>
      <c r="F39" s="35" t="s">
        <v>31</v>
      </c>
      <c r="G39" s="35" t="s">
        <v>43</v>
      </c>
      <c r="H39" s="32" t="s">
        <v>61</v>
      </c>
      <c r="I39" s="36">
        <v>8000</v>
      </c>
      <c r="J39" s="40">
        <f t="shared" si="0"/>
        <v>0</v>
      </c>
    </row>
    <row r="40" spans="2:10" ht="19.25" customHeight="1" x14ac:dyDescent="0.6">
      <c r="B40" s="30" t="s">
        <v>41</v>
      </c>
      <c r="C40" s="30" t="s">
        <v>42</v>
      </c>
      <c r="D40" s="32" t="s">
        <v>52</v>
      </c>
      <c r="E40" s="35" t="s">
        <v>25</v>
      </c>
      <c r="F40" s="35" t="s">
        <v>31</v>
      </c>
      <c r="G40" s="35" t="s">
        <v>43</v>
      </c>
      <c r="H40" s="32" t="s">
        <v>61</v>
      </c>
      <c r="I40" s="36">
        <v>60100</v>
      </c>
      <c r="J40" s="40">
        <f t="shared" si="0"/>
        <v>0</v>
      </c>
    </row>
    <row r="41" spans="2:10" ht="19.25" customHeight="1" x14ac:dyDescent="0.6">
      <c r="B41" s="29" t="s">
        <v>41</v>
      </c>
      <c r="C41" s="29" t="s">
        <v>42</v>
      </c>
      <c r="D41" s="32" t="s">
        <v>52</v>
      </c>
      <c r="E41" s="37" t="s">
        <v>23</v>
      </c>
      <c r="F41" s="37" t="s">
        <v>24</v>
      </c>
      <c r="G41" s="37" t="s">
        <v>44</v>
      </c>
      <c r="H41" s="32" t="s">
        <v>53</v>
      </c>
      <c r="I41" s="38">
        <v>59400</v>
      </c>
      <c r="J41" s="40">
        <f t="shared" si="0"/>
        <v>47520</v>
      </c>
    </row>
    <row r="42" spans="2:10" ht="19.25" customHeight="1" x14ac:dyDescent="0.6">
      <c r="B42" s="29" t="s">
        <v>41</v>
      </c>
      <c r="C42" s="29" t="s">
        <v>42</v>
      </c>
      <c r="D42" s="32" t="s">
        <v>52</v>
      </c>
      <c r="E42" s="37" t="s">
        <v>23</v>
      </c>
      <c r="F42" s="37" t="s">
        <v>24</v>
      </c>
      <c r="G42" s="37" t="s">
        <v>44</v>
      </c>
      <c r="H42" s="32" t="s">
        <v>53</v>
      </c>
      <c r="I42" s="38">
        <v>103400</v>
      </c>
      <c r="J42" s="40">
        <f t="shared" si="0"/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33"/>
  <sheetViews>
    <sheetView workbookViewId="0">
      <selection activeCell="L11" sqref="L11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42" t="s">
        <v>270</v>
      </c>
      <c r="C3" s="42" t="s">
        <v>271</v>
      </c>
      <c r="D3" s="42" t="s">
        <v>2</v>
      </c>
      <c r="E3" s="42" t="s">
        <v>274</v>
      </c>
      <c r="F3" s="42" t="s">
        <v>272</v>
      </c>
      <c r="G3" s="42" t="s">
        <v>275</v>
      </c>
      <c r="H3" s="42" t="s">
        <v>276</v>
      </c>
      <c r="I3" s="42" t="s">
        <v>277</v>
      </c>
      <c r="J3" s="42" t="s">
        <v>278</v>
      </c>
      <c r="K3" s="43" t="s">
        <v>302</v>
      </c>
    </row>
    <row r="4" spans="2:11" x14ac:dyDescent="0.6">
      <c r="B4" s="22">
        <v>1</v>
      </c>
      <c r="C4" s="26">
        <v>201846129</v>
      </c>
      <c r="D4" s="26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8" t="str">
        <f>fn결과(H4,I4,J4)</f>
        <v>합격-883</v>
      </c>
    </row>
    <row r="5" spans="2:11" x14ac:dyDescent="0.6">
      <c r="B5" s="22">
        <v>2</v>
      </c>
      <c r="C5" s="26">
        <v>202112153</v>
      </c>
      <c r="D5" s="26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8">
        <f t="shared" ref="K5:K33" si="0">fn결과(H5,I5,J5)</f>
        <v>791</v>
      </c>
    </row>
    <row r="6" spans="2:11" x14ac:dyDescent="0.6">
      <c r="B6" s="22">
        <v>3</v>
      </c>
      <c r="C6" s="26">
        <v>201984432</v>
      </c>
      <c r="D6" s="26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8">
        <f t="shared" si="0"/>
        <v>722</v>
      </c>
    </row>
    <row r="7" spans="2:11" x14ac:dyDescent="0.6">
      <c r="B7" s="22">
        <v>4</v>
      </c>
      <c r="C7" s="26">
        <v>201846148</v>
      </c>
      <c r="D7" s="26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8" t="str">
        <f t="shared" si="0"/>
        <v>합격-850</v>
      </c>
    </row>
    <row r="8" spans="2:11" x14ac:dyDescent="0.6">
      <c r="B8" s="22">
        <v>5</v>
      </c>
      <c r="C8" s="26">
        <v>201984161</v>
      </c>
      <c r="D8" s="26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8" t="str">
        <f t="shared" si="0"/>
        <v>합격-868</v>
      </c>
    </row>
    <row r="9" spans="2:11" x14ac:dyDescent="0.6">
      <c r="B9" s="22">
        <v>6</v>
      </c>
      <c r="C9" s="26">
        <v>201834126</v>
      </c>
      <c r="D9" s="26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8">
        <f t="shared" si="0"/>
        <v>553</v>
      </c>
    </row>
    <row r="10" spans="2:11" x14ac:dyDescent="0.6">
      <c r="B10" s="22">
        <v>7</v>
      </c>
      <c r="C10" s="26">
        <v>201984128</v>
      </c>
      <c r="D10" s="26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8" t="str">
        <f t="shared" si="0"/>
        <v>합격-850</v>
      </c>
    </row>
    <row r="11" spans="2:11" x14ac:dyDescent="0.6">
      <c r="B11" s="22">
        <v>8</v>
      </c>
      <c r="C11" s="26">
        <v>201984149</v>
      </c>
      <c r="D11" s="26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8" t="str">
        <f t="shared" si="0"/>
        <v>합격-889</v>
      </c>
    </row>
    <row r="12" spans="2:11" x14ac:dyDescent="0.6">
      <c r="B12" s="22">
        <v>9</v>
      </c>
      <c r="C12" s="26">
        <v>201886155</v>
      </c>
      <c r="D12" s="26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8" t="str">
        <f t="shared" si="0"/>
        <v>합격-924</v>
      </c>
    </row>
    <row r="13" spans="2:11" x14ac:dyDescent="0.6">
      <c r="B13" s="22">
        <v>10</v>
      </c>
      <c r="C13" s="26">
        <v>201884127</v>
      </c>
      <c r="D13" s="26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8" t="str">
        <f t="shared" si="0"/>
        <v>합격-909</v>
      </c>
    </row>
    <row r="14" spans="2:11" x14ac:dyDescent="0.6">
      <c r="B14" s="22">
        <v>11</v>
      </c>
      <c r="C14" s="26">
        <v>202105143</v>
      </c>
      <c r="D14" s="26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8">
        <f t="shared" si="0"/>
        <v>732</v>
      </c>
    </row>
    <row r="15" spans="2:11" x14ac:dyDescent="0.6">
      <c r="B15" s="22">
        <v>12</v>
      </c>
      <c r="C15" s="26">
        <v>202184164</v>
      </c>
      <c r="D15" s="26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8" t="str">
        <f t="shared" si="0"/>
        <v>합격-806</v>
      </c>
    </row>
    <row r="16" spans="2:11" x14ac:dyDescent="0.6">
      <c r="B16" s="22">
        <v>13</v>
      </c>
      <c r="C16" s="26">
        <v>202113149</v>
      </c>
      <c r="D16" s="26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8" t="str">
        <f t="shared" si="0"/>
        <v>합격-873</v>
      </c>
    </row>
    <row r="17" spans="2:11" x14ac:dyDescent="0.6">
      <c r="B17" s="22">
        <v>14</v>
      </c>
      <c r="C17" s="26">
        <v>202146140</v>
      </c>
      <c r="D17" s="26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8" t="str">
        <f t="shared" si="0"/>
        <v>합격-826</v>
      </c>
    </row>
    <row r="18" spans="2:11" x14ac:dyDescent="0.6">
      <c r="B18" s="22">
        <v>15</v>
      </c>
      <c r="C18" s="26">
        <v>202164127</v>
      </c>
      <c r="D18" s="26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8" t="str">
        <f t="shared" si="0"/>
        <v>합격-819</v>
      </c>
    </row>
    <row r="19" spans="2:11" x14ac:dyDescent="0.6">
      <c r="B19" s="22">
        <v>16</v>
      </c>
      <c r="C19" s="26">
        <v>201846153</v>
      </c>
      <c r="D19" s="26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8" t="str">
        <f t="shared" si="0"/>
        <v>합격-888</v>
      </c>
    </row>
    <row r="20" spans="2:11" x14ac:dyDescent="0.6">
      <c r="B20" s="22">
        <v>17</v>
      </c>
      <c r="C20" s="26">
        <v>201984135</v>
      </c>
      <c r="D20" s="26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8">
        <f t="shared" si="0"/>
        <v>685</v>
      </c>
    </row>
    <row r="21" spans="2:11" x14ac:dyDescent="0.6">
      <c r="B21" s="22">
        <v>18</v>
      </c>
      <c r="C21" s="26">
        <v>201816161</v>
      </c>
      <c r="D21" s="26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8" t="str">
        <f t="shared" si="0"/>
        <v>합격-828</v>
      </c>
    </row>
    <row r="22" spans="2:11" x14ac:dyDescent="0.6">
      <c r="B22" s="22">
        <v>19</v>
      </c>
      <c r="C22" s="26">
        <v>202016144</v>
      </c>
      <c r="D22" s="26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8">
        <f t="shared" si="0"/>
        <v>780</v>
      </c>
    </row>
    <row r="23" spans="2:11" x14ac:dyDescent="0.6">
      <c r="B23" s="22">
        <v>20</v>
      </c>
      <c r="C23" s="26">
        <v>201984431</v>
      </c>
      <c r="D23" s="26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8">
        <f t="shared" si="0"/>
        <v>664</v>
      </c>
    </row>
    <row r="24" spans="2:11" x14ac:dyDescent="0.6">
      <c r="B24" s="22">
        <v>21</v>
      </c>
      <c r="C24" s="26">
        <v>202084155</v>
      </c>
      <c r="D24" s="26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8">
        <f t="shared" si="0"/>
        <v>612</v>
      </c>
    </row>
    <row r="25" spans="2:11" x14ac:dyDescent="0.6">
      <c r="B25" s="22">
        <v>22</v>
      </c>
      <c r="C25" s="26">
        <v>202007162</v>
      </c>
      <c r="D25" s="26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8">
        <f t="shared" si="0"/>
        <v>659</v>
      </c>
    </row>
    <row r="26" spans="2:11" x14ac:dyDescent="0.6">
      <c r="B26" s="22">
        <v>23</v>
      </c>
      <c r="C26" s="26">
        <v>201984141</v>
      </c>
      <c r="D26" s="26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8" t="str">
        <f t="shared" si="0"/>
        <v>합격-916</v>
      </c>
    </row>
    <row r="27" spans="2:11" x14ac:dyDescent="0.6">
      <c r="B27" s="22">
        <v>24</v>
      </c>
      <c r="C27" s="26">
        <v>201984150</v>
      </c>
      <c r="D27" s="26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8">
        <f t="shared" si="0"/>
        <v>626</v>
      </c>
    </row>
    <row r="28" spans="2:11" x14ac:dyDescent="0.6">
      <c r="B28" s="22">
        <v>25</v>
      </c>
      <c r="C28" s="26">
        <v>201984151</v>
      </c>
      <c r="D28" s="26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8">
        <f t="shared" si="0"/>
        <v>709</v>
      </c>
    </row>
    <row r="29" spans="2:11" x14ac:dyDescent="0.6">
      <c r="B29" s="22">
        <v>26</v>
      </c>
      <c r="C29" s="26">
        <v>201984143</v>
      </c>
      <c r="D29" s="26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8">
        <f t="shared" si="0"/>
        <v>513</v>
      </c>
    </row>
    <row r="30" spans="2:11" x14ac:dyDescent="0.6">
      <c r="B30" s="22">
        <v>27</v>
      </c>
      <c r="C30" s="26">
        <v>201984133</v>
      </c>
      <c r="D30" s="26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8">
        <f t="shared" si="0"/>
        <v>783</v>
      </c>
    </row>
    <row r="31" spans="2:11" x14ac:dyDescent="0.6">
      <c r="B31" s="22">
        <v>28</v>
      </c>
      <c r="C31" s="26">
        <v>202105160</v>
      </c>
      <c r="D31" s="26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8">
        <f t="shared" si="0"/>
        <v>742</v>
      </c>
    </row>
    <row r="32" spans="2:11" x14ac:dyDescent="0.6">
      <c r="B32" s="22">
        <v>29</v>
      </c>
      <c r="C32" s="26">
        <v>202113139</v>
      </c>
      <c r="D32" s="26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8">
        <f t="shared" si="0"/>
        <v>666</v>
      </c>
    </row>
    <row r="33" spans="2:11" x14ac:dyDescent="0.6">
      <c r="B33" s="22">
        <v>30</v>
      </c>
      <c r="C33" s="26">
        <v>201984153</v>
      </c>
      <c r="D33" s="26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8" t="str">
        <f t="shared" si="0"/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K33"/>
  <sheetViews>
    <sheetView workbookViewId="0">
      <selection activeCell="B2" sqref="B2"/>
    </sheetView>
  </sheetViews>
  <sheetFormatPr defaultRowHeight="16.899999999999999" x14ac:dyDescent="0.6"/>
  <cols>
    <col min="1" max="1" width="2.5625" style="27" customWidth="1"/>
    <col min="2" max="2" width="10.5625" style="27" bestFit="1" customWidth="1"/>
    <col min="3" max="3" width="10" style="27" bestFit="1" customWidth="1"/>
    <col min="4" max="4" width="9" style="27"/>
    <col min="5" max="5" width="12" style="27" bestFit="1" customWidth="1"/>
    <col min="6" max="7" width="10.5625" style="27" bestFit="1" customWidth="1"/>
    <col min="8" max="9" width="9" style="27"/>
    <col min="10" max="10" width="11.375" style="27" customWidth="1"/>
    <col min="11" max="16384" width="9" style="27"/>
  </cols>
  <sheetData>
    <row r="2" spans="2:11" x14ac:dyDescent="0.6">
      <c r="B2" s="27" t="s">
        <v>303</v>
      </c>
    </row>
    <row r="3" spans="2:11" x14ac:dyDescent="0.6">
      <c r="B3" s="42" t="s">
        <v>270</v>
      </c>
      <c r="C3" s="42" t="s">
        <v>271</v>
      </c>
      <c r="D3" s="42" t="s">
        <v>2</v>
      </c>
      <c r="E3" s="42" t="s">
        <v>274</v>
      </c>
      <c r="F3" s="42" t="s">
        <v>272</v>
      </c>
      <c r="G3" s="42" t="s">
        <v>275</v>
      </c>
      <c r="H3" s="42" t="s">
        <v>276</v>
      </c>
      <c r="I3" s="42" t="s">
        <v>277</v>
      </c>
      <c r="J3" s="42" t="s">
        <v>278</v>
      </c>
      <c r="K3" s="43" t="s">
        <v>304</v>
      </c>
    </row>
    <row r="4" spans="2:11" x14ac:dyDescent="0.6">
      <c r="B4" s="22">
        <v>1</v>
      </c>
      <c r="C4" s="26">
        <v>201846129</v>
      </c>
      <c r="D4" s="26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8" t="str">
        <f>fn판정(H4,I4,J4)</f>
        <v>합격</v>
      </c>
    </row>
    <row r="5" spans="2:11" x14ac:dyDescent="0.6">
      <c r="B5" s="22">
        <v>2</v>
      </c>
      <c r="C5" s="26">
        <v>202112153</v>
      </c>
      <c r="D5" s="26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8" t="str">
        <f t="shared" ref="K5:K33" si="0">fn판정(H5,I5,J5)</f>
        <v>재시험</v>
      </c>
    </row>
    <row r="6" spans="2:11" x14ac:dyDescent="0.6">
      <c r="B6" s="22">
        <v>3</v>
      </c>
      <c r="C6" s="26">
        <v>201984432</v>
      </c>
      <c r="D6" s="26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8" t="str">
        <f t="shared" si="0"/>
        <v>재시험</v>
      </c>
    </row>
    <row r="7" spans="2:11" x14ac:dyDescent="0.6">
      <c r="B7" s="22">
        <v>4</v>
      </c>
      <c r="C7" s="26">
        <v>201846148</v>
      </c>
      <c r="D7" s="26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8" t="str">
        <f t="shared" si="0"/>
        <v>재시험</v>
      </c>
    </row>
    <row r="8" spans="2:11" x14ac:dyDescent="0.6">
      <c r="B8" s="22">
        <v>5</v>
      </c>
      <c r="C8" s="26">
        <v>201984161</v>
      </c>
      <c r="D8" s="26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8" t="str">
        <f t="shared" si="0"/>
        <v>합격</v>
      </c>
    </row>
    <row r="9" spans="2:11" x14ac:dyDescent="0.6">
      <c r="B9" s="22">
        <v>6</v>
      </c>
      <c r="C9" s="26">
        <v>201834126</v>
      </c>
      <c r="D9" s="26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8" t="str">
        <f t="shared" si="0"/>
        <v>재시험</v>
      </c>
    </row>
    <row r="10" spans="2:11" x14ac:dyDescent="0.6">
      <c r="B10" s="22">
        <v>7</v>
      </c>
      <c r="C10" s="26">
        <v>201984128</v>
      </c>
      <c r="D10" s="26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8" t="str">
        <f t="shared" si="0"/>
        <v>재시험</v>
      </c>
    </row>
    <row r="11" spans="2:11" x14ac:dyDescent="0.6">
      <c r="B11" s="22">
        <v>8</v>
      </c>
      <c r="C11" s="26">
        <v>201984149</v>
      </c>
      <c r="D11" s="26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8" t="str">
        <f t="shared" si="0"/>
        <v>합격</v>
      </c>
    </row>
    <row r="12" spans="2:11" x14ac:dyDescent="0.6">
      <c r="B12" s="22">
        <v>9</v>
      </c>
      <c r="C12" s="26">
        <v>201886155</v>
      </c>
      <c r="D12" s="26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8" t="str">
        <f t="shared" si="0"/>
        <v>합격</v>
      </c>
    </row>
    <row r="13" spans="2:11" x14ac:dyDescent="0.6">
      <c r="B13" s="22">
        <v>10</v>
      </c>
      <c r="C13" s="26">
        <v>201884127</v>
      </c>
      <c r="D13" s="26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8" t="str">
        <f t="shared" si="0"/>
        <v>합격</v>
      </c>
    </row>
    <row r="14" spans="2:11" x14ac:dyDescent="0.6">
      <c r="B14" s="22">
        <v>11</v>
      </c>
      <c r="C14" s="26">
        <v>202105143</v>
      </c>
      <c r="D14" s="26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8" t="str">
        <f t="shared" si="0"/>
        <v>재시험</v>
      </c>
    </row>
    <row r="15" spans="2:11" x14ac:dyDescent="0.6">
      <c r="B15" s="22">
        <v>12</v>
      </c>
      <c r="C15" s="26">
        <v>202184164</v>
      </c>
      <c r="D15" s="26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8" t="str">
        <f t="shared" si="0"/>
        <v>재시험</v>
      </c>
    </row>
    <row r="16" spans="2:11" x14ac:dyDescent="0.6">
      <c r="B16" s="22">
        <v>13</v>
      </c>
      <c r="C16" s="26">
        <v>202113149</v>
      </c>
      <c r="D16" s="26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8" t="str">
        <f t="shared" si="0"/>
        <v>합격</v>
      </c>
    </row>
    <row r="17" spans="2:11" x14ac:dyDescent="0.6">
      <c r="B17" s="22">
        <v>14</v>
      </c>
      <c r="C17" s="26">
        <v>202146140</v>
      </c>
      <c r="D17" s="26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8" t="str">
        <f t="shared" si="0"/>
        <v>재시험</v>
      </c>
    </row>
    <row r="18" spans="2:11" x14ac:dyDescent="0.6">
      <c r="B18" s="22">
        <v>15</v>
      </c>
      <c r="C18" s="26">
        <v>202164127</v>
      </c>
      <c r="D18" s="26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8" t="str">
        <f t="shared" si="0"/>
        <v>재시험</v>
      </c>
    </row>
    <row r="19" spans="2:11" x14ac:dyDescent="0.6">
      <c r="B19" s="22">
        <v>16</v>
      </c>
      <c r="C19" s="26">
        <v>201846153</v>
      </c>
      <c r="D19" s="26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8" t="str">
        <f t="shared" si="0"/>
        <v>합격</v>
      </c>
    </row>
    <row r="20" spans="2:11" x14ac:dyDescent="0.6">
      <c r="B20" s="22">
        <v>17</v>
      </c>
      <c r="C20" s="26">
        <v>201984135</v>
      </c>
      <c r="D20" s="26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8" t="str">
        <f t="shared" si="0"/>
        <v>재시험</v>
      </c>
    </row>
    <row r="21" spans="2:11" x14ac:dyDescent="0.6">
      <c r="B21" s="22">
        <v>18</v>
      </c>
      <c r="C21" s="26">
        <v>201816161</v>
      </c>
      <c r="D21" s="26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8" t="str">
        <f t="shared" si="0"/>
        <v>재시험</v>
      </c>
    </row>
    <row r="22" spans="2:11" x14ac:dyDescent="0.6">
      <c r="B22" s="22">
        <v>19</v>
      </c>
      <c r="C22" s="26">
        <v>202016144</v>
      </c>
      <c r="D22" s="26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8" t="str">
        <f t="shared" si="0"/>
        <v>재시험</v>
      </c>
    </row>
    <row r="23" spans="2:11" x14ac:dyDescent="0.6">
      <c r="B23" s="22">
        <v>20</v>
      </c>
      <c r="C23" s="26">
        <v>201984431</v>
      </c>
      <c r="D23" s="26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8" t="str">
        <f t="shared" si="0"/>
        <v>재시험</v>
      </c>
    </row>
    <row r="24" spans="2:11" x14ac:dyDescent="0.6">
      <c r="B24" s="22">
        <v>21</v>
      </c>
      <c r="C24" s="26">
        <v>202084155</v>
      </c>
      <c r="D24" s="26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8" t="str">
        <f t="shared" si="0"/>
        <v>재시험</v>
      </c>
    </row>
    <row r="25" spans="2:11" x14ac:dyDescent="0.6">
      <c r="B25" s="22">
        <v>22</v>
      </c>
      <c r="C25" s="26">
        <v>202007162</v>
      </c>
      <c r="D25" s="26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8" t="str">
        <f t="shared" si="0"/>
        <v>재시험</v>
      </c>
    </row>
    <row r="26" spans="2:11" x14ac:dyDescent="0.6">
      <c r="B26" s="22">
        <v>23</v>
      </c>
      <c r="C26" s="26">
        <v>201984141</v>
      </c>
      <c r="D26" s="26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8" t="str">
        <f t="shared" si="0"/>
        <v>합격</v>
      </c>
    </row>
    <row r="27" spans="2:11" x14ac:dyDescent="0.6">
      <c r="B27" s="22">
        <v>24</v>
      </c>
      <c r="C27" s="26">
        <v>201984150</v>
      </c>
      <c r="D27" s="26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8" t="str">
        <f t="shared" si="0"/>
        <v>재시험</v>
      </c>
    </row>
    <row r="28" spans="2:11" x14ac:dyDescent="0.6">
      <c r="B28" s="22">
        <v>25</v>
      </c>
      <c r="C28" s="26">
        <v>201984151</v>
      </c>
      <c r="D28" s="26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8" t="str">
        <f t="shared" si="0"/>
        <v>재시험</v>
      </c>
    </row>
    <row r="29" spans="2:11" x14ac:dyDescent="0.6">
      <c r="B29" s="22">
        <v>26</v>
      </c>
      <c r="C29" s="26">
        <v>201984143</v>
      </c>
      <c r="D29" s="26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8" t="str">
        <f t="shared" si="0"/>
        <v>재시험</v>
      </c>
    </row>
    <row r="30" spans="2:11" x14ac:dyDescent="0.6">
      <c r="B30" s="22">
        <v>27</v>
      </c>
      <c r="C30" s="26">
        <v>201984133</v>
      </c>
      <c r="D30" s="26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8" t="str">
        <f t="shared" si="0"/>
        <v>재시험</v>
      </c>
    </row>
    <row r="31" spans="2:11" x14ac:dyDescent="0.6">
      <c r="B31" s="22">
        <v>28</v>
      </c>
      <c r="C31" s="26">
        <v>202105160</v>
      </c>
      <c r="D31" s="26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8" t="str">
        <f t="shared" si="0"/>
        <v>재시험</v>
      </c>
    </row>
    <row r="32" spans="2:11" x14ac:dyDescent="0.6">
      <c r="B32" s="22">
        <v>29</v>
      </c>
      <c r="C32" s="26">
        <v>202113139</v>
      </c>
      <c r="D32" s="26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8" t="str">
        <f t="shared" si="0"/>
        <v>재시험</v>
      </c>
    </row>
    <row r="33" spans="2:11" x14ac:dyDescent="0.6">
      <c r="B33" s="22">
        <v>30</v>
      </c>
      <c r="C33" s="26">
        <v>201984153</v>
      </c>
      <c r="D33" s="26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8" t="str">
        <f t="shared" si="0"/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33"/>
  <sheetViews>
    <sheetView workbookViewId="0">
      <selection activeCell="B2" sqref="B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s="27" t="s">
        <v>303</v>
      </c>
    </row>
    <row r="3" spans="2:9" x14ac:dyDescent="0.6">
      <c r="B3" s="44" t="s">
        <v>63</v>
      </c>
      <c r="C3" s="44" t="s">
        <v>64</v>
      </c>
      <c r="D3" s="44" t="s">
        <v>65</v>
      </c>
      <c r="E3" s="44" t="s">
        <v>3</v>
      </c>
      <c r="F3" s="44" t="s">
        <v>66</v>
      </c>
      <c r="G3" s="44" t="s">
        <v>67</v>
      </c>
      <c r="H3" s="44" t="s">
        <v>68</v>
      </c>
      <c r="I3" s="45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8" t="str">
        <f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8" t="str">
        <f t="shared" ref="I5:I33" si="0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8" t="str">
        <f t="shared" si="0"/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8" t="str">
        <f t="shared" si="0"/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8" t="str">
        <f t="shared" si="0"/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8" t="str">
        <f t="shared" si="0"/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8" t="str">
        <f t="shared" si="0"/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8" t="str">
        <f t="shared" si="0"/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8" t="str">
        <f t="shared" si="0"/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8" t="str">
        <f t="shared" si="0"/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8" t="str">
        <f t="shared" si="0"/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8" t="str">
        <f t="shared" si="0"/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8" t="str">
        <f t="shared" si="0"/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8" t="str">
        <f t="shared" si="0"/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8" t="str">
        <f t="shared" si="0"/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8" t="str">
        <f t="shared" si="0"/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8" t="str">
        <f t="shared" si="0"/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8" t="str">
        <f t="shared" si="0"/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8" t="str">
        <f t="shared" si="0"/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8" t="str">
        <f t="shared" si="0"/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8" t="str">
        <f t="shared" si="0"/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8" t="str">
        <f t="shared" si="0"/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8" t="str">
        <f t="shared" si="0"/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8" t="str">
        <f t="shared" si="0"/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8" t="str">
        <f t="shared" si="0"/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8" t="str">
        <f t="shared" si="0"/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8" t="str">
        <f t="shared" si="0"/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8" t="str">
        <f t="shared" si="0"/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8" t="str">
        <f t="shared" si="0"/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8" t="str">
        <f t="shared" si="0"/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40"/>
  <sheetViews>
    <sheetView workbookViewId="0">
      <selection activeCell="B2" sqref="B2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s="27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7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8" t="str">
        <f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8" t="str">
        <f t="shared" ref="J5:J40" si="0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8" t="str">
        <f t="shared" si="0"/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8" t="str">
        <f t="shared" si="0"/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8" t="str">
        <f t="shared" si="0"/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8" t="str">
        <f t="shared" si="0"/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8" t="str">
        <f t="shared" si="0"/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8" t="str">
        <f t="shared" si="0"/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8" t="str">
        <f t="shared" si="0"/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8" t="str">
        <f t="shared" si="0"/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8" t="str">
        <f t="shared" si="0"/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8" t="str">
        <f t="shared" si="0"/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8" t="str">
        <f t="shared" si="0"/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8" t="str">
        <f t="shared" si="0"/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8" t="str">
        <f t="shared" si="0"/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8" t="str">
        <f t="shared" si="0"/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8" t="str">
        <f t="shared" si="0"/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8" t="str">
        <f t="shared" si="0"/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8" t="str">
        <f t="shared" si="0"/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8" t="str">
        <f t="shared" si="0"/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8" t="str">
        <f t="shared" si="0"/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8" t="str">
        <f t="shared" si="0"/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8" t="str">
        <f t="shared" si="0"/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8" t="str">
        <f t="shared" si="0"/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8" t="str">
        <f t="shared" si="0"/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8" t="str">
        <f t="shared" si="0"/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8" t="str">
        <f t="shared" si="0"/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8" t="str">
        <f t="shared" si="0"/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8" t="str">
        <f t="shared" si="0"/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8" t="str">
        <f t="shared" si="0"/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8" t="str">
        <f t="shared" si="0"/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8" t="str">
        <f t="shared" si="0"/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8" t="str">
        <f t="shared" si="0"/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8" t="str">
        <f t="shared" si="0"/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8" t="str">
        <f t="shared" si="0"/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8" t="str">
        <f t="shared" si="0"/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8" t="str">
        <f t="shared" si="0"/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40"/>
  <sheetViews>
    <sheetView zoomScaleNormal="100" workbookViewId="0">
      <selection activeCell="B2" sqref="B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s="27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6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>
        <f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25" t="str">
        <f t="shared" ref="I5:I40" si="0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25" t="str">
        <f t="shared" si="0"/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25" t="str">
        <f t="shared" si="0"/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25" t="str">
        <f t="shared" si="0"/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25" t="str">
        <f t="shared" si="0"/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25" t="str">
        <f t="shared" si="0"/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25" t="str">
        <f t="shared" si="0"/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25" t="str">
        <f t="shared" si="0"/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25" t="str">
        <f t="shared" si="0"/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25" t="str">
        <f t="shared" si="0"/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25" t="str">
        <f t="shared" si="0"/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25" t="str">
        <f t="shared" si="0"/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25" t="str">
        <f t="shared" si="0"/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25" t="str">
        <f t="shared" si="0"/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25" t="str">
        <f t="shared" si="0"/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25" t="str">
        <f t="shared" si="0"/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25" t="str">
        <f t="shared" si="0"/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25" t="str">
        <f t="shared" si="0"/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25" t="str">
        <f t="shared" si="0"/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25" t="str">
        <f t="shared" si="0"/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25" t="str">
        <f t="shared" si="0"/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25" t="str">
        <f t="shared" si="0"/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25" t="str">
        <f t="shared" si="0"/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25" t="str">
        <f t="shared" si="0"/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25" t="str">
        <f t="shared" si="0"/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25" t="str">
        <f t="shared" si="0"/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25" t="str">
        <f t="shared" si="0"/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25" t="str">
        <f t="shared" si="0"/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25" t="str">
        <f t="shared" si="0"/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25" t="str">
        <f t="shared" si="0"/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25" t="str">
        <f t="shared" si="0"/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25" t="str">
        <f t="shared" si="0"/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25" t="str">
        <f t="shared" si="0"/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25" t="str">
        <f t="shared" si="0"/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25" t="str">
        <f t="shared" si="0"/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25" t="str">
        <f t="shared" si="0"/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I40"/>
  <sheetViews>
    <sheetView zoomScaleNormal="100" workbookViewId="0">
      <selection activeCell="B2" sqref="B2"/>
    </sheetView>
  </sheetViews>
  <sheetFormatPr defaultRowHeight="16.899999999999999" x14ac:dyDescent="0.6"/>
  <cols>
    <col min="1" max="1" width="2.5625" style="27" customWidth="1"/>
    <col min="2" max="2" width="10" style="27" bestFit="1" customWidth="1"/>
    <col min="3" max="3" width="9" style="27"/>
    <col min="4" max="4" width="13.9375" style="27" bestFit="1" customWidth="1"/>
    <col min="5" max="5" width="10.0625" style="27" bestFit="1" customWidth="1"/>
    <col min="6" max="7" width="10.5625" style="27" bestFit="1" customWidth="1"/>
    <col min="8" max="8" width="9" style="27"/>
    <col min="9" max="9" width="10.0625" style="27" bestFit="1" customWidth="1"/>
    <col min="10" max="11" width="9" style="27"/>
    <col min="12" max="12" width="13.9375" style="27" bestFit="1" customWidth="1"/>
    <col min="13" max="13" width="9" style="27"/>
    <col min="14" max="15" width="10.5625" style="27" bestFit="1" customWidth="1"/>
    <col min="16" max="16384" width="9" style="27"/>
  </cols>
  <sheetData>
    <row r="2" spans="2:9" x14ac:dyDescent="0.6">
      <c r="B2" s="27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6" t="s">
        <v>309</v>
      </c>
    </row>
    <row r="4" spans="2:9" x14ac:dyDescent="0.6">
      <c r="B4" s="25" t="s">
        <v>226</v>
      </c>
      <c r="C4" s="25" t="s">
        <v>227</v>
      </c>
      <c r="D4" s="25" t="s">
        <v>228</v>
      </c>
      <c r="E4" s="25" t="s">
        <v>229</v>
      </c>
      <c r="F4" s="3">
        <v>44390</v>
      </c>
      <c r="G4" s="3">
        <v>44408</v>
      </c>
      <c r="H4" s="25">
        <v>936</v>
      </c>
      <c r="I4" s="25" t="str">
        <f>kp점수차트(H4)</f>
        <v>♣♣♣♣</v>
      </c>
    </row>
    <row r="5" spans="2:9" x14ac:dyDescent="0.6">
      <c r="B5" s="25" t="s">
        <v>226</v>
      </c>
      <c r="C5" s="25" t="s">
        <v>227</v>
      </c>
      <c r="D5" s="25" t="s">
        <v>228</v>
      </c>
      <c r="E5" s="25" t="s">
        <v>230</v>
      </c>
      <c r="F5" s="3">
        <v>44389</v>
      </c>
      <c r="G5" s="3">
        <v>44407</v>
      </c>
      <c r="H5" s="25">
        <v>838</v>
      </c>
      <c r="I5" s="25" t="str">
        <f t="shared" ref="I5:I40" si="0">kp점수차트(H5)</f>
        <v>♣♣♣♣</v>
      </c>
    </row>
    <row r="6" spans="2:9" x14ac:dyDescent="0.6">
      <c r="B6" s="25" t="s">
        <v>226</v>
      </c>
      <c r="C6" s="25" t="s">
        <v>227</v>
      </c>
      <c r="D6" s="25" t="s">
        <v>228</v>
      </c>
      <c r="E6" s="25" t="s">
        <v>231</v>
      </c>
      <c r="F6" s="3">
        <v>44389.546122685198</v>
      </c>
      <c r="G6" s="3">
        <v>44397.661805555603</v>
      </c>
      <c r="H6" s="25">
        <v>975</v>
      </c>
      <c r="I6" s="25" t="str">
        <f t="shared" si="0"/>
        <v>♣♣♣♣</v>
      </c>
    </row>
    <row r="7" spans="2:9" x14ac:dyDescent="0.6">
      <c r="B7" s="25" t="s">
        <v>226</v>
      </c>
      <c r="C7" s="25" t="s">
        <v>227</v>
      </c>
      <c r="D7" s="25" t="s">
        <v>228</v>
      </c>
      <c r="E7" s="25" t="s">
        <v>232</v>
      </c>
      <c r="F7" s="3">
        <v>44390.571458333303</v>
      </c>
      <c r="G7" s="3">
        <v>44404.706944444399</v>
      </c>
      <c r="H7" s="25">
        <v>379</v>
      </c>
      <c r="I7" s="25" t="str">
        <f t="shared" si="0"/>
        <v>♣</v>
      </c>
    </row>
    <row r="8" spans="2:9" x14ac:dyDescent="0.6">
      <c r="B8" s="25" t="s">
        <v>233</v>
      </c>
      <c r="C8" s="25" t="s">
        <v>234</v>
      </c>
      <c r="D8" s="25" t="s">
        <v>228</v>
      </c>
      <c r="E8" s="25" t="s">
        <v>229</v>
      </c>
      <c r="F8" s="3">
        <v>44392</v>
      </c>
      <c r="G8" s="3">
        <v>44408</v>
      </c>
      <c r="H8" s="25">
        <v>893</v>
      </c>
      <c r="I8" s="25" t="str">
        <f t="shared" si="0"/>
        <v>♣♣♣♣</v>
      </c>
    </row>
    <row r="9" spans="2:9" x14ac:dyDescent="0.6">
      <c r="B9" s="25" t="s">
        <v>233</v>
      </c>
      <c r="C9" s="25" t="s">
        <v>234</v>
      </c>
      <c r="D9" s="25" t="s">
        <v>228</v>
      </c>
      <c r="E9" s="25" t="s">
        <v>232</v>
      </c>
      <c r="F9" s="3">
        <v>44392.771400463003</v>
      </c>
      <c r="G9" s="3">
        <v>44406.668055555601</v>
      </c>
      <c r="H9" s="25">
        <v>800</v>
      </c>
      <c r="I9" s="25" t="str">
        <f t="shared" si="0"/>
        <v>♣♣♣♣</v>
      </c>
    </row>
    <row r="10" spans="2:9" x14ac:dyDescent="0.6">
      <c r="B10" s="25" t="s">
        <v>235</v>
      </c>
      <c r="C10" s="25" t="s">
        <v>236</v>
      </c>
      <c r="D10" s="25" t="s">
        <v>228</v>
      </c>
      <c r="E10" s="25" t="s">
        <v>231</v>
      </c>
      <c r="F10" s="3">
        <v>44393.390810185199</v>
      </c>
      <c r="G10" s="3">
        <v>44399.644444444399</v>
      </c>
      <c r="H10" s="25">
        <v>975</v>
      </c>
      <c r="I10" s="25" t="str">
        <f t="shared" si="0"/>
        <v>♣♣♣♣</v>
      </c>
    </row>
    <row r="11" spans="2:9" x14ac:dyDescent="0.6">
      <c r="B11" s="25" t="s">
        <v>235</v>
      </c>
      <c r="C11" s="25" t="s">
        <v>236</v>
      </c>
      <c r="D11" s="25" t="s">
        <v>228</v>
      </c>
      <c r="E11" s="25" t="s">
        <v>232</v>
      </c>
      <c r="F11" s="3">
        <v>44393.484884259298</v>
      </c>
      <c r="G11" s="3">
        <v>44406.668055555601</v>
      </c>
      <c r="H11" s="25">
        <v>653</v>
      </c>
      <c r="I11" s="25" t="str">
        <f t="shared" si="0"/>
        <v>♣♣♣</v>
      </c>
    </row>
    <row r="12" spans="2:9" x14ac:dyDescent="0.6">
      <c r="B12" s="25" t="s">
        <v>237</v>
      </c>
      <c r="C12" s="25" t="s">
        <v>215</v>
      </c>
      <c r="D12" s="25" t="s">
        <v>238</v>
      </c>
      <c r="E12" s="25" t="s">
        <v>231</v>
      </c>
      <c r="F12" s="3">
        <v>44389.565798611096</v>
      </c>
      <c r="G12" s="3">
        <v>44399.644444444399</v>
      </c>
      <c r="H12" s="25">
        <v>979</v>
      </c>
      <c r="I12" s="25" t="str">
        <f t="shared" si="0"/>
        <v>♣♣♣♣</v>
      </c>
    </row>
    <row r="13" spans="2:9" x14ac:dyDescent="0.6">
      <c r="B13" s="25" t="s">
        <v>237</v>
      </c>
      <c r="C13" s="25" t="s">
        <v>215</v>
      </c>
      <c r="D13" s="25" t="s">
        <v>238</v>
      </c>
      <c r="E13" s="25" t="s">
        <v>232</v>
      </c>
      <c r="F13" s="3">
        <v>44393.392615740697</v>
      </c>
      <c r="G13" s="3">
        <v>44406.699305555601</v>
      </c>
      <c r="H13" s="25">
        <v>862</v>
      </c>
      <c r="I13" s="25" t="str">
        <f t="shared" si="0"/>
        <v>♣♣♣♣</v>
      </c>
    </row>
    <row r="14" spans="2:9" x14ac:dyDescent="0.6">
      <c r="B14" s="25" t="s">
        <v>239</v>
      </c>
      <c r="C14" s="25" t="s">
        <v>240</v>
      </c>
      <c r="D14" s="25" t="s">
        <v>241</v>
      </c>
      <c r="E14" s="25" t="s">
        <v>231</v>
      </c>
      <c r="F14" s="3">
        <v>44389.5624537037</v>
      </c>
      <c r="G14" s="3">
        <v>44399.644444444399</v>
      </c>
      <c r="H14" s="25">
        <v>893</v>
      </c>
      <c r="I14" s="25" t="str">
        <f t="shared" si="0"/>
        <v>♣♣♣♣</v>
      </c>
    </row>
    <row r="15" spans="2:9" x14ac:dyDescent="0.6">
      <c r="B15" s="25" t="s">
        <v>242</v>
      </c>
      <c r="C15" s="25" t="s">
        <v>243</v>
      </c>
      <c r="D15" s="25" t="s">
        <v>241</v>
      </c>
      <c r="E15" s="25" t="s">
        <v>232</v>
      </c>
      <c r="F15" s="3">
        <v>44386.666400463</v>
      </c>
      <c r="G15" s="3">
        <v>44404.715972222199</v>
      </c>
      <c r="H15" s="25">
        <v>908</v>
      </c>
      <c r="I15" s="25" t="str">
        <f t="shared" si="0"/>
        <v>♣♣♣♣</v>
      </c>
    </row>
    <row r="16" spans="2:9" x14ac:dyDescent="0.6">
      <c r="B16" s="25" t="s">
        <v>244</v>
      </c>
      <c r="C16" s="25" t="s">
        <v>245</v>
      </c>
      <c r="D16" s="25" t="s">
        <v>241</v>
      </c>
      <c r="E16" s="25" t="s">
        <v>231</v>
      </c>
      <c r="F16" s="3">
        <v>44389.562384259298</v>
      </c>
      <c r="G16" s="3">
        <v>44399.672222222202</v>
      </c>
      <c r="H16" s="25"/>
      <c r="I16" s="25" t="str">
        <f t="shared" si="0"/>
        <v>재시험</v>
      </c>
    </row>
    <row r="17" spans="2:9" x14ac:dyDescent="0.6">
      <c r="B17" s="25" t="s">
        <v>246</v>
      </c>
      <c r="C17" s="25" t="s">
        <v>247</v>
      </c>
      <c r="D17" s="25" t="s">
        <v>238</v>
      </c>
      <c r="E17" s="25" t="s">
        <v>229</v>
      </c>
      <c r="F17" s="3">
        <v>44386</v>
      </c>
      <c r="G17" s="3">
        <v>44408</v>
      </c>
      <c r="H17" s="25">
        <v>925</v>
      </c>
      <c r="I17" s="25" t="str">
        <f t="shared" si="0"/>
        <v>♣♣♣♣</v>
      </c>
    </row>
    <row r="18" spans="2:9" x14ac:dyDescent="0.6">
      <c r="B18" s="25" t="s">
        <v>248</v>
      </c>
      <c r="C18" s="25" t="s">
        <v>249</v>
      </c>
      <c r="D18" s="25" t="s">
        <v>228</v>
      </c>
      <c r="E18" s="25" t="s">
        <v>229</v>
      </c>
      <c r="F18" s="3">
        <v>44390</v>
      </c>
      <c r="G18" s="3">
        <v>44408</v>
      </c>
      <c r="H18" s="25">
        <v>567</v>
      </c>
      <c r="I18" s="25" t="str">
        <f t="shared" si="0"/>
        <v>♣♣</v>
      </c>
    </row>
    <row r="19" spans="2:9" x14ac:dyDescent="0.6">
      <c r="B19" s="25" t="s">
        <v>248</v>
      </c>
      <c r="C19" s="25" t="s">
        <v>249</v>
      </c>
      <c r="D19" s="25" t="s">
        <v>228</v>
      </c>
      <c r="E19" s="25" t="s">
        <v>231</v>
      </c>
      <c r="F19" s="3">
        <v>44389.551261574103</v>
      </c>
      <c r="G19" s="3">
        <v>44397.663194444402</v>
      </c>
      <c r="H19" s="25">
        <v>975</v>
      </c>
      <c r="I19" s="25" t="str">
        <f t="shared" si="0"/>
        <v>♣♣♣♣</v>
      </c>
    </row>
    <row r="20" spans="2:9" x14ac:dyDescent="0.6">
      <c r="B20" s="25" t="s">
        <v>248</v>
      </c>
      <c r="C20" s="25" t="s">
        <v>249</v>
      </c>
      <c r="D20" s="25" t="s">
        <v>228</v>
      </c>
      <c r="E20" s="25" t="s">
        <v>232</v>
      </c>
      <c r="F20" s="3">
        <v>44390.594143518501</v>
      </c>
      <c r="G20" s="3">
        <v>44404.714583333298</v>
      </c>
      <c r="H20" s="25">
        <v>655</v>
      </c>
      <c r="I20" s="25" t="str">
        <f t="shared" si="0"/>
        <v>♣♣♣</v>
      </c>
    </row>
    <row r="21" spans="2:9" x14ac:dyDescent="0.6">
      <c r="B21" s="25" t="s">
        <v>250</v>
      </c>
      <c r="C21" s="25" t="s">
        <v>0</v>
      </c>
      <c r="D21" s="25" t="s">
        <v>238</v>
      </c>
      <c r="E21" s="25" t="s">
        <v>231</v>
      </c>
      <c r="F21" s="3">
        <v>44390.412962962997</v>
      </c>
      <c r="G21" s="3">
        <v>44399.644444444399</v>
      </c>
      <c r="H21" s="25">
        <v>567</v>
      </c>
      <c r="I21" s="25" t="str">
        <f t="shared" si="0"/>
        <v>♣♣</v>
      </c>
    </row>
    <row r="22" spans="2:9" x14ac:dyDescent="0.6">
      <c r="B22" s="25" t="s">
        <v>250</v>
      </c>
      <c r="C22" s="25" t="s">
        <v>0</v>
      </c>
      <c r="D22" s="25" t="s">
        <v>238</v>
      </c>
      <c r="E22" s="25" t="s">
        <v>232</v>
      </c>
      <c r="F22" s="3">
        <v>44390.558379629598</v>
      </c>
      <c r="G22" s="3">
        <v>44406.697916666701</v>
      </c>
      <c r="H22" s="25"/>
      <c r="I22" s="25" t="str">
        <f t="shared" si="0"/>
        <v>재시험</v>
      </c>
    </row>
    <row r="23" spans="2:9" x14ac:dyDescent="0.6">
      <c r="B23" s="25" t="s">
        <v>250</v>
      </c>
      <c r="C23" s="25" t="s">
        <v>0</v>
      </c>
      <c r="D23" s="25" t="s">
        <v>238</v>
      </c>
      <c r="E23" s="25" t="s">
        <v>229</v>
      </c>
      <c r="F23" s="3">
        <v>44390</v>
      </c>
      <c r="G23" s="3">
        <v>44408</v>
      </c>
      <c r="H23" s="25">
        <v>936</v>
      </c>
      <c r="I23" s="25" t="str">
        <f t="shared" si="0"/>
        <v>♣♣♣♣</v>
      </c>
    </row>
    <row r="24" spans="2:9" x14ac:dyDescent="0.6">
      <c r="B24" s="25" t="s">
        <v>251</v>
      </c>
      <c r="C24" s="25" t="s">
        <v>252</v>
      </c>
      <c r="D24" s="25" t="s">
        <v>241</v>
      </c>
      <c r="E24" s="25" t="s">
        <v>232</v>
      </c>
      <c r="F24" s="3">
        <v>44390.558564814797</v>
      </c>
      <c r="G24" s="3">
        <v>44404.770138888904</v>
      </c>
      <c r="H24" s="25">
        <v>838</v>
      </c>
      <c r="I24" s="25" t="str">
        <f t="shared" si="0"/>
        <v>♣♣♣♣</v>
      </c>
    </row>
    <row r="25" spans="2:9" x14ac:dyDescent="0.6">
      <c r="B25" s="25" t="s">
        <v>251</v>
      </c>
      <c r="C25" s="25" t="s">
        <v>252</v>
      </c>
      <c r="D25" s="25" t="s">
        <v>241</v>
      </c>
      <c r="E25" s="25" t="s">
        <v>231</v>
      </c>
      <c r="F25" s="3">
        <v>44389.550844907397</v>
      </c>
      <c r="G25" s="3">
        <v>44397.685416666704</v>
      </c>
      <c r="H25" s="25"/>
      <c r="I25" s="25" t="str">
        <f t="shared" si="0"/>
        <v>재시험</v>
      </c>
    </row>
    <row r="26" spans="2:9" x14ac:dyDescent="0.6">
      <c r="B26" s="25" t="s">
        <v>251</v>
      </c>
      <c r="C26" s="25" t="s">
        <v>252</v>
      </c>
      <c r="D26" s="25" t="s">
        <v>241</v>
      </c>
      <c r="E26" s="25" t="s">
        <v>229</v>
      </c>
      <c r="F26" s="3">
        <v>44390</v>
      </c>
      <c r="G26" s="3">
        <v>44408</v>
      </c>
      <c r="H26" s="25">
        <v>936</v>
      </c>
      <c r="I26" s="25" t="str">
        <f t="shared" si="0"/>
        <v>♣♣♣♣</v>
      </c>
    </row>
    <row r="27" spans="2:9" x14ac:dyDescent="0.6">
      <c r="B27" s="25" t="s">
        <v>253</v>
      </c>
      <c r="C27" s="25" t="s">
        <v>254</v>
      </c>
      <c r="D27" s="25" t="s">
        <v>228</v>
      </c>
      <c r="E27" s="25" t="s">
        <v>229</v>
      </c>
      <c r="F27" s="3">
        <v>44386</v>
      </c>
      <c r="G27" s="3">
        <v>44408</v>
      </c>
      <c r="H27" s="25">
        <v>975</v>
      </c>
      <c r="I27" s="25" t="str">
        <f t="shared" si="0"/>
        <v>♣♣♣♣</v>
      </c>
    </row>
    <row r="28" spans="2:9" x14ac:dyDescent="0.6">
      <c r="B28" s="25" t="s">
        <v>253</v>
      </c>
      <c r="C28" s="25" t="s">
        <v>254</v>
      </c>
      <c r="D28" s="25" t="s">
        <v>228</v>
      </c>
      <c r="E28" s="25" t="s">
        <v>232</v>
      </c>
      <c r="F28" s="3">
        <v>44386.815740740698</v>
      </c>
      <c r="G28" s="3">
        <v>44406.667361111096</v>
      </c>
      <c r="H28" s="25">
        <v>800</v>
      </c>
      <c r="I28" s="25" t="str">
        <f t="shared" si="0"/>
        <v>♣♣♣♣</v>
      </c>
    </row>
    <row r="29" spans="2:9" x14ac:dyDescent="0.6">
      <c r="B29" s="25" t="s">
        <v>253</v>
      </c>
      <c r="C29" s="25" t="s">
        <v>254</v>
      </c>
      <c r="D29" s="25" t="s">
        <v>228</v>
      </c>
      <c r="E29" s="25" t="s">
        <v>231</v>
      </c>
      <c r="F29" s="3">
        <v>44390.647881944402</v>
      </c>
      <c r="G29" s="3">
        <v>44399.644444444399</v>
      </c>
      <c r="H29" s="25">
        <v>1000</v>
      </c>
      <c r="I29" s="25" t="str">
        <f t="shared" si="0"/>
        <v>♣♣♣♣♣</v>
      </c>
    </row>
    <row r="30" spans="2:9" x14ac:dyDescent="0.6">
      <c r="B30" s="25" t="s">
        <v>255</v>
      </c>
      <c r="C30" s="25" t="s">
        <v>256</v>
      </c>
      <c r="D30" s="25" t="s">
        <v>238</v>
      </c>
      <c r="E30" s="25" t="s">
        <v>230</v>
      </c>
      <c r="F30" s="3">
        <v>44391</v>
      </c>
      <c r="G30" s="3">
        <v>44407</v>
      </c>
      <c r="H30" s="25">
        <v>838</v>
      </c>
      <c r="I30" s="25" t="str">
        <f t="shared" si="0"/>
        <v>♣♣♣♣</v>
      </c>
    </row>
    <row r="31" spans="2:9" x14ac:dyDescent="0.6">
      <c r="B31" s="25" t="s">
        <v>255</v>
      </c>
      <c r="C31" s="25" t="s">
        <v>256</v>
      </c>
      <c r="D31" s="25" t="s">
        <v>238</v>
      </c>
      <c r="E31" s="25" t="s">
        <v>232</v>
      </c>
      <c r="F31" s="3">
        <v>44386.665208333303</v>
      </c>
      <c r="G31" s="3">
        <v>44404.752777777801</v>
      </c>
      <c r="H31" s="25">
        <v>120</v>
      </c>
      <c r="I31" s="25" t="str">
        <f t="shared" si="0"/>
        <v>재시험</v>
      </c>
    </row>
    <row r="32" spans="2:9" x14ac:dyDescent="0.6">
      <c r="B32" s="25" t="s">
        <v>255</v>
      </c>
      <c r="C32" s="25" t="s">
        <v>256</v>
      </c>
      <c r="D32" s="25" t="s">
        <v>238</v>
      </c>
      <c r="E32" s="25" t="s">
        <v>229</v>
      </c>
      <c r="F32" s="3">
        <v>44386</v>
      </c>
      <c r="G32" s="3">
        <v>44408</v>
      </c>
      <c r="H32" s="25"/>
      <c r="I32" s="25" t="str">
        <f t="shared" si="0"/>
        <v>재시험</v>
      </c>
    </row>
    <row r="33" spans="2:9" x14ac:dyDescent="0.6">
      <c r="B33" s="25" t="s">
        <v>255</v>
      </c>
      <c r="C33" s="25" t="s">
        <v>256</v>
      </c>
      <c r="D33" s="25" t="s">
        <v>238</v>
      </c>
      <c r="E33" s="25" t="s">
        <v>231</v>
      </c>
      <c r="F33" s="3">
        <v>44391.693402777797</v>
      </c>
      <c r="G33" s="3">
        <v>44397.691666666702</v>
      </c>
      <c r="H33" s="25">
        <v>555</v>
      </c>
      <c r="I33" s="25" t="str">
        <f t="shared" si="0"/>
        <v>♣♣</v>
      </c>
    </row>
    <row r="34" spans="2:9" x14ac:dyDescent="0.6">
      <c r="B34" s="25" t="s">
        <v>257</v>
      </c>
      <c r="C34" s="25" t="s">
        <v>258</v>
      </c>
      <c r="D34" s="25" t="s">
        <v>241</v>
      </c>
      <c r="E34" s="25" t="s">
        <v>232</v>
      </c>
      <c r="F34" s="3">
        <v>44392.8386805556</v>
      </c>
      <c r="G34" s="3">
        <v>44406.668055555601</v>
      </c>
      <c r="H34" s="25">
        <v>642</v>
      </c>
      <c r="I34" s="25" t="str">
        <f t="shared" si="0"/>
        <v>♣♣♣</v>
      </c>
    </row>
    <row r="35" spans="2:9" x14ac:dyDescent="0.6">
      <c r="B35" s="25" t="s">
        <v>257</v>
      </c>
      <c r="C35" s="25" t="s">
        <v>258</v>
      </c>
      <c r="D35" s="25" t="s">
        <v>241</v>
      </c>
      <c r="E35" s="25" t="s">
        <v>231</v>
      </c>
      <c r="F35" s="3">
        <v>44389.571284722202</v>
      </c>
      <c r="G35" s="3">
        <v>44399.644444444399</v>
      </c>
      <c r="H35" s="25">
        <v>950</v>
      </c>
      <c r="I35" s="25" t="str">
        <f t="shared" si="0"/>
        <v>♣♣♣♣</v>
      </c>
    </row>
    <row r="36" spans="2:9" x14ac:dyDescent="0.6">
      <c r="B36" s="25" t="s">
        <v>259</v>
      </c>
      <c r="C36" s="25" t="s">
        <v>260</v>
      </c>
      <c r="D36" s="25" t="s">
        <v>238</v>
      </c>
      <c r="E36" s="25" t="s">
        <v>229</v>
      </c>
      <c r="F36" s="3">
        <v>44389</v>
      </c>
      <c r="G36" s="3">
        <v>44408</v>
      </c>
      <c r="H36" s="25">
        <v>345</v>
      </c>
      <c r="I36" s="25" t="str">
        <f t="shared" si="0"/>
        <v>♣</v>
      </c>
    </row>
    <row r="37" spans="2:9" x14ac:dyDescent="0.6">
      <c r="B37" s="25" t="s">
        <v>261</v>
      </c>
      <c r="C37" s="25" t="s">
        <v>221</v>
      </c>
      <c r="D37" s="25" t="s">
        <v>228</v>
      </c>
      <c r="E37" s="25" t="s">
        <v>231</v>
      </c>
      <c r="F37" s="3">
        <v>44390.552060185197</v>
      </c>
      <c r="G37" s="3">
        <v>44399.644444444399</v>
      </c>
      <c r="H37" s="25"/>
      <c r="I37" s="25" t="str">
        <f t="shared" si="0"/>
        <v>재시험</v>
      </c>
    </row>
    <row r="38" spans="2:9" x14ac:dyDescent="0.6">
      <c r="B38" s="25" t="s">
        <v>262</v>
      </c>
      <c r="C38" s="25" t="s">
        <v>263</v>
      </c>
      <c r="D38" s="25" t="s">
        <v>228</v>
      </c>
      <c r="E38" s="25" t="s">
        <v>231</v>
      </c>
      <c r="F38" s="3">
        <v>44386.810543981497</v>
      </c>
      <c r="G38" s="3">
        <v>44399.661805555603</v>
      </c>
      <c r="H38" s="25">
        <v>914</v>
      </c>
      <c r="I38" s="25" t="str">
        <f t="shared" si="0"/>
        <v>♣♣♣♣</v>
      </c>
    </row>
    <row r="39" spans="2:9" x14ac:dyDescent="0.6">
      <c r="B39" s="25" t="s">
        <v>262</v>
      </c>
      <c r="C39" s="25" t="s">
        <v>263</v>
      </c>
      <c r="D39" s="25" t="s">
        <v>228</v>
      </c>
      <c r="E39" s="25" t="s">
        <v>232</v>
      </c>
      <c r="F39" s="3">
        <v>44386.720694444397</v>
      </c>
      <c r="G39" s="3">
        <v>44404.704861111102</v>
      </c>
      <c r="H39" s="25"/>
      <c r="I39" s="25" t="str">
        <f t="shared" si="0"/>
        <v>재시험</v>
      </c>
    </row>
    <row r="40" spans="2:9" x14ac:dyDescent="0.6">
      <c r="B40" s="25" t="s">
        <v>264</v>
      </c>
      <c r="C40" s="25" t="s">
        <v>265</v>
      </c>
      <c r="D40" s="25" t="s">
        <v>238</v>
      </c>
      <c r="E40" s="25" t="s">
        <v>231</v>
      </c>
      <c r="F40" s="3">
        <v>44390.594143518501</v>
      </c>
      <c r="G40" s="3">
        <v>44399.665972222203</v>
      </c>
      <c r="H40" s="25">
        <v>975</v>
      </c>
      <c r="I40" s="25" t="str">
        <f t="shared" si="0"/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25"/>
  <sheetViews>
    <sheetView zoomScale="115" zoomScaleNormal="115" workbookViewId="0">
      <selection activeCell="B2" sqref="B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s="27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7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8" t="str">
        <f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8" t="str">
        <f t="shared" ref="K5:K25" si="0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8" t="str">
        <f t="shared" si="0"/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8" t="str">
        <f t="shared" si="0"/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8" t="str">
        <f t="shared" si="0"/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8" t="str">
        <f t="shared" si="0"/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8" t="str">
        <f t="shared" si="0"/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8" t="str">
        <f t="shared" si="0"/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8" t="str">
        <f t="shared" si="0"/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8" t="str">
        <f t="shared" si="0"/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8" t="str">
        <f t="shared" si="0"/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8" t="str">
        <f t="shared" si="0"/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8" t="str">
        <f t="shared" si="0"/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8" t="str">
        <f t="shared" si="0"/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8" t="str">
        <f t="shared" si="0"/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8" t="str">
        <f t="shared" si="0"/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8" t="str">
        <f t="shared" si="0"/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8" t="str">
        <f t="shared" si="0"/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8" t="str">
        <f t="shared" si="0"/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8" t="str">
        <f t="shared" si="0"/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8" t="str">
        <f t="shared" si="0"/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8" t="str">
        <f t="shared" si="0"/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K25"/>
  <sheetViews>
    <sheetView zoomScale="115" zoomScaleNormal="115" workbookViewId="0">
      <selection activeCell="G2" sqref="G2"/>
    </sheetView>
  </sheetViews>
  <sheetFormatPr defaultRowHeight="16.899999999999999" x14ac:dyDescent="0.6"/>
  <cols>
    <col min="1" max="1" width="2.5625" style="27" customWidth="1"/>
    <col min="2" max="2" width="9" style="27"/>
    <col min="3" max="3" width="12" style="27" bestFit="1" customWidth="1"/>
    <col min="4" max="5" width="9" style="27"/>
    <col min="6" max="6" width="9.75" style="27" bestFit="1" customWidth="1"/>
    <col min="7" max="10" width="9" style="27"/>
    <col min="11" max="11" width="15.5625" style="27" customWidth="1"/>
    <col min="12" max="12" width="12" style="27" bestFit="1" customWidth="1"/>
    <col min="13" max="16384" width="9" style="27"/>
  </cols>
  <sheetData>
    <row r="2" spans="2:11" x14ac:dyDescent="0.6">
      <c r="B2" s="27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7" t="s">
        <v>311</v>
      </c>
    </row>
    <row r="4" spans="2:11" x14ac:dyDescent="0.6">
      <c r="B4" s="25" t="s">
        <v>112</v>
      </c>
      <c r="C4" s="25" t="s">
        <v>113</v>
      </c>
      <c r="D4" s="25" t="s">
        <v>114</v>
      </c>
      <c r="E4" s="25" t="s">
        <v>115</v>
      </c>
      <c r="F4" s="25" t="s">
        <v>116</v>
      </c>
      <c r="G4" s="25">
        <v>1000</v>
      </c>
      <c r="H4" s="25" t="s">
        <v>117</v>
      </c>
      <c r="I4" s="25" t="s">
        <v>118</v>
      </c>
      <c r="J4" s="4">
        <v>45000</v>
      </c>
      <c r="K4" s="28" t="str">
        <f>kp개화분기(B4,I4)</f>
        <v>2분기A0077</v>
      </c>
    </row>
    <row r="5" spans="2:11" x14ac:dyDescent="0.6">
      <c r="B5" s="25" t="s">
        <v>119</v>
      </c>
      <c r="C5" s="25" t="s">
        <v>120</v>
      </c>
      <c r="D5" s="25" t="s">
        <v>114</v>
      </c>
      <c r="E5" s="25" t="s">
        <v>115</v>
      </c>
      <c r="F5" s="25" t="s">
        <v>121</v>
      </c>
      <c r="G5" s="25">
        <v>1000</v>
      </c>
      <c r="H5" s="25" t="s">
        <v>122</v>
      </c>
      <c r="I5" s="25" t="s">
        <v>123</v>
      </c>
      <c r="J5" s="4">
        <v>25000</v>
      </c>
      <c r="K5" s="28" t="str">
        <f t="shared" ref="K5:K25" si="0">kp개화분기(B5,I5)</f>
        <v>3분기A1002</v>
      </c>
    </row>
    <row r="6" spans="2:11" x14ac:dyDescent="0.6">
      <c r="B6" s="25" t="s">
        <v>124</v>
      </c>
      <c r="C6" s="25" t="s">
        <v>125</v>
      </c>
      <c r="D6" s="25" t="s">
        <v>126</v>
      </c>
      <c r="E6" s="25" t="s">
        <v>115</v>
      </c>
      <c r="F6" s="25" t="s">
        <v>127</v>
      </c>
      <c r="G6" s="25">
        <v>1000</v>
      </c>
      <c r="H6" s="25" t="s">
        <v>117</v>
      </c>
      <c r="I6" s="25" t="s">
        <v>128</v>
      </c>
      <c r="J6" s="4">
        <v>90000</v>
      </c>
      <c r="K6" s="28" t="str">
        <f t="shared" si="0"/>
        <v>3분기A1005</v>
      </c>
    </row>
    <row r="7" spans="2:11" x14ac:dyDescent="0.6">
      <c r="B7" s="25" t="s">
        <v>129</v>
      </c>
      <c r="C7" s="25" t="s">
        <v>130</v>
      </c>
      <c r="D7" s="25" t="s">
        <v>131</v>
      </c>
      <c r="E7" s="25" t="s">
        <v>115</v>
      </c>
      <c r="F7" s="25" t="s">
        <v>132</v>
      </c>
      <c r="G7" s="25">
        <v>1000</v>
      </c>
      <c r="H7" s="25" t="s">
        <v>133</v>
      </c>
      <c r="I7" s="25" t="s">
        <v>128</v>
      </c>
      <c r="J7" s="4">
        <v>10000</v>
      </c>
      <c r="K7" s="28" t="str">
        <f t="shared" si="0"/>
        <v>3분기A1355</v>
      </c>
    </row>
    <row r="8" spans="2:11" x14ac:dyDescent="0.6">
      <c r="B8" s="25" t="s">
        <v>134</v>
      </c>
      <c r="C8" s="25" t="s">
        <v>135</v>
      </c>
      <c r="D8" s="25" t="s">
        <v>131</v>
      </c>
      <c r="E8" s="25" t="s">
        <v>115</v>
      </c>
      <c r="F8" s="25" t="s">
        <v>136</v>
      </c>
      <c r="G8" s="25">
        <v>100</v>
      </c>
      <c r="H8" s="25" t="s">
        <v>133</v>
      </c>
      <c r="I8" s="25" t="s">
        <v>118</v>
      </c>
      <c r="J8" s="4">
        <v>8000</v>
      </c>
      <c r="K8" s="28" t="str">
        <f t="shared" si="0"/>
        <v>2분기A2011</v>
      </c>
    </row>
    <row r="9" spans="2:11" x14ac:dyDescent="0.6">
      <c r="B9" s="25" t="s">
        <v>137</v>
      </c>
      <c r="C9" s="25" t="s">
        <v>138</v>
      </c>
      <c r="D9" s="25" t="s">
        <v>126</v>
      </c>
      <c r="E9" s="25" t="s">
        <v>115</v>
      </c>
      <c r="F9" s="25" t="s">
        <v>139</v>
      </c>
      <c r="G9" s="25">
        <v>100</v>
      </c>
      <c r="H9" s="25" t="s">
        <v>117</v>
      </c>
      <c r="I9" s="25" t="s">
        <v>128</v>
      </c>
      <c r="J9" s="4">
        <v>5000</v>
      </c>
      <c r="K9" s="28" t="str">
        <f t="shared" si="0"/>
        <v>3분기A3200</v>
      </c>
    </row>
    <row r="10" spans="2:11" x14ac:dyDescent="0.6">
      <c r="B10" s="25" t="s">
        <v>140</v>
      </c>
      <c r="C10" s="25" t="s">
        <v>141</v>
      </c>
      <c r="D10" s="25" t="s">
        <v>126</v>
      </c>
      <c r="E10" s="25" t="s">
        <v>115</v>
      </c>
      <c r="F10" s="25" t="s">
        <v>142</v>
      </c>
      <c r="G10" s="25">
        <v>100</v>
      </c>
      <c r="H10" s="25" t="s">
        <v>117</v>
      </c>
      <c r="I10" s="25" t="s">
        <v>123</v>
      </c>
      <c r="J10" s="4">
        <v>5500</v>
      </c>
      <c r="K10" s="28" t="str">
        <f t="shared" si="0"/>
        <v>3분기A3218</v>
      </c>
    </row>
    <row r="11" spans="2:11" x14ac:dyDescent="0.6">
      <c r="B11" s="25" t="s">
        <v>143</v>
      </c>
      <c r="C11" s="25" t="s">
        <v>144</v>
      </c>
      <c r="D11" s="25" t="s">
        <v>126</v>
      </c>
      <c r="E11" s="25" t="s">
        <v>115</v>
      </c>
      <c r="F11" s="25" t="s">
        <v>145</v>
      </c>
      <c r="G11" s="25">
        <v>1000</v>
      </c>
      <c r="H11" s="25" t="s">
        <v>117</v>
      </c>
      <c r="I11" s="25" t="s">
        <v>146</v>
      </c>
      <c r="J11" s="4">
        <v>60000</v>
      </c>
      <c r="K11" s="28" t="str">
        <f t="shared" si="0"/>
        <v>2분기A9022</v>
      </c>
    </row>
    <row r="12" spans="2:11" x14ac:dyDescent="0.6">
      <c r="B12" s="25" t="s">
        <v>147</v>
      </c>
      <c r="C12" s="25" t="s">
        <v>148</v>
      </c>
      <c r="D12" s="25" t="s">
        <v>126</v>
      </c>
      <c r="E12" s="25" t="s">
        <v>149</v>
      </c>
      <c r="F12" s="25" t="s">
        <v>150</v>
      </c>
      <c r="G12" s="25">
        <v>5</v>
      </c>
      <c r="H12" s="25" t="s">
        <v>151</v>
      </c>
      <c r="I12" s="25" t="s">
        <v>122</v>
      </c>
      <c r="J12" s="4">
        <v>6800</v>
      </c>
      <c r="K12" s="28" t="str">
        <f t="shared" si="0"/>
        <v>2분기B0001</v>
      </c>
    </row>
    <row r="13" spans="2:11" x14ac:dyDescent="0.6">
      <c r="B13" s="25" t="s">
        <v>152</v>
      </c>
      <c r="C13" s="25" t="s">
        <v>153</v>
      </c>
      <c r="D13" s="25" t="s">
        <v>131</v>
      </c>
      <c r="E13" s="25" t="s">
        <v>149</v>
      </c>
      <c r="F13" s="25" t="s">
        <v>154</v>
      </c>
      <c r="G13" s="25">
        <v>200</v>
      </c>
      <c r="H13" s="25" t="s">
        <v>155</v>
      </c>
      <c r="I13" s="25" t="s">
        <v>122</v>
      </c>
      <c r="J13" s="4">
        <v>50000</v>
      </c>
      <c r="K13" s="28" t="str">
        <f t="shared" si="0"/>
        <v>2분기B0012</v>
      </c>
    </row>
    <row r="14" spans="2:11" x14ac:dyDescent="0.6">
      <c r="B14" s="25" t="s">
        <v>156</v>
      </c>
      <c r="C14" s="25" t="s">
        <v>157</v>
      </c>
      <c r="D14" s="25" t="s">
        <v>126</v>
      </c>
      <c r="E14" s="25" t="s">
        <v>149</v>
      </c>
      <c r="F14" s="25" t="s">
        <v>158</v>
      </c>
      <c r="G14" s="25">
        <v>100</v>
      </c>
      <c r="H14" s="25" t="s">
        <v>151</v>
      </c>
      <c r="I14" s="25" t="s">
        <v>159</v>
      </c>
      <c r="J14" s="4">
        <v>4000</v>
      </c>
      <c r="K14" s="28" t="str">
        <f t="shared" si="0"/>
        <v>2분기B1355</v>
      </c>
    </row>
    <row r="15" spans="2:11" x14ac:dyDescent="0.6">
      <c r="B15" s="25" t="s">
        <v>160</v>
      </c>
      <c r="C15" s="25" t="s">
        <v>161</v>
      </c>
      <c r="D15" s="25" t="s">
        <v>126</v>
      </c>
      <c r="E15" s="25" t="s">
        <v>149</v>
      </c>
      <c r="F15" s="25" t="s">
        <v>162</v>
      </c>
      <c r="G15" s="25">
        <v>1000</v>
      </c>
      <c r="H15" s="25" t="s">
        <v>163</v>
      </c>
      <c r="I15" s="25" t="s">
        <v>133</v>
      </c>
      <c r="J15" s="4">
        <v>15000</v>
      </c>
      <c r="K15" s="28" t="str">
        <f t="shared" si="0"/>
        <v>2분기B2008</v>
      </c>
    </row>
    <row r="16" spans="2:11" x14ac:dyDescent="0.6">
      <c r="B16" s="25" t="s">
        <v>164</v>
      </c>
      <c r="C16" s="25" t="s">
        <v>165</v>
      </c>
      <c r="D16" s="25" t="s">
        <v>131</v>
      </c>
      <c r="E16" s="25" t="s">
        <v>149</v>
      </c>
      <c r="F16" s="25" t="s">
        <v>166</v>
      </c>
      <c r="G16" s="25">
        <v>1000</v>
      </c>
      <c r="H16" s="25" t="s">
        <v>151</v>
      </c>
      <c r="I16" s="25" t="s">
        <v>167</v>
      </c>
      <c r="J16" s="4">
        <v>8000</v>
      </c>
      <c r="K16" s="28" t="str">
        <f t="shared" si="0"/>
        <v>1분기B3255</v>
      </c>
    </row>
    <row r="17" spans="2:11" x14ac:dyDescent="0.6">
      <c r="B17" s="25" t="s">
        <v>168</v>
      </c>
      <c r="C17" s="25" t="s">
        <v>169</v>
      </c>
      <c r="D17" s="25" t="s">
        <v>126</v>
      </c>
      <c r="E17" s="25" t="s">
        <v>149</v>
      </c>
      <c r="F17" s="25" t="s">
        <v>170</v>
      </c>
      <c r="G17" s="25">
        <v>100</v>
      </c>
      <c r="H17" s="25" t="s">
        <v>171</v>
      </c>
      <c r="I17" s="25" t="s">
        <v>128</v>
      </c>
      <c r="J17" s="4">
        <v>1500</v>
      </c>
      <c r="K17" s="28" t="str">
        <f t="shared" si="0"/>
        <v>3분기B3500</v>
      </c>
    </row>
    <row r="18" spans="2:11" x14ac:dyDescent="0.6">
      <c r="B18" s="25" t="s">
        <v>172</v>
      </c>
      <c r="C18" s="25" t="s">
        <v>173</v>
      </c>
      <c r="D18" s="25" t="s">
        <v>114</v>
      </c>
      <c r="E18" s="25" t="s">
        <v>149</v>
      </c>
      <c r="F18" s="25" t="s">
        <v>174</v>
      </c>
      <c r="G18" s="25">
        <v>100</v>
      </c>
      <c r="H18" s="25" t="s">
        <v>117</v>
      </c>
      <c r="I18" s="25" t="s">
        <v>175</v>
      </c>
      <c r="J18" s="4">
        <v>4500</v>
      </c>
      <c r="K18" s="28" t="str">
        <f t="shared" si="0"/>
        <v>2분기B6211</v>
      </c>
    </row>
    <row r="19" spans="2:11" x14ac:dyDescent="0.6">
      <c r="B19" s="25" t="s">
        <v>176</v>
      </c>
      <c r="C19" s="25" t="s">
        <v>177</v>
      </c>
      <c r="D19" s="25" t="s">
        <v>126</v>
      </c>
      <c r="E19" s="25" t="s">
        <v>149</v>
      </c>
      <c r="F19" s="25" t="s">
        <v>116</v>
      </c>
      <c r="G19" s="25">
        <v>100</v>
      </c>
      <c r="H19" s="25" t="s">
        <v>133</v>
      </c>
      <c r="I19" s="25" t="s">
        <v>178</v>
      </c>
      <c r="J19" s="4">
        <v>4000</v>
      </c>
      <c r="K19" s="28" t="str">
        <f t="shared" si="0"/>
        <v>2분기B7011</v>
      </c>
    </row>
    <row r="20" spans="2:11" x14ac:dyDescent="0.6">
      <c r="B20" s="25" t="s">
        <v>179</v>
      </c>
      <c r="C20" s="25" t="s">
        <v>180</v>
      </c>
      <c r="D20" s="25" t="s">
        <v>181</v>
      </c>
      <c r="E20" s="25" t="s">
        <v>149</v>
      </c>
      <c r="F20" s="25" t="s">
        <v>182</v>
      </c>
      <c r="G20" s="25">
        <v>1000</v>
      </c>
      <c r="H20" s="25" t="s">
        <v>151</v>
      </c>
      <c r="I20" s="25" t="s">
        <v>133</v>
      </c>
      <c r="J20" s="4">
        <v>4500</v>
      </c>
      <c r="K20" s="28" t="str">
        <f t="shared" si="0"/>
        <v>2분기B9003</v>
      </c>
    </row>
    <row r="21" spans="2:11" x14ac:dyDescent="0.6">
      <c r="B21" s="25" t="s">
        <v>183</v>
      </c>
      <c r="C21" s="25" t="s">
        <v>184</v>
      </c>
      <c r="D21" s="25" t="s">
        <v>114</v>
      </c>
      <c r="E21" s="25" t="s">
        <v>185</v>
      </c>
      <c r="F21" s="25" t="s">
        <v>186</v>
      </c>
      <c r="G21" s="25">
        <v>100</v>
      </c>
      <c r="H21" s="25" t="s">
        <v>117</v>
      </c>
      <c r="I21" s="25" t="s">
        <v>128</v>
      </c>
      <c r="J21" s="4">
        <v>6500</v>
      </c>
      <c r="K21" s="28" t="str">
        <f t="shared" si="0"/>
        <v>3분기P0005</v>
      </c>
    </row>
    <row r="22" spans="2:11" x14ac:dyDescent="0.6">
      <c r="B22" s="25" t="s">
        <v>187</v>
      </c>
      <c r="C22" s="25" t="s">
        <v>188</v>
      </c>
      <c r="D22" s="25" t="s">
        <v>131</v>
      </c>
      <c r="E22" s="25" t="s">
        <v>185</v>
      </c>
      <c r="F22" s="25" t="s">
        <v>189</v>
      </c>
      <c r="G22" s="25">
        <v>100</v>
      </c>
      <c r="H22" s="25" t="s">
        <v>167</v>
      </c>
      <c r="I22" s="25" t="s">
        <v>163</v>
      </c>
      <c r="J22" s="4">
        <v>16000</v>
      </c>
      <c r="K22" s="28" t="str">
        <f t="shared" si="0"/>
        <v>3분기P0011</v>
      </c>
    </row>
    <row r="23" spans="2:11" x14ac:dyDescent="0.6">
      <c r="B23" s="25" t="s">
        <v>190</v>
      </c>
      <c r="C23" s="25" t="s">
        <v>191</v>
      </c>
      <c r="D23" s="25" t="s">
        <v>114</v>
      </c>
      <c r="E23" s="25" t="s">
        <v>185</v>
      </c>
      <c r="F23" s="25" t="s">
        <v>192</v>
      </c>
      <c r="G23" s="25">
        <v>10</v>
      </c>
      <c r="H23" s="25" t="s">
        <v>117</v>
      </c>
      <c r="I23" s="25" t="s">
        <v>193</v>
      </c>
      <c r="J23" s="4">
        <v>1300</v>
      </c>
      <c r="K23" s="28" t="str">
        <f t="shared" si="0"/>
        <v>2분기P2500</v>
      </c>
    </row>
    <row r="24" spans="2:11" x14ac:dyDescent="0.6">
      <c r="B24" s="25" t="s">
        <v>194</v>
      </c>
      <c r="C24" s="25" t="s">
        <v>195</v>
      </c>
      <c r="D24" s="25" t="s">
        <v>126</v>
      </c>
      <c r="E24" s="25" t="s">
        <v>185</v>
      </c>
      <c r="F24" s="25" t="s">
        <v>196</v>
      </c>
      <c r="G24" s="25">
        <v>100</v>
      </c>
      <c r="H24" s="25" t="s">
        <v>117</v>
      </c>
      <c r="I24" s="25" t="s">
        <v>128</v>
      </c>
      <c r="J24" s="4">
        <v>4800</v>
      </c>
      <c r="K24" s="28" t="str">
        <f t="shared" si="0"/>
        <v>3분기P3170</v>
      </c>
    </row>
    <row r="25" spans="2:11" x14ac:dyDescent="0.6">
      <c r="B25" s="25" t="s">
        <v>197</v>
      </c>
      <c r="C25" s="25" t="s">
        <v>198</v>
      </c>
      <c r="D25" s="25" t="s">
        <v>114</v>
      </c>
      <c r="E25" s="25" t="s">
        <v>185</v>
      </c>
      <c r="F25" s="25" t="s">
        <v>199</v>
      </c>
      <c r="G25" s="25">
        <v>10</v>
      </c>
      <c r="H25" s="25" t="s">
        <v>117</v>
      </c>
      <c r="I25" s="25" t="s">
        <v>155</v>
      </c>
      <c r="J25" s="4">
        <v>4500</v>
      </c>
      <c r="K25" s="28" t="str">
        <f t="shared" si="0"/>
        <v>3분기P6001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0"/>
  <sheetViews>
    <sheetView workbookViewId="0">
      <selection activeCell="E14" sqref="E14"/>
    </sheetView>
  </sheetViews>
  <sheetFormatPr defaultRowHeight="16.899999999999999" x14ac:dyDescent="0.6"/>
  <cols>
    <col min="1" max="1" width="14.625" style="27" bestFit="1" customWidth="1"/>
    <col min="2" max="2" width="10.0625" style="27" bestFit="1" customWidth="1"/>
    <col min="3" max="6" width="11.375" style="27" bestFit="1" customWidth="1"/>
    <col min="7" max="7" width="15.875" style="27" bestFit="1" customWidth="1"/>
    <col min="8" max="8" width="10.875" style="27" bestFit="1" customWidth="1"/>
    <col min="9" max="16384" width="9" style="27"/>
  </cols>
  <sheetData>
    <row r="3" spans="1:8" x14ac:dyDescent="0.6">
      <c r="A3" s="52"/>
      <c r="B3" s="52"/>
      <c r="C3" s="51" t="s">
        <v>351</v>
      </c>
      <c r="D3" s="51" t="s">
        <v>326</v>
      </c>
      <c r="E3" s="52"/>
      <c r="F3" s="52"/>
      <c r="G3" s="52"/>
      <c r="H3" s="52"/>
    </row>
    <row r="4" spans="1:8" x14ac:dyDescent="0.6">
      <c r="A4" s="52"/>
      <c r="B4" s="52"/>
      <c r="C4" s="59" t="s">
        <v>345</v>
      </c>
      <c r="D4" s="60"/>
      <c r="E4" s="59" t="s">
        <v>346</v>
      </c>
      <c r="F4" s="60"/>
      <c r="G4" s="59" t="s">
        <v>348</v>
      </c>
      <c r="H4" s="59" t="s">
        <v>349</v>
      </c>
    </row>
    <row r="5" spans="1:8" x14ac:dyDescent="0.6">
      <c r="A5" s="51" t="s">
        <v>352</v>
      </c>
      <c r="B5" s="51" t="s">
        <v>353</v>
      </c>
      <c r="C5" s="53" t="s">
        <v>347</v>
      </c>
      <c r="D5" s="53" t="s">
        <v>350</v>
      </c>
      <c r="E5" s="53" t="s">
        <v>347</v>
      </c>
      <c r="F5" s="53" t="s">
        <v>350</v>
      </c>
      <c r="G5" s="60"/>
      <c r="H5" s="60"/>
    </row>
    <row r="6" spans="1:8" x14ac:dyDescent="0.6">
      <c r="A6" s="52">
        <v>1</v>
      </c>
      <c r="B6" s="52"/>
      <c r="C6" s="58">
        <v>10.3</v>
      </c>
      <c r="D6" s="49">
        <v>10</v>
      </c>
      <c r="E6" s="58">
        <v>5.5</v>
      </c>
      <c r="F6" s="49">
        <v>8</v>
      </c>
      <c r="G6" s="58">
        <v>8.1666666666666661</v>
      </c>
      <c r="H6" s="49">
        <v>18</v>
      </c>
    </row>
    <row r="7" spans="1:8" x14ac:dyDescent="0.6">
      <c r="A7" s="52"/>
      <c r="B7" s="52" t="s">
        <v>334</v>
      </c>
      <c r="C7" s="58">
        <v>8.3333333333333339</v>
      </c>
      <c r="D7" s="49">
        <v>3</v>
      </c>
      <c r="E7" s="58">
        <v>4.25</v>
      </c>
      <c r="F7" s="49">
        <v>4</v>
      </c>
      <c r="G7" s="58">
        <v>6</v>
      </c>
      <c r="H7" s="49">
        <v>7</v>
      </c>
    </row>
    <row r="8" spans="1:8" x14ac:dyDescent="0.6">
      <c r="A8" s="52"/>
      <c r="B8" s="52" t="s">
        <v>335</v>
      </c>
      <c r="C8" s="58">
        <v>10.6</v>
      </c>
      <c r="D8" s="49">
        <v>5</v>
      </c>
      <c r="E8" s="58" t="s">
        <v>354</v>
      </c>
      <c r="F8" s="49" t="s">
        <v>354</v>
      </c>
      <c r="G8" s="58">
        <v>10.6</v>
      </c>
      <c r="H8" s="49">
        <v>5</v>
      </c>
    </row>
    <row r="9" spans="1:8" x14ac:dyDescent="0.6">
      <c r="A9" s="52"/>
      <c r="B9" s="52" t="s">
        <v>336</v>
      </c>
      <c r="C9" s="58">
        <v>12.5</v>
      </c>
      <c r="D9" s="49">
        <v>2</v>
      </c>
      <c r="E9" s="58">
        <v>6.75</v>
      </c>
      <c r="F9" s="49">
        <v>4</v>
      </c>
      <c r="G9" s="58">
        <v>8.6666666666666661</v>
      </c>
      <c r="H9" s="49">
        <v>6</v>
      </c>
    </row>
    <row r="10" spans="1:8" x14ac:dyDescent="0.6">
      <c r="A10" s="52">
        <v>2</v>
      </c>
      <c r="B10" s="52"/>
      <c r="C10" s="58">
        <v>9.7058823529411757</v>
      </c>
      <c r="D10" s="49">
        <v>17</v>
      </c>
      <c r="E10" s="58">
        <v>6.833333333333333</v>
      </c>
      <c r="F10" s="49">
        <v>12</v>
      </c>
      <c r="G10" s="58">
        <v>8.5172413793103452</v>
      </c>
      <c r="H10" s="49">
        <v>29</v>
      </c>
    </row>
    <row r="11" spans="1:8" x14ac:dyDescent="0.6">
      <c r="A11" s="52"/>
      <c r="B11" s="52" t="s">
        <v>337</v>
      </c>
      <c r="C11" s="58">
        <v>7.25</v>
      </c>
      <c r="D11" s="49">
        <v>4</v>
      </c>
      <c r="E11" s="58">
        <v>1.3333333333333333</v>
      </c>
      <c r="F11" s="49">
        <v>3</v>
      </c>
      <c r="G11" s="58">
        <v>4.7142857142857144</v>
      </c>
      <c r="H11" s="49">
        <v>7</v>
      </c>
    </row>
    <row r="12" spans="1:8" x14ac:dyDescent="0.6">
      <c r="A12" s="52"/>
      <c r="B12" s="52" t="s">
        <v>338</v>
      </c>
      <c r="C12" s="58">
        <v>7.25</v>
      </c>
      <c r="D12" s="49">
        <v>4</v>
      </c>
      <c r="E12" s="58">
        <v>9</v>
      </c>
      <c r="F12" s="49">
        <v>3</v>
      </c>
      <c r="G12" s="58">
        <v>8</v>
      </c>
      <c r="H12" s="49">
        <v>7</v>
      </c>
    </row>
    <row r="13" spans="1:8" x14ac:dyDescent="0.6">
      <c r="A13" s="52"/>
      <c r="B13" s="52" t="s">
        <v>339</v>
      </c>
      <c r="C13" s="58">
        <v>13.333333333333334</v>
      </c>
      <c r="D13" s="49">
        <v>3</v>
      </c>
      <c r="E13" s="58">
        <v>6.25</v>
      </c>
      <c r="F13" s="49">
        <v>4</v>
      </c>
      <c r="G13" s="58">
        <v>9.2857142857142865</v>
      </c>
      <c r="H13" s="49">
        <v>7</v>
      </c>
    </row>
    <row r="14" spans="1:8" x14ac:dyDescent="0.6">
      <c r="A14" s="52"/>
      <c r="B14" s="52" t="s">
        <v>340</v>
      </c>
      <c r="C14" s="58">
        <v>11.166666666666666</v>
      </c>
      <c r="D14" s="49">
        <v>6</v>
      </c>
      <c r="E14" s="58">
        <v>13</v>
      </c>
      <c r="F14" s="49">
        <v>2</v>
      </c>
      <c r="G14" s="58">
        <v>11.625</v>
      </c>
      <c r="H14" s="49">
        <v>8</v>
      </c>
    </row>
    <row r="15" spans="1:8" x14ac:dyDescent="0.6">
      <c r="A15" s="52">
        <v>3</v>
      </c>
      <c r="B15" s="52"/>
      <c r="C15" s="58">
        <v>9.8333333333333339</v>
      </c>
      <c r="D15" s="49">
        <v>18</v>
      </c>
      <c r="E15" s="58">
        <v>8.9333333333333336</v>
      </c>
      <c r="F15" s="49">
        <v>15</v>
      </c>
      <c r="G15" s="58">
        <v>9.4242424242424239</v>
      </c>
      <c r="H15" s="49">
        <v>33</v>
      </c>
    </row>
    <row r="16" spans="1:8" x14ac:dyDescent="0.6">
      <c r="A16" s="52"/>
      <c r="B16" s="52" t="s">
        <v>341</v>
      </c>
      <c r="C16" s="58">
        <v>8</v>
      </c>
      <c r="D16" s="49">
        <v>5</v>
      </c>
      <c r="E16" s="58">
        <v>14</v>
      </c>
      <c r="F16" s="49">
        <v>2</v>
      </c>
      <c r="G16" s="58">
        <v>9.7142857142857135</v>
      </c>
      <c r="H16" s="49">
        <v>7</v>
      </c>
    </row>
    <row r="17" spans="1:8" x14ac:dyDescent="0.6">
      <c r="A17" s="52"/>
      <c r="B17" s="52" t="s">
        <v>342</v>
      </c>
      <c r="C17" s="58">
        <v>10.25</v>
      </c>
      <c r="D17" s="49">
        <v>4</v>
      </c>
      <c r="E17" s="58">
        <v>9.5</v>
      </c>
      <c r="F17" s="49">
        <v>6</v>
      </c>
      <c r="G17" s="58">
        <v>9.8000000000000007</v>
      </c>
      <c r="H17" s="49">
        <v>10</v>
      </c>
    </row>
    <row r="18" spans="1:8" x14ac:dyDescent="0.6">
      <c r="A18" s="52"/>
      <c r="B18" s="52" t="s">
        <v>343</v>
      </c>
      <c r="C18" s="58">
        <v>10.25</v>
      </c>
      <c r="D18" s="49">
        <v>4</v>
      </c>
      <c r="E18" s="58">
        <v>9</v>
      </c>
      <c r="F18" s="49">
        <v>4</v>
      </c>
      <c r="G18" s="58">
        <v>9.625</v>
      </c>
      <c r="H18" s="49">
        <v>8</v>
      </c>
    </row>
    <row r="19" spans="1:8" x14ac:dyDescent="0.6">
      <c r="A19" s="52"/>
      <c r="B19" s="52" t="s">
        <v>344</v>
      </c>
      <c r="C19" s="58">
        <v>11</v>
      </c>
      <c r="D19" s="49">
        <v>5</v>
      </c>
      <c r="E19" s="58">
        <v>4.333333333333333</v>
      </c>
      <c r="F19" s="49">
        <v>3</v>
      </c>
      <c r="G19" s="58">
        <v>8.5</v>
      </c>
      <c r="H19" s="49">
        <v>8</v>
      </c>
    </row>
    <row r="20" spans="1:8" x14ac:dyDescent="0.6">
      <c r="A20" s="52" t="s">
        <v>312</v>
      </c>
      <c r="B20" s="52"/>
      <c r="C20" s="58">
        <v>9.8888888888888893</v>
      </c>
      <c r="D20" s="49">
        <v>45</v>
      </c>
      <c r="E20" s="58">
        <v>7.4285714285714288</v>
      </c>
      <c r="F20" s="49">
        <v>35</v>
      </c>
      <c r="G20" s="58">
        <v>8.8125</v>
      </c>
      <c r="H20" s="49">
        <v>80</v>
      </c>
    </row>
  </sheetData>
  <mergeCells count="4">
    <mergeCell ref="C4:D4"/>
    <mergeCell ref="E4:F4"/>
    <mergeCell ref="G4:G5"/>
    <mergeCell ref="H4:H5"/>
  </mergeCells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3"/>
  <sheetViews>
    <sheetView workbookViewId="0">
      <selection activeCell="F9" sqref="F9"/>
    </sheetView>
  </sheetViews>
  <sheetFormatPr defaultRowHeight="16.899999999999999" x14ac:dyDescent="0.6"/>
  <cols>
    <col min="1" max="1" width="18.4375" style="27" bestFit="1" customWidth="1"/>
    <col min="2" max="2" width="13.6875" style="27" bestFit="1" customWidth="1"/>
    <col min="3" max="3" width="7.5" style="27" bestFit="1" customWidth="1"/>
    <col min="4" max="4" width="5.375" style="27" customWidth="1"/>
    <col min="5" max="6" width="8.375" style="27" bestFit="1" customWidth="1"/>
    <col min="7" max="7" width="12.0625" style="27" bestFit="1" customWidth="1"/>
    <col min="8" max="8" width="14" style="27" bestFit="1" customWidth="1"/>
    <col min="9" max="9" width="12.0625" style="27" bestFit="1" customWidth="1"/>
    <col min="10" max="10" width="18.4375" style="27" bestFit="1" customWidth="1"/>
    <col min="11" max="11" width="16.5625" style="27" bestFit="1" customWidth="1"/>
    <col min="12" max="16384" width="9" style="27"/>
  </cols>
  <sheetData>
    <row r="2" spans="1:11" x14ac:dyDescent="0.6">
      <c r="A2"/>
      <c r="B2"/>
      <c r="C2" s="48" t="s">
        <v>369</v>
      </c>
      <c r="D2"/>
      <c r="E2"/>
      <c r="F2"/>
      <c r="G2"/>
      <c r="H2"/>
      <c r="I2"/>
      <c r="J2"/>
      <c r="K2"/>
    </row>
    <row r="3" spans="1:11" x14ac:dyDescent="0.6">
      <c r="A3" s="48" t="s">
        <v>370</v>
      </c>
      <c r="B3" s="48" t="s">
        <v>326</v>
      </c>
      <c r="C3" s="27" t="s">
        <v>361</v>
      </c>
      <c r="D3" s="27" t="s">
        <v>362</v>
      </c>
      <c r="E3" s="27" t="s">
        <v>363</v>
      </c>
      <c r="F3" s="27" t="s">
        <v>364</v>
      </c>
      <c r="G3"/>
      <c r="H3"/>
      <c r="I3"/>
      <c r="J3"/>
      <c r="K3"/>
    </row>
    <row r="4" spans="1:11" x14ac:dyDescent="0.6">
      <c r="A4" s="27" t="s">
        <v>355</v>
      </c>
      <c r="B4" s="27" t="s">
        <v>365</v>
      </c>
      <c r="C4" s="49">
        <v>432.59999999999991</v>
      </c>
      <c r="D4" s="49">
        <v>750</v>
      </c>
      <c r="E4" s="49">
        <v>43.9</v>
      </c>
      <c r="F4" s="49">
        <v>-20.299999999999997</v>
      </c>
      <c r="G4"/>
      <c r="H4"/>
      <c r="I4"/>
      <c r="J4"/>
      <c r="K4"/>
    </row>
    <row r="5" spans="1:11" x14ac:dyDescent="0.6">
      <c r="A5"/>
      <c r="B5" s="27" t="s">
        <v>368</v>
      </c>
      <c r="C5" s="49">
        <v>961.7</v>
      </c>
      <c r="D5" s="49">
        <v>736</v>
      </c>
      <c r="E5" s="49">
        <v>195.60000000000002</v>
      </c>
      <c r="F5" s="49">
        <v>124.5</v>
      </c>
      <c r="G5"/>
      <c r="H5"/>
      <c r="I5"/>
      <c r="J5"/>
      <c r="K5"/>
    </row>
    <row r="6" spans="1:11" x14ac:dyDescent="0.6">
      <c r="A6" s="27" t="s">
        <v>356</v>
      </c>
      <c r="B6" s="27" t="s">
        <v>365</v>
      </c>
      <c r="C6" s="49">
        <v>191.10000000000002</v>
      </c>
      <c r="D6" s="49">
        <v>544</v>
      </c>
      <c r="E6" s="49">
        <v>37.9</v>
      </c>
      <c r="F6" s="49">
        <v>-1.4000000000000006</v>
      </c>
      <c r="G6"/>
      <c r="H6"/>
      <c r="I6"/>
      <c r="J6"/>
      <c r="K6"/>
    </row>
    <row r="7" spans="1:11" x14ac:dyDescent="0.6">
      <c r="A7"/>
      <c r="B7" s="27" t="s">
        <v>368</v>
      </c>
      <c r="C7" s="49">
        <v>642.20000000000005</v>
      </c>
      <c r="D7" s="49">
        <v>556</v>
      </c>
      <c r="E7" s="49">
        <v>151.9</v>
      </c>
      <c r="F7" s="49">
        <v>104.8</v>
      </c>
      <c r="G7"/>
      <c r="H7"/>
      <c r="I7"/>
      <c r="J7"/>
      <c r="K7"/>
    </row>
    <row r="8" spans="1:11" x14ac:dyDescent="0.6">
      <c r="A8" s="27" t="s">
        <v>357</v>
      </c>
      <c r="B8" s="27" t="s">
        <v>365</v>
      </c>
      <c r="C8" s="49">
        <v>449.7</v>
      </c>
      <c r="D8" s="49">
        <v>837</v>
      </c>
      <c r="E8" s="49">
        <v>123.5</v>
      </c>
      <c r="F8" s="49">
        <v>54.2</v>
      </c>
      <c r="G8"/>
      <c r="H8"/>
      <c r="I8"/>
      <c r="J8"/>
      <c r="K8"/>
    </row>
    <row r="9" spans="1:11" x14ac:dyDescent="0.6">
      <c r="A9"/>
      <c r="B9" s="27" t="s">
        <v>368</v>
      </c>
      <c r="C9" s="49">
        <v>1306.9000000000001</v>
      </c>
      <c r="D9" s="49">
        <v>923</v>
      </c>
      <c r="E9" s="49">
        <v>273.39999999999998</v>
      </c>
      <c r="F9" s="49">
        <v>197</v>
      </c>
      <c r="G9"/>
      <c r="H9"/>
      <c r="I9"/>
      <c r="J9"/>
      <c r="K9"/>
    </row>
    <row r="10" spans="1:11" x14ac:dyDescent="0.6">
      <c r="A10" s="27" t="s">
        <v>358</v>
      </c>
      <c r="B10" s="27" t="s">
        <v>365</v>
      </c>
      <c r="C10" s="49">
        <v>472.5</v>
      </c>
      <c r="D10" s="49">
        <v>987</v>
      </c>
      <c r="E10" s="49">
        <v>111.10000000000001</v>
      </c>
      <c r="F10" s="49">
        <v>39.5</v>
      </c>
      <c r="G10"/>
      <c r="H10"/>
      <c r="I10"/>
      <c r="J10"/>
      <c r="K10"/>
    </row>
    <row r="11" spans="1:11" x14ac:dyDescent="0.6">
      <c r="A11"/>
      <c r="B11" s="27" t="s">
        <v>368</v>
      </c>
      <c r="C11" s="49">
        <v>1182.0999999999999</v>
      </c>
      <c r="D11" s="49">
        <v>994</v>
      </c>
      <c r="E11" s="49">
        <v>267.2</v>
      </c>
      <c r="F11" s="49">
        <v>182.8</v>
      </c>
      <c r="G11"/>
      <c r="H11"/>
      <c r="I11"/>
      <c r="J11"/>
      <c r="K11"/>
    </row>
    <row r="12" spans="1:11" x14ac:dyDescent="0.6">
      <c r="A12" s="27" t="s">
        <v>359</v>
      </c>
      <c r="B12" s="27" t="s">
        <v>365</v>
      </c>
      <c r="C12" s="49">
        <v>179.8</v>
      </c>
      <c r="D12" s="49">
        <v>191</v>
      </c>
      <c r="E12" s="49">
        <v>29.5</v>
      </c>
      <c r="F12" s="49">
        <v>21.3</v>
      </c>
    </row>
    <row r="13" spans="1:11" x14ac:dyDescent="0.6">
      <c r="A13"/>
      <c r="B13" s="27" t="s">
        <v>368</v>
      </c>
      <c r="C13" s="49">
        <v>287.39999999999998</v>
      </c>
      <c r="D13" s="49">
        <v>195</v>
      </c>
      <c r="E13" s="49">
        <v>52.5</v>
      </c>
      <c r="F13" s="49">
        <v>41.5</v>
      </c>
    </row>
    <row r="14" spans="1:11" x14ac:dyDescent="0.6">
      <c r="A14" s="27" t="s">
        <v>360</v>
      </c>
      <c r="B14" s="27" t="s">
        <v>365</v>
      </c>
      <c r="C14" s="49">
        <v>328</v>
      </c>
      <c r="D14" s="49">
        <v>776</v>
      </c>
      <c r="E14" s="49">
        <v>63.5</v>
      </c>
      <c r="F14" s="49">
        <v>0</v>
      </c>
    </row>
    <row r="15" spans="1:11" x14ac:dyDescent="0.6">
      <c r="A15"/>
      <c r="B15" s="27" t="s">
        <v>368</v>
      </c>
      <c r="C15" s="49">
        <v>890.59999999999991</v>
      </c>
      <c r="D15" s="49">
        <v>727</v>
      </c>
      <c r="E15" s="49">
        <v>216</v>
      </c>
      <c r="F15" s="49">
        <v>140.9</v>
      </c>
    </row>
    <row r="16" spans="1:11" x14ac:dyDescent="0.6">
      <c r="A16" s="27" t="s">
        <v>366</v>
      </c>
      <c r="B16"/>
      <c r="C16" s="49">
        <v>2053.6999999999998</v>
      </c>
      <c r="D16" s="49">
        <v>4085</v>
      </c>
      <c r="E16" s="49">
        <v>409.4</v>
      </c>
      <c r="F16" s="49">
        <v>93.3</v>
      </c>
    </row>
    <row r="17" spans="1:6" x14ac:dyDescent="0.6">
      <c r="A17" s="27" t="s">
        <v>367</v>
      </c>
      <c r="B17"/>
      <c r="C17" s="49">
        <v>5270.9000000000005</v>
      </c>
      <c r="D17" s="49">
        <v>4131</v>
      </c>
      <c r="E17" s="49">
        <v>1156.5999999999999</v>
      </c>
      <c r="F17" s="49">
        <v>791.5</v>
      </c>
    </row>
    <row r="18" spans="1:6" x14ac:dyDescent="0.6">
      <c r="A18"/>
      <c r="B18"/>
      <c r="C18"/>
      <c r="D18"/>
      <c r="E18"/>
      <c r="F18"/>
    </row>
    <row r="19" spans="1:6" x14ac:dyDescent="0.6">
      <c r="A19"/>
      <c r="B19"/>
      <c r="C19"/>
      <c r="D19"/>
      <c r="E19"/>
      <c r="F19"/>
    </row>
    <row r="20" spans="1:6" x14ac:dyDescent="0.6">
      <c r="A20"/>
      <c r="B20"/>
      <c r="C20"/>
      <c r="D20"/>
      <c r="E20"/>
      <c r="F20"/>
    </row>
    <row r="21" spans="1:6" x14ac:dyDescent="0.6">
      <c r="A21"/>
      <c r="B21"/>
      <c r="C21"/>
      <c r="D21"/>
      <c r="E21"/>
      <c r="F21"/>
    </row>
    <row r="22" spans="1:6" x14ac:dyDescent="0.6">
      <c r="A22"/>
      <c r="B22"/>
      <c r="C22"/>
      <c r="D22"/>
      <c r="E22"/>
      <c r="F22"/>
    </row>
    <row r="23" spans="1:6" x14ac:dyDescent="0.6">
      <c r="A23"/>
      <c r="B23"/>
      <c r="C23"/>
      <c r="D23"/>
      <c r="E23"/>
      <c r="F23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>
      <selection activeCell="G11" sqref="G11"/>
    </sheetView>
  </sheetViews>
  <sheetFormatPr defaultRowHeight="16.899999999999999" x14ac:dyDescent="0.6"/>
  <cols>
    <col min="1" max="1" width="9.1875" customWidth="1"/>
    <col min="2" max="2" width="12" bestFit="1" customWidth="1"/>
    <col min="3" max="4" width="15.8125" bestFit="1" customWidth="1"/>
  </cols>
  <sheetData>
    <row r="1" spans="1:6" x14ac:dyDescent="0.6">
      <c r="A1" t="s">
        <v>3</v>
      </c>
      <c r="B1" t="s">
        <v>66</v>
      </c>
      <c r="C1" t="s">
        <v>223</v>
      </c>
      <c r="D1" t="s">
        <v>224</v>
      </c>
      <c r="E1" t="s">
        <v>225</v>
      </c>
      <c r="F1" t="s">
        <v>222</v>
      </c>
    </row>
    <row r="2" spans="1:6" x14ac:dyDescent="0.6">
      <c r="A2" t="s">
        <v>328</v>
      </c>
      <c r="B2" t="s">
        <v>241</v>
      </c>
      <c r="C2" s="56">
        <v>44386.664247685185</v>
      </c>
      <c r="D2" s="56">
        <v>44404.760416666664</v>
      </c>
      <c r="E2">
        <v>733</v>
      </c>
      <c r="F2" t="s">
        <v>232</v>
      </c>
    </row>
    <row r="3" spans="1:6" x14ac:dyDescent="0.6">
      <c r="A3" t="s">
        <v>329</v>
      </c>
      <c r="B3" t="s">
        <v>241</v>
      </c>
      <c r="C3" s="56">
        <v>44389.56287037037</v>
      </c>
      <c r="D3" s="56">
        <v>44406.702777777777</v>
      </c>
      <c r="E3">
        <v>800</v>
      </c>
      <c r="F3" t="s">
        <v>232</v>
      </c>
    </row>
    <row r="4" spans="1:6" x14ac:dyDescent="0.6">
      <c r="A4" t="s">
        <v>330</v>
      </c>
      <c r="B4" t="s">
        <v>241</v>
      </c>
      <c r="C4" s="56">
        <v>44389.546226851853</v>
      </c>
      <c r="D4" s="56">
        <v>44406.691666666666</v>
      </c>
      <c r="E4">
        <v>838</v>
      </c>
      <c r="F4" t="s">
        <v>232</v>
      </c>
    </row>
    <row r="5" spans="1:6" x14ac:dyDescent="0.6">
      <c r="A5" t="s">
        <v>258</v>
      </c>
      <c r="B5" t="s">
        <v>241</v>
      </c>
      <c r="C5" s="56">
        <v>44392.838680555556</v>
      </c>
      <c r="D5" s="56">
        <v>44406.668055555558</v>
      </c>
      <c r="E5">
        <v>642</v>
      </c>
      <c r="F5" t="s">
        <v>232</v>
      </c>
    </row>
    <row r="6" spans="1:6" x14ac:dyDescent="0.6">
      <c r="A6" t="s">
        <v>252</v>
      </c>
      <c r="B6" t="s">
        <v>241</v>
      </c>
      <c r="C6" s="56">
        <v>44390.558564814812</v>
      </c>
      <c r="D6" s="56">
        <v>44404.770138888889</v>
      </c>
      <c r="E6">
        <v>838</v>
      </c>
      <c r="F6" t="s">
        <v>232</v>
      </c>
    </row>
    <row r="7" spans="1:6" x14ac:dyDescent="0.6">
      <c r="A7" t="s">
        <v>243</v>
      </c>
      <c r="B7" t="s">
        <v>241</v>
      </c>
      <c r="C7" s="56">
        <v>44386.666400462964</v>
      </c>
      <c r="D7" s="56">
        <v>44404.71597222222</v>
      </c>
      <c r="E7">
        <v>908</v>
      </c>
      <c r="F7" t="s">
        <v>232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4"/>
  <sheetViews>
    <sheetView workbookViewId="0">
      <selection activeCell="I23" sqref="I23"/>
    </sheetView>
  </sheetViews>
  <sheetFormatPr defaultRowHeight="16.899999999999999" x14ac:dyDescent="0.6"/>
  <cols>
    <col min="1" max="1" width="3.3125" style="27" customWidth="1"/>
    <col min="2" max="2" width="16.5625" style="27" customWidth="1"/>
    <col min="3" max="3" width="11.8125" style="27" customWidth="1"/>
    <col min="4" max="4" width="12.125" style="27" customWidth="1"/>
    <col min="5" max="5" width="10.1875" style="27" customWidth="1"/>
    <col min="6" max="6" width="12.125" style="27" customWidth="1"/>
    <col min="7" max="7" width="14.0625" style="27" customWidth="1"/>
    <col min="8" max="8" width="12.0625" style="27" customWidth="1"/>
    <col min="9" max="9" width="14.0625" style="27" bestFit="1" customWidth="1"/>
    <col min="10" max="10" width="12.0625" style="27" customWidth="1"/>
    <col min="11" max="11" width="14.625" style="27" bestFit="1" customWidth="1"/>
    <col min="12" max="12" width="16.5625" style="27" bestFit="1" customWidth="1"/>
    <col min="13" max="16384" width="9" style="27"/>
  </cols>
  <sheetData>
    <row r="1" spans="2:12" x14ac:dyDescent="0.6">
      <c r="B1"/>
      <c r="C1"/>
    </row>
    <row r="2" spans="2:12" x14ac:dyDescent="0.6">
      <c r="B2"/>
      <c r="C2"/>
      <c r="D2"/>
    </row>
    <row r="3" spans="2:12" x14ac:dyDescent="0.6">
      <c r="B3" s="54"/>
      <c r="C3" s="54"/>
      <c r="D3" s="51" t="s">
        <v>66</v>
      </c>
      <c r="E3" s="54"/>
      <c r="F3" s="54"/>
      <c r="G3" s="54"/>
      <c r="H3"/>
      <c r="I3"/>
      <c r="J3"/>
      <c r="K3"/>
      <c r="L3"/>
    </row>
    <row r="4" spans="2:12" x14ac:dyDescent="0.6">
      <c r="B4" s="51" t="s">
        <v>222</v>
      </c>
      <c r="C4" s="51" t="s">
        <v>326</v>
      </c>
      <c r="D4" s="55" t="s">
        <v>241</v>
      </c>
      <c r="E4" s="55" t="s">
        <v>238</v>
      </c>
      <c r="F4" s="55" t="s">
        <v>313</v>
      </c>
      <c r="G4" s="55" t="s">
        <v>228</v>
      </c>
      <c r="H4"/>
      <c r="I4"/>
      <c r="J4"/>
      <c r="K4"/>
      <c r="L4"/>
    </row>
    <row r="5" spans="2:12" x14ac:dyDescent="0.6">
      <c r="B5" s="54" t="s">
        <v>232</v>
      </c>
      <c r="C5" s="54"/>
      <c r="D5" s="50"/>
      <c r="E5" s="50"/>
      <c r="F5" s="50"/>
      <c r="G5" s="50"/>
      <c r="H5"/>
      <c r="I5"/>
      <c r="J5"/>
      <c r="K5"/>
      <c r="L5"/>
    </row>
    <row r="6" spans="2:12" x14ac:dyDescent="0.6">
      <c r="B6" s="54"/>
      <c r="C6" s="54" t="s">
        <v>314</v>
      </c>
      <c r="D6" s="50">
        <v>793.16666666666663</v>
      </c>
      <c r="E6" s="50">
        <v>796</v>
      </c>
      <c r="F6" s="50">
        <v>777.6</v>
      </c>
      <c r="G6" s="50">
        <v>706.3</v>
      </c>
      <c r="H6"/>
      <c r="I6"/>
      <c r="J6"/>
      <c r="K6"/>
      <c r="L6"/>
    </row>
    <row r="7" spans="2:12" x14ac:dyDescent="0.6">
      <c r="B7" s="54"/>
      <c r="C7" s="54" t="s">
        <v>327</v>
      </c>
      <c r="D7" s="50">
        <v>47.59</v>
      </c>
      <c r="E7" s="50">
        <v>55.72</v>
      </c>
      <c r="F7" s="50">
        <v>38.880000000000003</v>
      </c>
      <c r="G7" s="50">
        <v>70.63</v>
      </c>
      <c r="H7"/>
      <c r="I7"/>
      <c r="J7"/>
      <c r="K7"/>
      <c r="L7"/>
    </row>
    <row r="8" spans="2:12" x14ac:dyDescent="0.6">
      <c r="B8" s="54" t="s">
        <v>231</v>
      </c>
      <c r="C8" s="54"/>
      <c r="D8" s="50"/>
      <c r="E8" s="50"/>
      <c r="F8" s="50"/>
      <c r="G8" s="50"/>
      <c r="H8"/>
      <c r="I8"/>
      <c r="J8"/>
      <c r="K8"/>
      <c r="L8"/>
    </row>
    <row r="9" spans="2:12" x14ac:dyDescent="0.6">
      <c r="B9" s="54"/>
      <c r="C9" s="54" t="s">
        <v>314</v>
      </c>
      <c r="D9" s="50">
        <v>853.22222222222217</v>
      </c>
      <c r="E9" s="50">
        <v>853.11111111111109</v>
      </c>
      <c r="F9" s="50">
        <v>922.66666666666663</v>
      </c>
      <c r="G9" s="50">
        <v>945</v>
      </c>
      <c r="H9"/>
      <c r="I9"/>
      <c r="J9"/>
      <c r="K9"/>
      <c r="L9"/>
    </row>
    <row r="10" spans="2:12" x14ac:dyDescent="0.6">
      <c r="B10" s="54"/>
      <c r="C10" s="54" t="s">
        <v>327</v>
      </c>
      <c r="D10" s="50">
        <v>76.790000000000006</v>
      </c>
      <c r="E10" s="50">
        <v>76.78</v>
      </c>
      <c r="F10" s="50">
        <v>55.36</v>
      </c>
      <c r="G10" s="50">
        <v>94.5</v>
      </c>
      <c r="H10"/>
    </row>
    <row r="11" spans="2:12" x14ac:dyDescent="0.6">
      <c r="B11" s="54" t="s">
        <v>229</v>
      </c>
      <c r="C11" s="54"/>
      <c r="D11" s="50"/>
      <c r="E11" s="50"/>
      <c r="F11" s="50"/>
      <c r="G11" s="50"/>
      <c r="H11"/>
    </row>
    <row r="12" spans="2:12" x14ac:dyDescent="0.6">
      <c r="B12" s="54"/>
      <c r="C12" s="54" t="s">
        <v>314</v>
      </c>
      <c r="D12" s="50">
        <v>896.5</v>
      </c>
      <c r="E12" s="50">
        <v>845.125</v>
      </c>
      <c r="F12" s="50">
        <v>893</v>
      </c>
      <c r="G12" s="50">
        <v>785.875</v>
      </c>
      <c r="H12"/>
    </row>
    <row r="13" spans="2:12" x14ac:dyDescent="0.6">
      <c r="B13" s="54"/>
      <c r="C13" s="54" t="s">
        <v>327</v>
      </c>
      <c r="D13" s="50">
        <v>17.93</v>
      </c>
      <c r="E13" s="50">
        <v>67.61</v>
      </c>
      <c r="F13" s="50">
        <v>8.93</v>
      </c>
      <c r="G13" s="50">
        <v>62.87</v>
      </c>
      <c r="H13"/>
    </row>
    <row r="14" spans="2:12" x14ac:dyDescent="0.6">
      <c r="B14" s="54" t="s">
        <v>230</v>
      </c>
      <c r="C14" s="54"/>
      <c r="D14" s="50"/>
      <c r="E14" s="50"/>
      <c r="F14" s="50"/>
      <c r="G14" s="50"/>
      <c r="H14"/>
    </row>
    <row r="15" spans="2:12" x14ac:dyDescent="0.6">
      <c r="B15" s="54"/>
      <c r="C15" s="54" t="s">
        <v>314</v>
      </c>
      <c r="D15" s="50" t="s">
        <v>331</v>
      </c>
      <c r="E15" s="50">
        <v>792</v>
      </c>
      <c r="F15" s="50">
        <v>687.5</v>
      </c>
      <c r="G15" s="50">
        <v>838</v>
      </c>
      <c r="H15"/>
    </row>
    <row r="16" spans="2:12" x14ac:dyDescent="0.6">
      <c r="B16" s="54"/>
      <c r="C16" s="54" t="s">
        <v>327</v>
      </c>
      <c r="D16" s="50">
        <v>0</v>
      </c>
      <c r="E16" s="50">
        <v>23.76</v>
      </c>
      <c r="F16" s="50">
        <v>13.75</v>
      </c>
      <c r="G16" s="50">
        <v>8.3800000000000008</v>
      </c>
      <c r="H16"/>
    </row>
    <row r="17" spans="2:7" x14ac:dyDescent="0.6">
      <c r="B17" s="54" t="s">
        <v>371</v>
      </c>
      <c r="C17" s="54"/>
      <c r="D17" s="50">
        <v>837.11764705882354</v>
      </c>
      <c r="E17" s="50">
        <v>829.14814814814815</v>
      </c>
      <c r="F17" s="50">
        <v>835.14285714285711</v>
      </c>
      <c r="G17" s="50">
        <v>815.10344827586209</v>
      </c>
    </row>
    <row r="18" spans="2:7" x14ac:dyDescent="0.6">
      <c r="B18" s="54" t="s">
        <v>372</v>
      </c>
      <c r="C18" s="54"/>
      <c r="D18" s="50">
        <v>142.31</v>
      </c>
      <c r="E18" s="50">
        <v>223.87</v>
      </c>
      <c r="F18" s="50">
        <v>116.92</v>
      </c>
      <c r="G18" s="50">
        <v>236.38</v>
      </c>
    </row>
    <row r="19" spans="2:7" x14ac:dyDescent="0.6">
      <c r="B19"/>
      <c r="C19"/>
      <c r="D19"/>
    </row>
    <row r="20" spans="2:7" x14ac:dyDescent="0.6">
      <c r="B20"/>
    </row>
    <row r="21" spans="2:7" x14ac:dyDescent="0.6">
      <c r="B21"/>
    </row>
    <row r="22" spans="2:7" x14ac:dyDescent="0.6">
      <c r="B22"/>
      <c r="C22"/>
      <c r="D22"/>
    </row>
    <row r="23" spans="2:7" x14ac:dyDescent="0.6">
      <c r="B23"/>
      <c r="C23"/>
      <c r="D23"/>
    </row>
    <row r="24" spans="2:7" x14ac:dyDescent="0.6">
      <c r="B24"/>
      <c r="C24"/>
      <c r="D24"/>
    </row>
  </sheetData>
  <phoneticPr fontId="3" type="noConversion"/>
  <pageMargins left="0.7" right="0.7" top="0.75" bottom="0.75" header="0.3" footer="0.3"/>
  <pageSetup paperSize="9" orientation="portrait" horizontalDpi="1200" verticalDpi="120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W18"/>
  <sheetViews>
    <sheetView workbookViewId="0">
      <selection activeCell="D23" sqref="D23"/>
    </sheetView>
  </sheetViews>
  <sheetFormatPr defaultRowHeight="16.899999999999999" x14ac:dyDescent="0.6"/>
  <cols>
    <col min="1" max="1" width="2.5625" style="27" customWidth="1"/>
    <col min="2" max="2" width="10.6875" style="27" customWidth="1"/>
    <col min="3" max="10" width="13.3125" style="27" customWidth="1"/>
    <col min="11" max="11" width="14" style="27" customWidth="1"/>
    <col min="12" max="12" width="17.8125" style="27" customWidth="1"/>
    <col min="13" max="13" width="16.625" style="27" bestFit="1" customWidth="1"/>
    <col min="14" max="14" width="19.1875" style="27" bestFit="1" customWidth="1"/>
    <col min="15" max="15" width="24.9375" style="27" bestFit="1" customWidth="1"/>
    <col min="16" max="16" width="25.5625" style="27" bestFit="1" customWidth="1"/>
    <col min="17" max="17" width="19.1875" style="27" bestFit="1" customWidth="1"/>
    <col min="18" max="18" width="23.9375" style="27" bestFit="1" customWidth="1"/>
    <col min="19" max="19" width="32.6875" style="27" bestFit="1" customWidth="1"/>
    <col min="20" max="20" width="13.125" style="27" bestFit="1" customWidth="1"/>
    <col min="21" max="21" width="21.0625" style="27" bestFit="1" customWidth="1"/>
    <col min="22" max="22" width="21.75" style="27" bestFit="1" customWidth="1"/>
    <col min="23" max="23" width="6.5625" style="27" customWidth="1"/>
    <col min="24" max="16384" width="9" style="27"/>
  </cols>
  <sheetData>
    <row r="4" spans="2:23" x14ac:dyDescent="0.6">
      <c r="B4" s="54"/>
      <c r="C4" s="51" t="s">
        <v>332</v>
      </c>
      <c r="D4" s="51" t="s">
        <v>326</v>
      </c>
      <c r="E4" s="54"/>
      <c r="F4" s="54"/>
      <c r="G4" s="54"/>
      <c r="H4" s="54"/>
      <c r="I4" s="54"/>
      <c r="J4" s="54"/>
      <c r="K4"/>
      <c r="L4"/>
      <c r="M4"/>
      <c r="N4"/>
      <c r="O4"/>
      <c r="P4"/>
      <c r="Q4"/>
      <c r="R4"/>
      <c r="S4"/>
      <c r="T4"/>
      <c r="U4"/>
      <c r="V4"/>
      <c r="W4"/>
    </row>
    <row r="5" spans="2:23" x14ac:dyDescent="0.6">
      <c r="B5" s="54"/>
      <c r="C5" s="59" t="s">
        <v>320</v>
      </c>
      <c r="D5" s="60"/>
      <c r="E5" s="59" t="s">
        <v>321</v>
      </c>
      <c r="F5" s="60"/>
      <c r="G5" s="59" t="s">
        <v>322</v>
      </c>
      <c r="H5" s="60"/>
      <c r="I5" s="59" t="s">
        <v>323</v>
      </c>
      <c r="J5" s="60"/>
      <c r="K5"/>
      <c r="L5"/>
      <c r="M5"/>
      <c r="N5"/>
      <c r="O5"/>
      <c r="P5"/>
      <c r="Q5"/>
      <c r="R5"/>
      <c r="S5"/>
      <c r="T5"/>
      <c r="U5"/>
      <c r="V5"/>
      <c r="W5"/>
    </row>
    <row r="6" spans="2:23" x14ac:dyDescent="0.6">
      <c r="B6" s="51" t="s">
        <v>333</v>
      </c>
      <c r="C6" s="55" t="s">
        <v>324</v>
      </c>
      <c r="D6" s="55" t="s">
        <v>325</v>
      </c>
      <c r="E6" s="55" t="s">
        <v>324</v>
      </c>
      <c r="F6" s="55" t="s">
        <v>325</v>
      </c>
      <c r="G6" s="55" t="s">
        <v>324</v>
      </c>
      <c r="H6" s="55" t="s">
        <v>325</v>
      </c>
      <c r="I6" s="55" t="s">
        <v>324</v>
      </c>
      <c r="J6" s="55" t="s">
        <v>325</v>
      </c>
      <c r="K6"/>
      <c r="L6"/>
      <c r="M6"/>
      <c r="N6"/>
      <c r="O6"/>
      <c r="P6"/>
      <c r="Q6"/>
      <c r="R6"/>
      <c r="S6"/>
      <c r="T6"/>
      <c r="U6"/>
      <c r="V6"/>
      <c r="W6"/>
    </row>
    <row r="7" spans="2:23" x14ac:dyDescent="0.6">
      <c r="B7" s="55" t="s">
        <v>315</v>
      </c>
      <c r="C7" s="57">
        <v>1588000</v>
      </c>
      <c r="D7" s="49">
        <v>6</v>
      </c>
      <c r="E7" s="57">
        <v>239000</v>
      </c>
      <c r="F7" s="49">
        <v>1</v>
      </c>
      <c r="G7" s="57">
        <v>239000</v>
      </c>
      <c r="H7" s="49">
        <v>1</v>
      </c>
      <c r="I7" s="57">
        <v>781000</v>
      </c>
      <c r="J7" s="49">
        <v>1</v>
      </c>
      <c r="K7"/>
      <c r="L7"/>
      <c r="M7"/>
      <c r="N7"/>
      <c r="O7"/>
      <c r="P7"/>
      <c r="Q7"/>
      <c r="R7"/>
      <c r="S7"/>
      <c r="T7"/>
      <c r="U7"/>
      <c r="V7"/>
      <c r="W7"/>
    </row>
    <row r="8" spans="2:23" x14ac:dyDescent="0.6">
      <c r="B8" s="55" t="s">
        <v>316</v>
      </c>
      <c r="C8" s="57">
        <v>3742000</v>
      </c>
      <c r="D8" s="49">
        <v>4</v>
      </c>
      <c r="E8" s="57">
        <v>1262000</v>
      </c>
      <c r="F8" s="49">
        <v>1</v>
      </c>
      <c r="G8" s="57">
        <v>3521230</v>
      </c>
      <c r="H8" s="49">
        <v>8</v>
      </c>
      <c r="I8" s="57">
        <v>2763000</v>
      </c>
      <c r="J8" s="49">
        <v>5</v>
      </c>
      <c r="K8"/>
      <c r="L8"/>
      <c r="M8"/>
      <c r="N8"/>
      <c r="O8"/>
      <c r="P8"/>
      <c r="Q8"/>
      <c r="R8"/>
      <c r="S8"/>
      <c r="T8"/>
      <c r="U8"/>
      <c r="V8"/>
      <c r="W8"/>
    </row>
    <row r="9" spans="2:23" x14ac:dyDescent="0.6">
      <c r="B9" s="55" t="s">
        <v>317</v>
      </c>
      <c r="C9" s="57">
        <v>859000</v>
      </c>
      <c r="D9" s="49">
        <v>2</v>
      </c>
      <c r="E9" s="57">
        <v>3697000</v>
      </c>
      <c r="F9" s="49">
        <v>9</v>
      </c>
      <c r="G9" s="57">
        <v>1419000</v>
      </c>
      <c r="H9" s="49">
        <v>4</v>
      </c>
      <c r="I9" s="57">
        <v>2828000</v>
      </c>
      <c r="J9" s="49">
        <v>4</v>
      </c>
      <c r="K9"/>
      <c r="L9"/>
      <c r="M9"/>
      <c r="N9"/>
      <c r="O9"/>
      <c r="P9"/>
      <c r="Q9"/>
      <c r="R9"/>
      <c r="S9"/>
      <c r="T9"/>
      <c r="U9"/>
      <c r="V9"/>
      <c r="W9"/>
    </row>
    <row r="10" spans="2:23" x14ac:dyDescent="0.6">
      <c r="B10" s="55" t="s">
        <v>318</v>
      </c>
      <c r="C10" s="57">
        <v>4717000</v>
      </c>
      <c r="D10" s="49">
        <v>6</v>
      </c>
      <c r="E10" s="57">
        <v>1552000</v>
      </c>
      <c r="F10" s="49">
        <v>7</v>
      </c>
      <c r="G10" s="57">
        <v>6903000</v>
      </c>
      <c r="H10" s="49">
        <v>5</v>
      </c>
      <c r="I10" s="57">
        <v>613000</v>
      </c>
      <c r="J10" s="49">
        <v>1</v>
      </c>
      <c r="K10"/>
      <c r="L10"/>
      <c r="M10"/>
      <c r="N10"/>
      <c r="O10"/>
      <c r="P10"/>
      <c r="Q10"/>
      <c r="R10"/>
      <c r="S10"/>
      <c r="T10"/>
      <c r="U10"/>
      <c r="V10"/>
      <c r="W10"/>
    </row>
    <row r="11" spans="2:23" x14ac:dyDescent="0.6">
      <c r="B11" s="55" t="s">
        <v>319</v>
      </c>
      <c r="C11" s="57" t="s">
        <v>354</v>
      </c>
      <c r="D11" s="49" t="s">
        <v>354</v>
      </c>
      <c r="E11" s="57">
        <v>1890000</v>
      </c>
      <c r="F11" s="49">
        <v>1</v>
      </c>
      <c r="G11" s="57" t="s">
        <v>354</v>
      </c>
      <c r="H11" s="49" t="s">
        <v>354</v>
      </c>
      <c r="I11" s="57">
        <v>1890000</v>
      </c>
      <c r="J11" s="49">
        <v>1</v>
      </c>
      <c r="K11"/>
      <c r="L11"/>
      <c r="M11"/>
      <c r="N11"/>
      <c r="O11"/>
      <c r="P11"/>
      <c r="Q11"/>
      <c r="R11"/>
      <c r="S11"/>
      <c r="T11"/>
      <c r="U11"/>
      <c r="V11"/>
      <c r="W11"/>
    </row>
    <row r="12" spans="2:23" x14ac:dyDescent="0.6">
      <c r="B12" s="55" t="s">
        <v>312</v>
      </c>
      <c r="C12" s="57">
        <v>10906000</v>
      </c>
      <c r="D12" s="49">
        <v>18</v>
      </c>
      <c r="E12" s="57">
        <v>8640000</v>
      </c>
      <c r="F12" s="49">
        <v>19</v>
      </c>
      <c r="G12" s="57">
        <v>12082230</v>
      </c>
      <c r="H12" s="49">
        <v>18</v>
      </c>
      <c r="I12" s="57">
        <v>8875000</v>
      </c>
      <c r="J12" s="49">
        <v>12</v>
      </c>
      <c r="K12"/>
      <c r="L12"/>
    </row>
    <row r="13" spans="2:23" x14ac:dyDescent="0.6">
      <c r="B13"/>
      <c r="C13"/>
      <c r="D13"/>
      <c r="E13"/>
      <c r="F13"/>
      <c r="G13"/>
    </row>
    <row r="14" spans="2:23" x14ac:dyDescent="0.6">
      <c r="B14"/>
      <c r="C14"/>
      <c r="D14"/>
    </row>
    <row r="15" spans="2:23" x14ac:dyDescent="0.6">
      <c r="B15"/>
      <c r="C15"/>
      <c r="D15"/>
    </row>
    <row r="16" spans="2:23" x14ac:dyDescent="0.6">
      <c r="B16"/>
      <c r="C16"/>
      <c r="D16"/>
    </row>
    <row r="17" spans="2:4" x14ac:dyDescent="0.6">
      <c r="B17"/>
      <c r="C17"/>
      <c r="D17"/>
    </row>
    <row r="18" spans="2:4" x14ac:dyDescent="0.6">
      <c r="B18"/>
      <c r="C18"/>
      <c r="D18"/>
    </row>
  </sheetData>
  <mergeCells count="4">
    <mergeCell ref="C5:D5"/>
    <mergeCell ref="E5:F5"/>
    <mergeCell ref="G5:H5"/>
    <mergeCell ref="I5:J5"/>
  </mergeCells>
  <phoneticPr fontId="3" type="noConversion"/>
  <pageMargins left="0.7" right="0.7" top="0.75" bottom="0.75" header="0.3" footer="0.3"/>
  <pageSetup paperSize="9" orientation="portrait" horizontalDpi="1200" verticalDpi="120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O28"/>
  <sheetViews>
    <sheetView workbookViewId="0">
      <selection activeCell="I16" sqref="I16"/>
    </sheetView>
  </sheetViews>
  <sheetFormatPr defaultRowHeight="16.899999999999999" x14ac:dyDescent="0.6"/>
  <cols>
    <col min="1" max="1" width="2.5625" style="27" customWidth="1"/>
    <col min="2" max="2" width="10.6875" style="27" customWidth="1"/>
    <col min="3" max="3" width="9.25" style="27" bestFit="1" customWidth="1"/>
    <col min="4" max="4" width="13.8125" style="27" customWidth="1"/>
    <col min="5" max="5" width="12.75" style="27" customWidth="1"/>
    <col min="6" max="6" width="13.8125" style="27" customWidth="1"/>
    <col min="7" max="7" width="13" style="27" customWidth="1"/>
    <col min="8" max="9" width="11.0625" style="27" bestFit="1" customWidth="1"/>
    <col min="10" max="10" width="13" style="27" bestFit="1" customWidth="1"/>
    <col min="11" max="11" width="9.5" style="27" customWidth="1"/>
    <col min="12" max="12" width="10.1875" style="27" bestFit="1" customWidth="1"/>
    <col min="13" max="13" width="9.5" style="27" customWidth="1"/>
    <col min="14" max="14" width="14" style="27" bestFit="1" customWidth="1"/>
    <col min="15" max="15" width="14" style="27" customWidth="1"/>
    <col min="16" max="16384" width="9" style="27"/>
  </cols>
  <sheetData>
    <row r="4" spans="2:15" x14ac:dyDescent="0.6">
      <c r="B4" s="54"/>
      <c r="C4" s="54"/>
      <c r="D4" s="51" t="s">
        <v>46</v>
      </c>
      <c r="E4" s="54"/>
      <c r="F4"/>
      <c r="G4"/>
      <c r="H4"/>
      <c r="I4"/>
      <c r="J4"/>
      <c r="K4"/>
      <c r="L4"/>
      <c r="M4"/>
      <c r="N4"/>
      <c r="O4"/>
    </row>
    <row r="5" spans="2:15" x14ac:dyDescent="0.6">
      <c r="B5" s="51" t="s">
        <v>48</v>
      </c>
      <c r="C5" s="51" t="s">
        <v>326</v>
      </c>
      <c r="D5" s="55" t="s">
        <v>25</v>
      </c>
      <c r="E5" s="55" t="s">
        <v>33</v>
      </c>
      <c r="F5"/>
      <c r="G5"/>
      <c r="H5"/>
      <c r="I5"/>
      <c r="J5"/>
      <c r="K5"/>
      <c r="L5"/>
      <c r="M5"/>
      <c r="N5"/>
      <c r="O5"/>
    </row>
    <row r="6" spans="2:15" x14ac:dyDescent="0.6">
      <c r="B6" s="54" t="s">
        <v>43</v>
      </c>
      <c r="C6" s="54"/>
      <c r="D6" s="61"/>
      <c r="E6" s="61"/>
      <c r="F6"/>
      <c r="G6"/>
      <c r="H6"/>
      <c r="I6"/>
      <c r="J6"/>
      <c r="K6"/>
      <c r="L6"/>
      <c r="M6"/>
      <c r="N6"/>
      <c r="O6"/>
    </row>
    <row r="7" spans="2:15" x14ac:dyDescent="0.6">
      <c r="B7" s="54"/>
      <c r="C7" s="54" t="s">
        <v>324</v>
      </c>
      <c r="D7" s="61">
        <v>22936120</v>
      </c>
      <c r="E7" s="61">
        <v>0</v>
      </c>
      <c r="F7"/>
      <c r="G7"/>
      <c r="H7"/>
      <c r="I7"/>
      <c r="J7"/>
      <c r="K7"/>
      <c r="L7"/>
      <c r="M7"/>
      <c r="N7"/>
      <c r="O7"/>
    </row>
    <row r="8" spans="2:15" x14ac:dyDescent="0.6">
      <c r="B8" s="54"/>
      <c r="C8" s="54" t="s">
        <v>375</v>
      </c>
      <c r="D8" s="61">
        <v>4587224</v>
      </c>
      <c r="E8" s="61">
        <v>0</v>
      </c>
      <c r="F8"/>
      <c r="G8"/>
      <c r="H8"/>
      <c r="I8"/>
      <c r="J8"/>
      <c r="K8"/>
      <c r="L8"/>
      <c r="M8"/>
      <c r="N8"/>
      <c r="O8"/>
    </row>
    <row r="9" spans="2:15" x14ac:dyDescent="0.6">
      <c r="B9" s="54" t="s">
        <v>59</v>
      </c>
      <c r="C9" s="54"/>
      <c r="D9" s="61"/>
      <c r="E9" s="61"/>
      <c r="F9"/>
      <c r="G9"/>
      <c r="H9"/>
      <c r="I9"/>
      <c r="J9"/>
      <c r="K9"/>
      <c r="L9"/>
      <c r="M9"/>
      <c r="N9"/>
      <c r="O9"/>
    </row>
    <row r="10" spans="2:15" x14ac:dyDescent="0.6">
      <c r="B10" s="54"/>
      <c r="C10" s="54" t="s">
        <v>324</v>
      </c>
      <c r="D10" s="61">
        <v>0</v>
      </c>
      <c r="E10" s="61">
        <v>1170000</v>
      </c>
      <c r="F10"/>
      <c r="G10"/>
      <c r="H10"/>
      <c r="I10"/>
      <c r="J10"/>
      <c r="K10"/>
      <c r="L10"/>
      <c r="M10"/>
      <c r="N10"/>
      <c r="O10"/>
    </row>
    <row r="11" spans="2:15" x14ac:dyDescent="0.6">
      <c r="B11" s="54"/>
      <c r="C11" s="54" t="s">
        <v>375</v>
      </c>
      <c r="D11" s="61">
        <v>0</v>
      </c>
      <c r="E11" s="61">
        <v>292500</v>
      </c>
      <c r="F11"/>
      <c r="G11"/>
      <c r="H11"/>
      <c r="I11"/>
      <c r="J11"/>
      <c r="K11"/>
      <c r="L11"/>
      <c r="M11"/>
      <c r="N11"/>
      <c r="O11"/>
    </row>
    <row r="12" spans="2:15" x14ac:dyDescent="0.6">
      <c r="B12" s="54" t="s">
        <v>27</v>
      </c>
      <c r="C12" s="54"/>
      <c r="D12" s="61"/>
      <c r="E12" s="61"/>
      <c r="F12"/>
      <c r="G12"/>
      <c r="H12"/>
      <c r="I12"/>
      <c r="J12"/>
      <c r="K12"/>
      <c r="L12"/>
      <c r="M12"/>
      <c r="N12"/>
      <c r="O12"/>
    </row>
    <row r="13" spans="2:15" x14ac:dyDescent="0.6">
      <c r="B13" s="54"/>
      <c r="C13" s="54" t="s">
        <v>324</v>
      </c>
      <c r="D13" s="61">
        <v>7246780</v>
      </c>
      <c r="E13" s="61">
        <v>0</v>
      </c>
      <c r="F13"/>
      <c r="G13"/>
      <c r="H13"/>
      <c r="I13"/>
      <c r="J13"/>
      <c r="K13"/>
      <c r="L13"/>
      <c r="M13"/>
      <c r="N13"/>
      <c r="O13"/>
    </row>
    <row r="14" spans="2:15" x14ac:dyDescent="0.6">
      <c r="B14" s="54"/>
      <c r="C14" s="54" t="s">
        <v>375</v>
      </c>
      <c r="D14" s="61">
        <v>805197.77777777775</v>
      </c>
      <c r="E14" s="61">
        <v>0</v>
      </c>
      <c r="F14"/>
      <c r="G14"/>
      <c r="H14"/>
      <c r="I14"/>
      <c r="J14"/>
      <c r="K14"/>
      <c r="L14"/>
      <c r="M14"/>
      <c r="N14"/>
      <c r="O14"/>
    </row>
    <row r="15" spans="2:15" x14ac:dyDescent="0.6">
      <c r="B15" s="54" t="s">
        <v>373</v>
      </c>
      <c r="C15" s="54"/>
      <c r="D15" s="61">
        <v>30182900</v>
      </c>
      <c r="E15" s="61">
        <v>1170000</v>
      </c>
      <c r="F15"/>
      <c r="G15"/>
      <c r="H15"/>
      <c r="I15"/>
      <c r="J15"/>
    </row>
    <row r="16" spans="2:15" x14ac:dyDescent="0.6">
      <c r="B16" s="54" t="s">
        <v>374</v>
      </c>
      <c r="C16" s="54"/>
      <c r="D16" s="61">
        <v>2155921.4285714286</v>
      </c>
      <c r="E16" s="61">
        <v>292500</v>
      </c>
      <c r="F16"/>
      <c r="G16"/>
      <c r="H16"/>
      <c r="I16"/>
      <c r="J16"/>
    </row>
    <row r="17" spans="2:10" x14ac:dyDescent="0.6">
      <c r="B17"/>
      <c r="C17"/>
      <c r="D17"/>
      <c r="E17"/>
      <c r="F17"/>
      <c r="G17"/>
      <c r="H17"/>
      <c r="I17"/>
      <c r="J17"/>
    </row>
    <row r="18" spans="2:10" x14ac:dyDescent="0.6">
      <c r="B18"/>
      <c r="C18"/>
      <c r="D18"/>
      <c r="E18"/>
      <c r="F18"/>
      <c r="G18"/>
      <c r="H18"/>
      <c r="I18"/>
      <c r="J18"/>
    </row>
    <row r="19" spans="2:10" x14ac:dyDescent="0.6">
      <c r="B19"/>
      <c r="C19"/>
      <c r="D19"/>
      <c r="E19"/>
      <c r="F19"/>
      <c r="G19"/>
      <c r="H19"/>
      <c r="I19"/>
      <c r="J19"/>
    </row>
    <row r="20" spans="2:10" x14ac:dyDescent="0.6">
      <c r="B20"/>
      <c r="C20"/>
      <c r="D20"/>
      <c r="E20"/>
      <c r="F20"/>
      <c r="G20"/>
      <c r="H20"/>
      <c r="I20"/>
      <c r="J20"/>
    </row>
    <row r="21" spans="2:10" x14ac:dyDescent="0.6">
      <c r="B21"/>
      <c r="C21"/>
      <c r="D21"/>
      <c r="E21"/>
      <c r="F21"/>
      <c r="G21"/>
      <c r="H21"/>
      <c r="I21"/>
      <c r="J21"/>
    </row>
    <row r="22" spans="2:10" x14ac:dyDescent="0.6">
      <c r="H22"/>
      <c r="I22"/>
      <c r="J22"/>
    </row>
    <row r="23" spans="2:10" x14ac:dyDescent="0.6">
      <c r="H23"/>
      <c r="I23"/>
      <c r="J23"/>
    </row>
    <row r="24" spans="2:10" x14ac:dyDescent="0.6">
      <c r="H24"/>
      <c r="I24"/>
      <c r="J24"/>
    </row>
    <row r="25" spans="2:10" x14ac:dyDescent="0.6">
      <c r="H25"/>
      <c r="I25"/>
      <c r="J25"/>
    </row>
    <row r="26" spans="2:10" x14ac:dyDescent="0.6">
      <c r="H26"/>
      <c r="I26"/>
      <c r="J26"/>
    </row>
    <row r="27" spans="2:10" x14ac:dyDescent="0.6">
      <c r="H27"/>
      <c r="I27"/>
      <c r="J27"/>
    </row>
    <row r="28" spans="2:10" x14ac:dyDescent="0.6">
      <c r="H28"/>
      <c r="I28"/>
      <c r="J28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Sheet3</vt:lpstr>
      <vt:lpstr>피벗테이블3</vt:lpstr>
      <vt:lpstr>피벗테이블4</vt:lpstr>
      <vt:lpstr>피벗테이블5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기풍쌤</cp:lastModifiedBy>
  <dcterms:created xsi:type="dcterms:W3CDTF">2022-01-11T01:03:54Z</dcterms:created>
  <dcterms:modified xsi:type="dcterms:W3CDTF">2022-02-09T12:49:45Z</dcterms:modified>
</cp:coreProperties>
</file>