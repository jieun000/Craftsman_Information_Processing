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ls" ContentType="application/vnd.ms-excel"/>
  <Default Extension="xlsx" ContentType="application/vnd.openxmlformats-officedocument.spreadsheetml.sheet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mondi\Downloads\컴활2급실기_5일만에 합격하기_버전2.0\5일만에 합격하기_자료집\3일차\"/>
    </mc:Choice>
  </mc:AlternateContent>
  <x:bookViews>
    <x:workbookView xWindow="0" yWindow="0" windowWidth="21345" windowHeight="8640" firstSheet="1" activeTab="5"/>
  </x:bookViews>
  <x:sheets>
    <x:sheet name="고급필터1" sheetId="1" r:id="rId4"/>
    <x:sheet name="고급필터2" sheetId="2" r:id="rId5"/>
    <x:sheet name="고급필터3" sheetId="3" r:id="rId6"/>
    <x:sheet name="고급필터4" sheetId="4" r:id="rId7"/>
    <x:sheet name="고급필터5" sheetId="5" r:id="rId8"/>
    <x:sheet name="고급필터6" sheetId="6" r:id="rId9"/>
  </x:sheets>
  <x:externalReferences>
    <x:externalReference r:id="rId10"/>
    <x:externalReference r:id="rId11"/>
    <x:externalReference r:id="rId12"/>
  </x:externalReferences>
  <x:definedNames>
    <x:definedName name="_xlnm._FilterDatabase" localSheetId="0" hidden="1">고급필터1!$A$3:$G$16</x:definedName>
    <x:definedName name="_xlnm._FilterDatabase" localSheetId="1" hidden="1">고급필터2!$A$3:$F$15</x:definedName>
    <x:definedName name="_xlnm._FilterDatabase" localSheetId="2" hidden="1">고급필터3!$A$3:$F$18</x:definedName>
    <x:definedName name="_xlnm._FilterDatabase" localSheetId="3" hidden="1">고급필터4!$A$2:$G$20</x:definedName>
    <x:definedName name="_xlnm._FilterDatabase" localSheetId="4" hidden="1">고급필터5!$A$3:$F$18</x:definedName>
    <x:definedName name="_xlnm.Criteria" localSheetId="0" hidden="1">고급필터1!$A$18:$B$19</x:definedName>
    <x:definedName name="_xlnm.Criteria" localSheetId="1" hidden="1">고급필터2!$A$17:$B$18</x:definedName>
    <x:definedName name="_xlnm.Criteria" localSheetId="2" hidden="1">고급필터3!$H$3:$I$4</x:definedName>
    <x:definedName name="_xlnm.Criteria" localSheetId="3" hidden="1">고급필터4!$A$22:$B$23</x:definedName>
    <x:definedName name="_xlnm.Criteria" localSheetId="4" hidden="1">고급필터5!$H$3:$J$4</x:definedName>
    <x:definedName name="_xlnm.Extract" localSheetId="0" hidden="1">고급필터1!$A$21:$D$21</x:definedName>
    <x:definedName name="_xlnm.Extract" localSheetId="1" hidden="1">고급필터2!$A$21:$F$21</x:definedName>
    <x:definedName name="_xlnm.Extract" localSheetId="2" hidden="1">고급필터3!$H$6:$M$6</x:definedName>
    <x:definedName name="_xlnm.Extract" localSheetId="3" hidden="1">고급필터4!$A$25:$G$25</x:definedName>
    <x:definedName name="_xlnm.Extract" localSheetId="4" hidden="1">고급필터5!$H$6:$M$6</x:definedName>
    <x:definedName name="배점" localSheetId="5">'[3]기본작업-2'!#REF!</x:definedName>
    <x:definedName name="배점">'[2]기본작업-2'!#REF!</x:definedName>
    <x:definedName name="수강과목">'[1]수강과목(일반,대학생)'!$C$4:$C$22</x:definedName>
    <x:definedName name="수강과목2">'[1] 수강목록'!$C$4:$C$13</x:definedName>
    <x:definedName name="오픈일자" localSheetId="3">#REF!</x:definedName>
    <x:definedName name="오픈일자">#REF!</x:definedName>
    <x:definedName name="우수회원_1" localSheetId="1">고급필터2!#REF!</x:definedName>
    <x:definedName name="학점이" localSheetId="3">#REF!</x:definedName>
    <x:definedName name="학점이">#REF!</x:definedName>
    <x:definedName name="학점표" localSheetId="3">#REF!</x:definedName>
    <x:definedName name="학점표">#REF!</x:definedName>
    <x:definedName name="_xlnm._FilterDatabase" localSheetId="5" hidden="1">고급필터6!$A$3:$E$42</x:definedName>
    <x:definedName name="_xlnm.Criteria" localSheetId="5" hidden="1">고급필터6!$G$4:$H$5</x:definedName>
    <x:definedName name="_xlnm.Extract" localSheetId="5" hidden="1">고급필터6!$G$8:$I$8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<x:sst xmlns:r="http://schemas.openxmlformats.org/officeDocument/2006/relationships" xmlns:c="http://schemas.openxmlformats.org/drawingml/2006/chart" xmlns:x="http://schemas.openxmlformats.org/spreadsheetml/2006/main" count="434" uniqueCount="233">
  <x:si>
    <x:t>&gt;=80</x:t>
  </x:si>
  <x:si>
    <x:t>&gt;=70</x:t>
  </x:si>
  <x:si>
    <x:t>010-40**-****</x:t>
  </x:si>
  <x:si>
    <x:t>010-47**-****</x:t>
  </x:si>
  <x:si>
    <x:t>010-84**-****</x:t>
  </x:si>
  <x:si>
    <x:t>010-52**-****</x:t>
  </x:si>
  <x:si>
    <x:t>010-27**-****</x:t>
  </x:si>
  <x:si>
    <x:t>기풍 유치원 아동 명단</x:t>
  </x:si>
  <x:si>
    <x:t>010-71**-****</x:t>
  </x:si>
  <x:si>
    <x:t>010-93**-****</x:t>
  </x:si>
  <x:si>
    <x:t>010-36**-****</x:t>
  </x:si>
  <x:si>
    <x:t>010-73**-****</x:t>
  </x:si>
  <x:si>
    <x:t>010-88**-****</x:t>
  </x:si>
  <x:si>
    <x:t>010-42**-****</x:t>
  </x:si>
  <x:si>
    <x:t>소양강 수미감자</x:t>
  </x:si>
  <x:si>
    <x:t>기풍 농산물 유통</x:t>
  </x:si>
  <x:si>
    <x:t>현미</x:t>
  </x:si>
  <x:si>
    <x:t>무농약</x:t>
  </x:si>
  <x:si>
    <x:t>일반</x:t>
  </x:si>
  <x:si>
    <x:t>찰보리</x:t>
  </x:si>
  <x:si>
    <x:t>채소</x:t>
  </x:si>
  <x:si>
    <x:t>과일</x:t>
  </x:si>
  <x:si>
    <x:t>곡식</x:t>
  </x:si>
  <x:si>
    <x:t>이름</x:t>
  </x:si>
  <x:si>
    <x:t>번호</x:t>
  </x:si>
  <x:si>
    <x:t>유기농</x:t>
  </x:si>
  <x:si>
    <x:t>제품명</x:t>
  </x:si>
  <x:si>
    <x:t>단가</x:t>
  </x:si>
  <x:si>
    <x:t>생산지</x:t>
  </x:si>
  <x:si>
    <x:t>품목</x:t>
  </x:si>
  <x:si>
    <x:t>김주형</x:t>
  </x:si>
  <x:si>
    <x:t>카드</x:t>
  </x:si>
  <x:si>
    <x:t>연락처</x:t>
  </x:si>
  <x:si>
    <x:t>지정현</x:t>
  </x:si>
  <x:si>
    <x:t>신수연</x:t>
  </x:si>
  <x:si>
    <x:t>조하린</x:t>
  </x:si>
  <x:si>
    <x:t>박주은</x:t>
  </x:si>
  <x:si>
    <x:t>엑셀</x:t>
  </x:si>
  <x:si>
    <x:t>소망반</x:t>
  </x:si>
  <x:si>
    <x:t>워드</x:t>
  </x:si>
  <x:si>
    <x:t>성명</x:t>
  </x:si>
  <x:si>
    <x:t>김종헌</x:t>
  </x:si>
  <x:si>
    <x:t>박진우</x:t>
  </x:si>
  <x:si>
    <x:t>파포</x:t>
  </x:si>
  <x:si>
    <x:t>김가람</x:t>
  </x:si>
  <x:si>
    <x:t>지선미</x:t>
  </x:si>
  <x:si>
    <x:t>서동수</x:t>
  </x:si>
  <x:si>
    <x:t>결재</x:t>
  </x:si>
  <x:si>
    <x:t>김연준</x:t>
  </x:si>
  <x:si>
    <x:t>김서영</x:t>
  </x:si>
  <x:si>
    <x:t>이주리</x:t>
  </x:si>
  <x:si>
    <x:t>이현승</x:t>
  </x:si>
  <x:si>
    <x:t>박서현</x:t>
  </x:si>
  <x:si>
    <x:t>이체</x:t>
  </x:si>
  <x:si>
    <x:t>이민섭</x:t>
  </x:si>
  <x:si>
    <x:t>여</x:t>
  </x:si>
  <x:si>
    <x:t>등록일</x:t>
  </x:si>
  <x:si>
    <x:t>반</x:t>
  </x:si>
  <x:si>
    <x:t>성별</x:t>
  </x:si>
  <x:si>
    <x:t>믿음반</x:t>
  </x:si>
  <x:si>
    <x:t>남</x:t>
  </x:si>
  <x:si>
    <x:t>박건우</x:t>
  </x:si>
  <x:si>
    <x:t>이숙경</x:t>
  </x:si>
  <x:si>
    <x:t>강일진</x:t>
  </x:si>
  <x:si>
    <x:t>임정신</x:t>
  </x:si>
  <x:si>
    <x:t>권지인</x:t>
  </x:si>
  <x:si>
    <x:t>온유반</x:t>
  </x:si>
  <x:si>
    <x:t>박준영</x:t>
  </x:si>
  <x:si>
    <x:t>김말자</x:t>
  </x:si>
  <x:si>
    <x:t>강용민</x:t>
  </x:si>
  <x:si>
    <x:t>민상철</x:t>
  </x:si>
  <x:si>
    <x:t>성희민</x:t>
  </x:si>
  <x:si>
    <x:t>국어</x:t>
  </x:si>
  <x:si>
    <x:t>양경진</x:t>
  </x:si>
  <x:si>
    <x:t>환자명</x:t>
  </x:si>
  <x:si>
    <x:t>양필수</x:t>
  </x:si>
  <x:si>
    <x:t>영어</x:t>
  </x:si>
  <x:si>
    <x:t>이성진</x:t>
  </x:si>
  <x:si>
    <x:t>김호영</x:t>
  </x:si>
  <x:si>
    <x:t>유인선</x:t>
  </x:si>
  <x:si>
    <x:t>유연서</x:t>
  </x:si>
  <x:si>
    <x:t>이수린</x:t>
  </x:si>
  <x:si>
    <x:t>최재현</x:t>
  </x:si>
  <x:si>
    <x:t>이태현</x:t>
  </x:si>
  <x:si>
    <x:t>보험</x:t>
  </x:si>
  <x:si>
    <x:t>김주한</x:t>
  </x:si>
  <x:si>
    <x:t>오정은</x:t>
  </x:si>
  <x:si>
    <x:t>임수경</x:t>
  </x:si>
  <x:si>
    <x:t>윤서연</x:t>
  </x:si>
  <x:si>
    <x:t>박지원</x:t>
  </x:si>
  <x:si>
    <x:t>조민정</x:t>
  </x:si>
  <x:si>
    <x:t>한정기</x:t>
  </x:si>
  <x:si>
    <x:t>김일택</x:t>
  </x:si>
  <x:si>
    <x:t>김시연</x:t>
  </x:si>
  <x:si>
    <x:t>김명환</x:t>
  </x:si>
  <x:si>
    <x:t>김대원</x:t>
  </x:si>
  <x:si>
    <x:t>콕비</x:t>
  </x:si>
  <x:si>
    <x:t>정재미</x:t>
  </x:si>
  <x:si>
    <x:t>박희자</x:t>
  </x:si>
  <x:si>
    <x:t>신동혁</x:t>
  </x:si>
  <x:si>
    <x:t>강진록</x:t>
  </x:si>
  <x:si>
    <x:t>김정기</x:t>
  </x:si>
  <x:si>
    <x:t>평균</x:t>
  </x:si>
  <x:si>
    <x:t>길선희</x:t>
  </x:si>
  <x:si>
    <x:t>이원철</x:t>
  </x:si>
  <x:si>
    <x:t>곽봉규</x:t>
  </x:si>
  <x:si>
    <x:t>김병래</x:t>
  </x:si>
  <x:si>
    <x:t>이호찬</x:t>
  </x:si>
  <x:si>
    <x:t>김태정</x:t>
  </x:si>
  <x:si>
    <x:t>날짜</x:t>
  </x:si>
  <x:si>
    <x:t>송인상</x:t>
  </x:si>
  <x:si>
    <x:t>김현숙</x:t>
  </x:si>
  <x:si>
    <x:t>입금액</x:t>
  </x:si>
  <x:si>
    <x:t>손정원</x:t>
  </x:si>
  <x:si>
    <x:t>오두환</x:t>
  </x:si>
  <x:si>
    <x:t>이금옥</x:t>
  </x:si>
  <x:si>
    <x:t>김옥경</x:t>
  </x:si>
  <x:si>
    <x:t>김현수</x:t>
  </x:si>
  <x:si>
    <x:t>김정화</x:t>
  </x:si>
  <x:si>
    <x:t>최영조</x:t>
  </x:si>
  <x:si>
    <x:t>잔액</x:t>
  </x:si>
  <x:si>
    <x:t>수학</x:t>
  </x:si>
  <x:si>
    <x:t>구임선</x:t>
  </x:si>
  <x:si>
    <x:t>고승민</x:t>
  </x:si>
  <x:si>
    <x:t>출금액</x:t>
  </x:si>
  <x:si>
    <x:t>황인걸</x:t>
  </x:si>
  <x:si>
    <x:t>김준석</x:t>
  </x:si>
  <x:si>
    <x:t>김동일</x:t>
  </x:si>
  <x:si>
    <x:t>홍순갑</x:t>
  </x:si>
  <x:si>
    <x:t>김영순</x:t>
  </x:si>
  <x:si>
    <x:t>여정훈</x:t>
  </x:si>
  <x:si>
    <x:t>김진관</x:t>
  </x:si>
  <x:si>
    <x:t>조상기</x:t>
  </x:si>
  <x:si>
    <x:t>조창범</x:t>
  </x:si>
  <x:si>
    <x:t>해남딸기</x:t>
  </x:si>
  <x:si>
    <x:t>강원춘천</x:t>
  </x:si>
  <x:si>
    <x:t>발아현미</x:t>
  </x:si>
  <x:si>
    <x:t>상추(1kg)</x:t>
  </x:si>
  <x:si>
    <x:t>전라해남</x:t>
  </x:si>
  <x:si>
    <x:t>햇 흙당근</x:t>
  </x:si>
  <x:si>
    <x:t>경기광주</x:t>
  </x:si>
  <x:si>
    <x:t>전라부안</x:t>
  </x:si>
  <x:si>
    <x:t>농사방법</x:t>
  </x:si>
  <x:si>
    <x:t>전라무안</x:t>
  </x:si>
  <x:si>
    <x:t>전라진도</x:t>
  </x:si>
  <x:si>
    <x:t>장수사과</x:t>
  </x:si>
  <x:si>
    <x:t>경기이천</x:t>
  </x:si>
  <x:si>
    <x:t>단위(KG)</x:t>
  </x:si>
  <x:si>
    <x:t>전라익산</x:t>
  </x:si>
  <x:si>
    <x:t>무안황토양파</x:t>
  </x:si>
  <x:si>
    <x:t>전라장수</x:t>
  </x:si>
  <x:si>
    <x:t>나주 신고배</x:t>
  </x:si>
  <x:si>
    <x:t>S-003</x:t>
  </x:si>
  <x:si>
    <x:t>S-004</x:t>
  </x:si>
  <x:si>
    <x:t>S-006</x:t>
  </x:si>
  <x:si>
    <x:t>S-009</x:t>
  </x:si>
  <x:si>
    <x:t>Y385V5</x:t>
  </x:si>
  <x:si>
    <x:t>K378F9</x:t>
  </x:si>
  <x:si>
    <x:t>경상안동</x:t>
  </x:si>
  <x:si>
    <x:t>S-002</x:t>
  </x:si>
  <x:si>
    <x:t>J453C9</x:t>
  </x:si>
  <x:si>
    <x:t>S-008</x:t>
  </x:si>
  <x:si>
    <x:t>G232C3</x:t>
  </x:si>
  <x:si>
    <x:t>J215F2</x:t>
  </x:si>
  <x:si>
    <x:t>J256V2</x:t>
  </x:si>
  <x:si>
    <x:t>제품코드</x:t>
  </x:si>
  <x:si>
    <x:t>J803V3</x:t>
  </x:si>
  <x:si>
    <x:t>호박고구마</x:t>
  </x:si>
  <x:si>
    <x:t>전라나주</x:t>
  </x:si>
  <x:si>
    <x:t>경상하동</x:t>
  </x:si>
  <x:si>
    <x:t>J540F4</x:t>
  </x:si>
  <x:si>
    <x:t>안동 사과</x:t>
  </x:si>
  <x:si>
    <x:t>수강과목</x:t>
  </x:si>
  <x:si>
    <x:t>S-005</x:t>
  </x:si>
  <x:si>
    <x:t>S-007</x:t>
  </x:si>
  <x:si>
    <x:t>K347F1</x:t>
  </x:si>
  <x:si>
    <x:t>J647V4</x:t>
  </x:si>
  <x:si>
    <x:t>S-001</x:t>
  </x:si>
  <x:si>
    <x:t>J542V2</x:t>
  </x:si>
  <x:si>
    <x:t>J678C8</x:t>
  </x:si>
  <x:si>
    <x:t>G332V4</x:t>
  </x:si>
  <x:si>
    <x:t>하동딸기</x:t>
  </x:si>
  <x:si>
    <x:t>등록카드</x:t>
  </x:si>
  <x:si>
    <x:t>결재금액</x:t>
  </x:si>
  <x:si>
    <x:t>출석일수</x:t>
  </x:si>
  <x:si>
    <x:t>환자분류</x:t>
  </x:si>
  <x:si>
    <x:t>의료보험</x:t>
  </x:si>
  <x:si>
    <x:t>거래내역</x:t>
  </x:si>
  <x:si>
    <x:t>약제비총액</x:t>
  </x:si>
  <x:si>
    <x:t>&lt;조건&gt;</x:t>
  </x:si>
  <x:si>
    <x:t>춘천대형약국</x:t>
  </x:si>
  <x:si>
    <x:t>호반초등학교</x:t>
  </x:si>
  <x:si>
    <x:t>S-011</x:t>
  </x:si>
  <x:si>
    <x:t>본인부담금</x:t>
  </x:si>
  <x:si>
    <x:t>처방전번호</x:t>
  </x:si>
  <x:si>
    <x:t>프렌즈허옥경</x:t>
  </x:si>
  <x:si>
    <x:t>SMS수수료</x:t>
  </x:si>
  <x:si>
    <x:t>S-010</x:t>
  </x:si>
  <x:si>
    <x:t>생년월일</x:t>
  </x:si>
  <x:si>
    <x:t>S-012</x:t>
  </x:si>
  <x:si>
    <x:t>조제일자</x:t>
  </x:si>
  <x:si>
    <x:t>[표1] 기풍의원</x:t>
  </x:si>
  <x:si>
    <x:t>8K-23215</x:t>
  </x:si>
  <x:si>
    <x:t>3K-12574</x:t>
  </x:si>
  <x:si>
    <x:t>1K-67684</x:t>
  </x:si>
  <x:si>
    <x:t>6K-12578</x:t>
  </x:si>
  <x:si>
    <x:t>2K-12579</x:t>
  </x:si>
  <x:si>
    <x:t>1K-27512</x:t>
  </x:si>
  <x:si>
    <x:t>5K-59955</x:t>
  </x:si>
  <x:si>
    <x:t>2K-12111</x:t>
  </x:si>
  <x:si>
    <x:t>7K-67122</x:t>
  </x:si>
  <x:si>
    <x:t>2K-12235</x:t>
  </x:si>
  <x:si>
    <x:t>5K-12215</x:t>
  </x:si>
  <x:si>
    <x:t>1K-59141</x:t>
  </x:si>
  <x:si>
    <x:t>2K-23932</x:t>
  </x:si>
  <x:si>
    <x:t>2K-12215</x:t>
  </x:si>
  <x:si>
    <x:t>4K-59227</x:t>
  </x:si>
  <x:si>
    <x:t>1K-67115</x:t>
  </x:si>
  <x:si>
    <x:t>7K-12228</x:t>
  </x:si>
  <x:si>
    <x:t>기풍반 1학기 성적표</x:t>
  </x:si>
  <x:si>
    <x:t>4K-27659</x:t>
  </x:si>
  <x:si>
    <x:t>통장 거래 내역</x:t>
  </x:si>
  <x:si>
    <x:t>(주) 엠에스리테일</x:t>
  </x:si>
  <x:si>
    <x:t>임원회의 카페리오</x:t>
  </x:si>
  <x:si>
    <x:t>주식회사 문구나무</x:t>
  </x:si>
  <x:si>
    <x:t>춘천배드민턴연합회성</x:t>
  </x:si>
  <x:si>
    <x:t>석유난로노즐교체</x:t>
  </x:si>
  <x:si>
    <x:t>&lt;&gt;무농약</x:t>
  </x:si>
  <x:si>
    <x:t>&gt;=2007-08-01</x:t>
  </x:si>
  <x:si>
    <x:t>&gt;=2014-04-20</x:t>
  </x:si>
  <x:si>
    <x:t>&lt;&gt;이체</x:t>
  </x:si>
  <x:si>
    <x:t>&lt;=89</x:t>
  </x:si>
  <x:si>
    <x:t>&gt;=10000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</x:si>
</x:sst>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3">
    <x:numFmt numFmtId="164" formatCode="0_);[Red]\(0\)"/>
    <x:numFmt numFmtId="165" formatCode="yy\/mm\/dd\(aaa\)"/>
    <x:numFmt numFmtId="166" formatCode="00"/>
  </x:numFmts>
  <x:fonts count="11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</x:font>
    <x:font>
      <x:name val="맑은 고딕"/>
      <x:sz val="15"/>
      <x:color rgb="ff1f497d"/>
      <x:b val="1"/>
    </x:font>
    <x:font>
      <x:name val="맑은 고딕"/>
      <x:sz val="10"/>
      <x:color rgb="ff000000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4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4"/>
          <x:color rgb="ff000000"/>
          <x:b val="1"/>
        </x:font>
      </mc:Fallback>
    </mc:AlternateContent>
  </x:fonts>
  <x:fills count="3">
    <x:fill>
      <x:patternFill patternType="none"/>
    </x:fill>
    <x:fill>
      <x:patternFill patternType="gray125"/>
    </x:fill>
    <x:fill>
      <x:patternFill patternType="solid">
        <x:fgColor rgb="ffc0c0c0"/>
        <x:bgColor indexed="64"/>
      </x:patternFill>
    </x:fill>
  </x:fills>
  <x:borders count="1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>
        <x:color auto="1"/>
      </x:left>
      <x:right>
        <x:color auto="1"/>
      </x:right>
      <x:top>
        <x:color auto="1"/>
      </x:top>
      <x:bottom style="thick">
        <x:color rgb="ff4f81bd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medium">
        <x:color auto="1"/>
      </x:left>
      <x:right style="thin">
        <x:color auto="1"/>
      </x:right>
      <x:top style="medium">
        <x:color auto="1"/>
      </x:top>
      <x:bottom style="thin">
        <x:color auto="1"/>
      </x:bottom>
    </x:border>
    <x:border>
      <x:left style="thin">
        <x:color auto="1"/>
      </x:left>
      <x:right style="thin">
        <x:color auto="1"/>
      </x:right>
      <x:top style="medium">
        <x:color auto="1"/>
      </x:top>
      <x:bottom style="thin">
        <x:color auto="1"/>
      </x:bottom>
    </x:border>
    <x:border>
      <x:left style="thin">
        <x:color auto="1"/>
      </x:left>
      <x:right style="medium">
        <x:color auto="1"/>
      </x:right>
      <x:top style="medium">
        <x:color auto="1"/>
      </x:top>
      <x:bottom style="thin">
        <x:color auto="1"/>
      </x:bottom>
    </x:border>
    <x:border>
      <x:left style="medium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auto="1"/>
      </x:left>
      <x:right style="medium">
        <x:color auto="1"/>
      </x:right>
      <x:top style="thin">
        <x:color auto="1"/>
      </x:top>
      <x:bottom style="thin">
        <x:color auto="1"/>
      </x:bottom>
    </x:border>
    <x:border diagonalUp="1" diagonalDown="1"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 style="thin">
        <x:color auto="1"/>
      </x:diagonal>
    </x:border>
    <x:border>
      <x:left style="medium">
        <x:color auto="1"/>
      </x:left>
      <x:right style="thin">
        <x:color auto="1"/>
      </x:right>
      <x:top style="thin">
        <x:color auto="1"/>
      </x:top>
      <x:bottom style="medium">
        <x:color auto="1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medium">
        <x:color auto="1"/>
      </x:bottom>
    </x:border>
    <x:border>
      <x:left style="thin">
        <x:color auto="1"/>
      </x:left>
      <x:right style="medium">
        <x:color auto="1"/>
      </x:right>
      <x:top style="thin">
        <x:color auto="1"/>
      </x:top>
      <x:bottom style="medium">
        <x:color auto="1"/>
      </x:bottom>
    </x:border>
  </x:borders>
  <x:cellStyleXfs count="3">
    <x:xf numFmtId="0" fontId="0" fillId="0" borderId="0">
      <x:alignment horizontal="general" vertical="center"/>
    </x:xf>
    <x:xf numFmtId="41" fontId="0" fillId="0" borderId="0" applyFont="1" applyFill="1" applyBorder="1" applyAlignment="1" applyProtection="1">
      <x:alignment horizontal="general" vertical="center"/>
    </x:xf>
    <x:xf numFmtId="0" fontId="7" fillId="0" borderId="1">
      <x:alignment horizontal="general" vertical="center"/>
    </x:xf>
  </x:cellStyleXfs>
  <x:cellXfs count="39">
    <x:xf numFmtId="0" fontId="0" fillId="0" borderId="0" xfId="0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2" xfId="1" applyNumberFormat="1" applyFont="1" applyBorder="1" applyAlignment="1">
          <x:alignment horizontal="center" vertical="center"/>
        </x:xf>
      </mc:Fallback>
    </mc:AlternateContent>
    <x:xf numFmtId="0" fontId="0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0" xfId="1" applyNumberFormat="1" applyFont="1" applyAlignment="1">
          <x:alignment horizontal="center" vertical="center"/>
        </x:xf>
      </mc:Fallback>
    </mc:AlternateContent>
    <x:xf numFmtId="15" fontId="0" fillId="0" borderId="0" xfId="0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3" xfId="0" applyNumberFormat="1" applyFont="1" applyBorder="1" applyAlignment="1" hs:applyExtension="1">
          <x:alignment horizontal="centerContinuous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3" xfId="0" applyNumberFormat="1" applyFont="1" applyBorder="1" applyAlignment="1">
          <x:alignment horizontal="centerContinuous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4" xfId="0" applyNumberFormat="1" applyFont="1" applyBorder="1" applyAlignment="1" hs:applyExtension="1">
          <x:alignment horizontal="centerContinuous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4" xfId="0" applyNumberFormat="1" applyFont="1" applyBorder="1" applyAlignment="1">
          <x:alignment horizontal="centerContinuous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5" xfId="0" applyNumberFormat="1" applyFont="1" applyBorder="1" applyAlignment="1" hs:applyExtension="1">
          <x:alignment horizontal="centerContinuous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5" xfId="0" applyNumberFormat="1" applyFont="1" applyBorder="1" applyAlignment="1">
          <x:alignment horizontal="centerContinuous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8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8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1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1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8" fillId="0" borderId="1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8" fillId="0" borderId="1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1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1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 readingOrder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 readingOrder="1"/>
        </x:xf>
      </mc:Fallback>
    </mc:AlternateContent>
    <x:xf numFmtId="2" fontId="0" fillId="0" borderId="2" xfId="0" applyNumberFormat="1" applyBorder="1">
      <x:alignment horizontal="general" vertical="center"/>
    </x:xf>
    <x:xf numFmtId="0" fontId="0" fillId="0" borderId="0" xfId="0" applyNumberFormat="1" applyFont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0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8" fillId="0" borderId="0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8" fillId="0" borderId="0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2" borderId="0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2" borderId="0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8" fillId="0" borderId="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8" fillId="0" borderId="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3" fontId="8" fillId="0" borderId="0" xfId="0" applyNumberFormat="1" applyFont="1" applyFill="1" applyBorder="1" applyAlignment="1" hs:applyExtension="1">
          <x:alignment horizontal="right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8" fillId="0" borderId="0" xfId="0" applyNumberFormat="1" applyFont="1" applyFill="1" applyBorder="1" applyAlignment="1">
          <x:alignment horizontal="right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1" xfId="2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1" xfId="2" applyNumberFormat="1" applyAlignment="1">
          <x:alignment horizontal="center" vertical="center"/>
        </x:xf>
      </mc:Fallback>
    </mc:AlternateContent>
  </x:cellXfs>
  <x:cellStyles count="3">
    <x:cellStyle name="표준" xfId="0" builtinId="0"/>
    <x:cellStyle name="쉼표 [0]" xfId="1" builtinId="6"/>
    <x:cellStyle name="제목 1" xfId="2" builtinId="16"/>
  </x:cellStyles>
  <x:dxfs count="0"/>
  <x:tableStyles count="0" defaultTableStyle="TableStyleMedium2" defaultPivotStyle="PivotStyleLight16"/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openxmlformats.org/officeDocument/2006/relationships/externalLink" Target="externalLinks/externalLink1.xml"  /><Relationship Id="rId11" Type="http://schemas.openxmlformats.org/officeDocument/2006/relationships/externalLink" Target="externalLinks/externalLink2.xml"  /><Relationship Id="rId12" Type="http://schemas.openxmlformats.org/officeDocument/2006/relationships/externalLink" Target="externalLinks/externalLink3.xml"  /><Relationship Id="rId13" Type="http://schemas.microsoft.com/office/2006/relationships/vbaProject" Target="vbaProject.bin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drawings/_rels/drawing1.xml.rels><?xml version="1.0" encoding="UTF-8" standalone="yes" ?><Relationships xmlns="http://schemas.openxmlformats.org/package/2006/relationships"><Relationship Id="rId1" Type="http://schemas.openxmlformats.org/officeDocument/2006/relationships/image" Target="../media/image1.png"  /></Relationships>
</file>

<file path=xl/drawings/drawing1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6</xdr:col>
      <xdr:colOff>214376</xdr:colOff>
      <xdr:row>9</xdr:row>
      <xdr:rowOff>166751</xdr:rowOff>
    </xdr:from>
    <xdr:to>
      <xdr:col>12</xdr:col>
      <xdr:colOff>381000</xdr:colOff>
      <xdr:row>26</xdr:row>
      <xdr:rowOff>90551</xdr:rowOff>
    </xdr:to>
    <xdr:pic macro="" fPublished="0">
      <xdr:nvPicPr>
        <xdr:cNvPr id="2" name="그림 1"/>
        <xdr:cNvPicPr>
          <a:picLocks noChangeAspect="1"/>
        </xdr:cNvPicPr>
      </xdr:nvPicPr>
      <xdr:blipFill rotWithShape="1">
        <a:blip r:embed="rId1"/>
        <a:stretch>
          <a:fillRect/>
        </a:stretch>
      </xdr:blipFill>
      <xdr:spPr>
        <a:xfrm>
          <a:off x="8658225" y="4105275"/>
          <a:ext cx="8562975" cy="6972300"/>
        </a:xfrm>
        <a:prstGeom prst="rect">
          <a:avLst/>
        </a:prstGeom>
      </xdr:spPr>
    </xdr:pic>
    <xdr:clientData fLocksWithSheet="1" fPrintsWithSheet="1"/>
  </xdr:twoCellAnchor>
</xdr:wsDr>
</file>

<file path=xl/externalLinks/_rels/externalLink1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C:/Users/missi/Google%20&#46300;&#46972;&#51060;&#48652;/&#9733;&#54980;&#54217;&#46041;&#54617;&#50896;&#47928;&#49436;%20&#44277;&#50976;&#54260;&#45908;&#9733;/01%20&#50472;&#50519;&#54617;&#50896;/&#44592;&#50500;&#54260;&#45908;/&#49688;&#44053;&#47785;&#47197;.xlsx" TargetMode="External" /></Relationships>
</file>

<file path=xl/externalLinks/_rels/externalLink2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C:/Users/missi/Documents/01_&#51473;&#50836;&#51088;&#47308;/04_&#52980;&#54876;2&#44553;&#49892;&#44592;/01_&#44592;&#52636;&#47928;&#51228;%20&#49884;&#47532;&#51592;/20_2022_&#49345;&#49884;%202&#54924;/02_&#52980;&#54876;2&#44553;&#49892;&#44592;(&#49828;&#54532;&#47112;&#46300;&#49884;&#53944;)&#49345;&#49884;&#47928;&#51228;&#54400;&#51060;_2022&#45380;2&#54924;_&#47928;&#51228;.xlsm" TargetMode="External" /></Relationships>
</file>

<file path=xl/externalLinks/_rels/externalLink3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C:/Users/missi/Documents/01_&#51473;&#50836;&#51088;&#47308;/04_&#52980;&#54876;2&#44553;&#49892;&#44592;/01_&#44592;&#52636;&#47928;&#51228;%20&#49884;&#47532;&#51592;/23_2022_&#49345;&#49884;%205&#54924;/05_&#52980;&#54876;2&#44553;&#49892;&#44592;(&#49828;&#54532;&#47112;&#46300;&#49884;&#53944;)&#49345;&#49884;&#47928;&#51228;&#54400;&#51060;_2022&#45380;5&#54924;_&#47928;&#51228;.xlsm" TargetMode="External" /></Relationships>
</file>

<file path=xl/externalLinks/externalLink1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수강과목(일반,대학생)"/>
      <x:sheetName val="원생등록(일반,대학생)"/>
      <x:sheetName val="원생등록(초,중,고)"/>
      <x:sheetName val="원비납부현황(초,중,고)"/>
      <x:sheetName val="주말C언어"/>
      <x:sheetName val=" 수강목록"/>
      <x:sheetName val="예약"/>
      <x:sheetName val=" "/>
    </x:sheetNames>
    <x:sheetDataSet>
      <x:sheetData sheetId="0" refreshError="0"/>
      <x:sheetData sheetId="1" refreshError="0"/>
      <x:sheetData sheetId="2" refreshError="0"/>
      <x:sheetData sheetId="3" refreshError="0"/>
      <x:sheetData sheetId="4" refreshError="0"/>
      <x:sheetData sheetId="5" refreshError="0"/>
      <x:sheetData sheetId="6" refreshError="0"/>
      <x:sheetData sheetId="7" refreshError="0"/>
    </x:sheetDataSet>
  </x:externalBook>
</x:externalLink>
</file>

<file path=xl/externalLinks/externalLink2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기본작업-1"/>
      <x:sheetName val="기본작업-2"/>
      <x:sheetName val="기본작업-3"/>
      <x:sheetName val="계산작업"/>
      <x:sheetName val="분석작업-1"/>
      <x:sheetName val="분석작업-2"/>
      <x:sheetName val="매크로작업"/>
      <x:sheetName val="차트작업"/>
    </x:sheetNames>
    <x:sheetDataSet>
      <x:sheetData sheetId="0" refreshError="1"/>
      <x:sheetData sheetId="1" refreshError="0"/>
      <x:sheetData sheetId="2" refreshError="0"/>
      <x:sheetData sheetId="3" refreshError="1"/>
      <x:sheetData sheetId="4" refreshError="1"/>
      <x:sheetData sheetId="5" refreshError="1"/>
      <x:sheetData sheetId="6" refreshError="1"/>
      <x:sheetData sheetId="7" refreshError="1"/>
    </x:sheetDataSet>
  </x:externalBook>
</x:externalLink>
</file>

<file path=xl/externalLinks/externalLink3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기본작업-1"/>
      <x:sheetName val="기본작업-2"/>
      <x:sheetName val="기본작업-3"/>
      <x:sheetName val="계산작업"/>
      <x:sheetName val="분석작업-1"/>
      <x:sheetName val="분석작업-2"/>
      <x:sheetName val="매크로작업"/>
      <x:sheetName val="차트작업"/>
    </x:sheetNames>
    <x:sheetDataSet>
      <x:sheetData sheetId="0" refreshError="1"/>
      <x:sheetData sheetId="1" refreshError="0"/>
      <x:sheetData sheetId="2" refreshError="1"/>
      <x:sheetData sheetId="3" refreshError="1"/>
      <x:sheetData sheetId="4" refreshError="1"/>
      <x:sheetData sheetId="5" refreshError="1"/>
      <x:sheetData sheetId="6" refreshError="1"/>
      <x:sheetData sheetId="7" refreshError="1"/>
    </x:sheetDataSet>
  </x:externalBook>
</x:externalLink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</a:theme>
</file>

<file path=xl/worksheets/_rels/sheet5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1:G25"/>
  <x:sheetViews>
    <x:sheetView topLeftCell="A4" zoomScaleNormal="100" zoomScaleSheetLayoutView="75" workbookViewId="0">
      <x:selection activeCell="F22" activeCellId="0" sqref="F22:F22"/>
    </x:sheetView>
  </x:sheetViews>
  <x:sheetFormatPr defaultColWidth="9" defaultRowHeight="16.39999999999999857891"/>
  <x:cols>
    <x:col min="1" max="1" width="8.25" bestFit="1" customWidth="1"/>
    <x:col min="2" max="2" width="14.625" bestFit="1" customWidth="1"/>
  </x:cols>
  <x:sheetData>
    <x:row r="1" spans="1:7">
      <x:c r="A1" s="36" t="s">
        <x:v>15</x:v>
      </x:c>
      <x:c r="B1" s="36"/>
      <x:c r="C1" s="36"/>
      <x:c r="D1" s="36"/>
      <x:c r="E1" s="36"/>
      <x:c r="F1" s="36"/>
      <x:c r="G1" s="36"/>
    </x:row>
    <x:row r="3" spans="1:7">
      <x:c r="A3" s="2" t="s">
        <x:v>165</x:v>
      </x:c>
      <x:c r="B3" s="2" t="s">
        <x:v>26</x:v>
      </x:c>
      <x:c r="C3" s="2" t="s">
        <x:v>29</x:v>
      </x:c>
      <x:c r="D3" s="2" t="s">
        <x:v>142</x:v>
      </x:c>
      <x:c r="E3" s="2" t="s">
        <x:v>147</x:v>
      </x:c>
      <x:c r="F3" s="2" t="s">
        <x:v>28</x:v>
      </x:c>
      <x:c r="G3" s="2" t="s">
        <x:v>27</x:v>
      </x:c>
    </x:row>
    <x:row r="4" spans="1:7">
      <x:c r="A4" s="2" t="s">
        <x:v>178</x:v>
      </x:c>
      <x:c r="B4" s="2" t="s">
        <x:v>137</x:v>
      </x:c>
      <x:c r="C4" s="2" t="s">
        <x:v>20</x:v>
      </x:c>
      <x:c r="D4" s="2" t="s">
        <x:v>17</x:v>
      </x:c>
      <x:c r="E4" s="2">
        <x:v>1</x:v>
      </x:c>
      <x:c r="F4" s="2" t="s">
        <x:v>148</x:v>
      </x:c>
      <x:c r="G4" s="3">
        <x:v>12500</x:v>
      </x:c>
    </x:row>
    <x:row r="5" spans="1:7">
      <x:c r="A5" s="2" t="s">
        <x:v>162</x:v>
      </x:c>
      <x:c r="B5" s="2" t="s">
        <x:v>16</x:v>
      </x:c>
      <x:c r="C5" s="2" t="s">
        <x:v>22</x:v>
      </x:c>
      <x:c r="D5" s="2" t="s">
        <x:v>17</x:v>
      </x:c>
      <x:c r="E5" s="2">
        <x:v>3</x:v>
      </x:c>
      <x:c r="F5" s="2" t="s">
        <x:v>146</x:v>
      </x:c>
      <x:c r="G5" s="3">
        <x:v>13500</x:v>
      </x:c>
    </x:row>
    <x:row r="6" spans="1:7">
      <x:c r="A6" s="2" t="s">
        <x:v>180</x:v>
      </x:c>
      <x:c r="B6" s="2" t="s">
        <x:v>139</x:v>
      </x:c>
      <x:c r="C6" s="2" t="s">
        <x:v>20</x:v>
      </x:c>
      <x:c r="D6" s="2" t="s">
        <x:v>18</x:v>
      </x:c>
      <x:c r="E6" s="2">
        <x:v>5</x:v>
      </x:c>
      <x:c r="F6" s="2" t="s">
        <x:v>140</x:v>
      </x:c>
      <x:c r="G6" s="3">
        <x:v>6500</x:v>
      </x:c>
    </x:row>
    <x:row r="7" spans="1:7">
      <x:c r="A7" s="2" t="s">
        <x:v>179</x:v>
      </x:c>
      <x:c r="B7" s="2" t="s">
        <x:v>136</x:v>
      </x:c>
      <x:c r="C7" s="2" t="s">
        <x:v>22</x:v>
      </x:c>
      <x:c r="D7" s="2" t="s">
        <x:v>18</x:v>
      </x:c>
      <x:c r="E7" s="2">
        <x:v>5</x:v>
      </x:c>
      <x:c r="F7" s="2" t="s">
        <x:v>144</x:v>
      </x:c>
      <x:c r="G7" s="3">
        <x:v>23500</x:v>
      </x:c>
    </x:row>
    <x:row r="8" spans="1:7">
      <x:c r="A8" s="2" t="s">
        <x:v>160</x:v>
      </x:c>
      <x:c r="B8" s="2" t="s">
        <x:v>19</x:v>
      </x:c>
      <x:c r="C8" s="2" t="s">
        <x:v>22</x:v>
      </x:c>
      <x:c r="D8" s="2" t="s">
        <x:v>25</x:v>
      </x:c>
      <x:c r="E8" s="2">
        <x:v>1</x:v>
      </x:c>
      <x:c r="F8" s="2" t="s">
        <x:v>141</x:v>
      </x:c>
      <x:c r="G8" s="3">
        <x:v>12000</x:v>
      </x:c>
    </x:row>
    <x:row r="9" spans="1:7">
      <x:c r="A9" s="2" t="s">
        <x:v>164</x:v>
      </x:c>
      <x:c r="B9" s="2" t="s">
        <x:v>149</x:v>
      </x:c>
      <x:c r="C9" s="2" t="s">
        <x:v>20</x:v>
      </x:c>
      <x:c r="D9" s="2" t="s">
        <x:v>18</x:v>
      </x:c>
      <x:c r="E9" s="2">
        <x:v>5</x:v>
      </x:c>
      <x:c r="F9" s="2" t="s">
        <x:v>143</x:v>
      </x:c>
      <x:c r="G9" s="3">
        <x:v>8000</x:v>
      </x:c>
    </x:row>
    <x:row r="10" spans="1:7">
      <x:c r="A10" s="2" t="s">
        <x:v>176</x:v>
      </x:c>
      <x:c r="B10" s="2" t="s">
        <x:v>134</x:v>
      </x:c>
      <x:c r="C10" s="2" t="s">
        <x:v>20</x:v>
      </x:c>
      <x:c r="D10" s="2" t="s">
        <x:v>17</x:v>
      </x:c>
      <x:c r="E10" s="2">
        <x:v>1</x:v>
      </x:c>
      <x:c r="F10" s="2" t="s">
        <x:v>138</x:v>
      </x:c>
      <x:c r="G10" s="3">
        <x:v>21000</x:v>
      </x:c>
    </x:row>
    <x:row r="11" spans="1:7">
      <x:c r="A11" s="2" t="s">
        <x:v>170</x:v>
      </x:c>
      <x:c r="B11" s="2" t="s">
        <x:v>145</x:v>
      </x:c>
      <x:c r="C11" s="2" t="s">
        <x:v>21</x:v>
      </x:c>
      <x:c r="D11" s="2" t="s">
        <x:v>18</x:v>
      </x:c>
      <x:c r="E11" s="2">
        <x:v>10</x:v>
      </x:c>
      <x:c r="F11" s="2" t="s">
        <x:v>150</x:v>
      </x:c>
      <x:c r="G11" s="3">
        <x:v>60000</x:v>
      </x:c>
    </x:row>
    <x:row r="12" spans="1:7">
      <x:c r="A12" s="2" t="s">
        <x:v>156</x:v>
      </x:c>
      <x:c r="B12" s="2" t="s">
        <x:v>14</x:v>
      </x:c>
      <x:c r="C12" s="2" t="s">
        <x:v>20</x:v>
      </x:c>
      <x:c r="D12" s="2" t="s">
        <x:v>25</x:v>
      </x:c>
      <x:c r="E12" s="2">
        <x:v>15</x:v>
      </x:c>
      <x:c r="F12" s="2" t="s">
        <x:v>135</x:v>
      </x:c>
      <x:c r="G12" s="3">
        <x:v>13900</x:v>
      </x:c>
    </x:row>
    <x:row r="13" spans="1:7">
      <x:c r="A13" s="2" t="s">
        <x:v>163</x:v>
      </x:c>
      <x:c r="B13" s="2" t="s">
        <x:v>151</x:v>
      </x:c>
      <x:c r="C13" s="2" t="s">
        <x:v>21</x:v>
      </x:c>
      <x:c r="D13" s="2" t="s">
        <x:v>18</x:v>
      </x:c>
      <x:c r="E13" s="2">
        <x:v>20</x:v>
      </x:c>
      <x:c r="F13" s="2" t="s">
        <x:v>168</x:v>
      </x:c>
      <x:c r="G13" s="3">
        <x:v>59000</x:v>
      </x:c>
    </x:row>
    <x:row r="14" spans="1:7">
      <x:c r="A14" s="2" t="s">
        <x:v>166</x:v>
      </x:c>
      <x:c r="B14" s="2" t="s">
        <x:v>167</x:v>
      </x:c>
      <x:c r="C14" s="2" t="s">
        <x:v>20</x:v>
      </x:c>
      <x:c r="D14" s="2" t="s">
        <x:v>25</x:v>
      </x:c>
      <x:c r="E14" s="2">
        <x:v>15</x:v>
      </x:c>
      <x:c r="F14" s="2" t="s">
        <x:v>138</x:v>
      </x:c>
      <x:c r="G14" s="3">
        <x:v>32500</x:v>
      </x:c>
    </x:row>
    <x:row r="15" spans="1:7">
      <x:c r="A15" s="2" t="s">
        <x:v>157</x:v>
      </x:c>
      <x:c r="B15" s="2" t="s">
        <x:v>181</x:v>
      </x:c>
      <x:c r="C15" s="2" t="s">
        <x:v>21</x:v>
      </x:c>
      <x:c r="D15" s="2" t="s">
        <x:v>18</x:v>
      </x:c>
      <x:c r="E15" s="2">
        <x:v>1</x:v>
      </x:c>
      <x:c r="F15" s="2" t="s">
        <x:v>169</x:v>
      </x:c>
      <x:c r="G15" s="3">
        <x:v>7800</x:v>
      </x:c>
    </x:row>
    <x:row r="16" spans="1:7">
      <x:c r="A16" s="2" t="s">
        <x:v>175</x:v>
      </x:c>
      <x:c r="B16" s="2" t="s">
        <x:v>171</x:v>
      </x:c>
      <x:c r="C16" s="2" t="s">
        <x:v>21</x:v>
      </x:c>
      <x:c r="D16" s="2" t="s">
        <x:v>25</x:v>
      </x:c>
      <x:c r="E16" s="2">
        <x:v>5</x:v>
      </x:c>
      <x:c r="F16" s="2" t="s">
        <x:v>158</x:v>
      </x:c>
      <x:c r="G16" s="3">
        <x:v>13900</x:v>
      </x:c>
    </x:row>
    <x:row r="18" spans="1:2">
      <x:c r="A18" s="2" t="s">
        <x:v>29</x:v>
      </x:c>
      <x:c r="B18" s="2" t="s">
        <x:v>142</x:v>
      </x:c>
    </x:row>
    <x:row r="19" spans="1:2">
      <x:c r="A19" s="2" t="s">
        <x:v>20</x:v>
      </x:c>
      <x:c r="B19" s="2" t="s">
        <x:v>227</x:v>
      </x:c>
    </x:row>
    <x:row r="21" spans="1:4">
      <x:c r="A21" s="2" t="s">
        <x:v>165</x:v>
      </x:c>
      <x:c r="B21" s="2" t="s">
        <x:v>26</x:v>
      </x:c>
      <x:c r="C21" s="2" t="s">
        <x:v>28</x:v>
      </x:c>
      <x:c r="D21" s="2" t="s">
        <x:v>27</x:v>
      </x:c>
    </x:row>
    <x:row r="22" spans="1:4">
      <x:c r="A22" s="2" t="s">
        <x:v>180</x:v>
      </x:c>
      <x:c r="B22" s="2" t="s">
        <x:v>139</x:v>
      </x:c>
      <x:c r="C22" s="2" t="s">
        <x:v>140</x:v>
      </x:c>
      <x:c r="D22" s="3">
        <x:v>6500</x:v>
      </x:c>
    </x:row>
    <x:row r="23" spans="1:4">
      <x:c r="A23" s="2" t="s">
        <x:v>164</x:v>
      </x:c>
      <x:c r="B23" s="2" t="s">
        <x:v>149</x:v>
      </x:c>
      <x:c r="C23" s="2" t="s">
        <x:v>143</x:v>
      </x:c>
      <x:c r="D23" s="3">
        <x:v>8000</x:v>
      </x:c>
    </x:row>
    <x:row r="24" spans="1:4">
      <x:c r="A24" s="2" t="s">
        <x:v>156</x:v>
      </x:c>
      <x:c r="B24" s="2" t="s">
        <x:v>14</x:v>
      </x:c>
      <x:c r="C24" s="2" t="s">
        <x:v>135</x:v>
      </x:c>
      <x:c r="D24" s="3">
        <x:v>13900</x:v>
      </x:c>
    </x:row>
    <x:row r="25" spans="1:4">
      <x:c r="A25" s="2" t="s">
        <x:v>166</x:v>
      </x:c>
      <x:c r="B25" s="2" t="s">
        <x:v>167</x:v>
      </x:c>
      <x:c r="C25" s="2" t="s">
        <x:v>138</x:v>
      </x:c>
      <x:c r="D25" s="3">
        <x:v>32500</x:v>
      </x:c>
    </x:row>
  </x:sheetData>
  <x:mergeCells count="1">
    <x:mergeCell ref="A1:G1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A1:P24"/>
  <x:sheetViews>
    <x:sheetView topLeftCell="A1" zoomScaleNormal="100" zoomScaleSheetLayoutView="75" workbookViewId="0">
      <x:selection activeCell="H1" activeCellId="0" sqref="H1:H1"/>
    </x:sheetView>
  </x:sheetViews>
  <x:sheetFormatPr defaultColWidth="9" defaultRowHeight="16.39999999999999857891"/>
  <x:cols>
    <x:col min="3" max="3" width="8.25" bestFit="1" customWidth="1"/>
    <x:col min="4" max="4" width="12.375" bestFit="1" customWidth="1"/>
    <x:col min="6" max="6" width="10.875" bestFit="1" customWidth="1"/>
  </x:cols>
  <x:sheetData>
    <x:row r="1" spans="1:7" ht="20.64999999999999857891">
      <x:c r="A1" s="37" t="s">
        <x:v>182</x:v>
      </x:c>
      <x:c r="B1" s="37"/>
      <x:c r="C1" s="37"/>
      <x:c r="D1" s="37"/>
      <x:c r="E1" s="37"/>
      <x:c r="F1" s="37"/>
      <x:c r="G1" s="37"/>
    </x:row>
    <x:row r="3" spans="1:6">
      <x:c r="A3" s="6" t="s">
        <x:v>24</x:v>
      </x:c>
      <x:c r="B3" s="6" t="s">
        <x:v>23</x:v>
      </x:c>
      <x:c r="C3" s="6" t="s">
        <x:v>172</x:v>
      </x:c>
      <x:c r="D3" s="7" t="s">
        <x:v>56</x:v>
      </x:c>
      <x:c r="E3" s="6" t="s">
        <x:v>47</x:v>
      </x:c>
      <x:c r="F3" s="8" t="s">
        <x:v>183</x:v>
      </x:c>
    </x:row>
    <x:row r="4" spans="1:6">
      <x:c r="A4" s="6" t="s">
        <x:v>177</x:v>
      </x:c>
      <x:c r="B4" s="6" t="s">
        <x:v>44</x:v>
      </x:c>
      <x:c r="C4" s="6" t="s">
        <x:v>37</x:v>
      </x:c>
      <x:c r="D4" s="7">
        <x:v>43785</x:v>
      </x:c>
      <x:c r="E4" s="6" t="s">
        <x:v>53</x:v>
      </x:c>
      <x:c r="F4" s="8">
        <x:v>150000</x:v>
      </x:c>
    </x:row>
    <x:row r="5" spans="1:6">
      <x:c r="A5" s="6" t="s">
        <x:v>159</x:v>
      </x:c>
      <x:c r="B5" s="6" t="s">
        <x:v>50</x:v>
      </x:c>
      <x:c r="C5" s="6" t="s">
        <x:v>37</x:v>
      </x:c>
      <x:c r="D5" s="7">
        <x:v>43785</x:v>
      </x:c>
      <x:c r="E5" s="6" t="s">
        <x:v>53</x:v>
      </x:c>
      <x:c r="F5" s="8">
        <x:v>150000</x:v>
      </x:c>
    </x:row>
    <x:row r="6" spans="1:6">
      <x:c r="A6" s="6" t="s">
        <x:v>152</x:v>
      </x:c>
      <x:c r="B6" s="6" t="s">
        <x:v>45</x:v>
      </x:c>
      <x:c r="C6" s="6" t="s">
        <x:v>37</x:v>
      </x:c>
      <x:c r="D6" s="7">
        <x:v>43785</x:v>
      </x:c>
      <x:c r="E6" s="6" t="s">
        <x:v>31</x:v>
      </x:c>
      <x:c r="F6" s="8">
        <x:v>150000</x:v>
      </x:c>
    </x:row>
    <x:row r="7" spans="1:6">
      <x:c r="A7" s="6" t="s">
        <x:v>153</x:v>
      </x:c>
      <x:c r="B7" s="6" t="s">
        <x:v>51</x:v>
      </x:c>
      <x:c r="C7" s="6" t="s">
        <x:v>37</x:v>
      </x:c>
      <x:c r="D7" s="7">
        <x:v>43787</x:v>
      </x:c>
      <x:c r="E7" s="6" t="s">
        <x:v>31</x:v>
      </x:c>
      <x:c r="F7" s="8">
        <x:v>150000</x:v>
      </x:c>
    </x:row>
    <x:row r="8" spans="1:6">
      <x:c r="A8" s="6" t="s">
        <x:v>173</x:v>
      </x:c>
      <x:c r="B8" s="6" t="s">
        <x:v>46</x:v>
      </x:c>
      <x:c r="C8" s="6" t="s">
        <x:v>43</x:v>
      </x:c>
      <x:c r="D8" s="7">
        <x:v>43788</x:v>
      </x:c>
      <x:c r="E8" s="6" t="s">
        <x:v>31</x:v>
      </x:c>
      <x:c r="F8" s="8">
        <x:v>150000</x:v>
      </x:c>
    </x:row>
    <x:row r="9" spans="1:6">
      <x:c r="A9" s="6" t="s">
        <x:v>154</x:v>
      </x:c>
      <x:c r="B9" s="6" t="s">
        <x:v>34</x:v>
      </x:c>
      <x:c r="C9" s="6" t="s">
        <x:v>43</x:v>
      </x:c>
      <x:c r="D9" s="7">
        <x:v>43789</x:v>
      </x:c>
      <x:c r="E9" s="6" t="s">
        <x:v>31</x:v>
      </x:c>
      <x:c r="F9" s="8">
        <x:v>250000</x:v>
      </x:c>
    </x:row>
    <x:row r="10" spans="1:6">
      <x:c r="A10" s="6" t="s">
        <x:v>174</x:v>
      </x:c>
      <x:c r="B10" s="6" t="s">
        <x:v>52</x:v>
      </x:c>
      <x:c r="C10" s="6" t="s">
        <x:v>43</x:v>
      </x:c>
      <x:c r="D10" s="7">
        <x:v>43789</x:v>
      </x:c>
      <x:c r="E10" s="6" t="s">
        <x:v>31</x:v>
      </x:c>
      <x:c r="F10" s="8">
        <x:v>250000</x:v>
      </x:c>
    </x:row>
    <x:row r="11" spans="1:6">
      <x:c r="A11" s="6" t="s">
        <x:v>161</x:v>
      </x:c>
      <x:c r="B11" s="6" t="s">
        <x:v>36</x:v>
      </x:c>
      <x:c r="C11" s="6" t="s">
        <x:v>43</x:v>
      </x:c>
      <x:c r="D11" s="7">
        <x:v>43789</x:v>
      </x:c>
      <x:c r="E11" s="6" t="s">
        <x:v>53</x:v>
      </x:c>
      <x:c r="F11" s="8">
        <x:v>250000</x:v>
      </x:c>
    </x:row>
    <x:row r="12" spans="1:6">
      <x:c r="A12" s="6" t="s">
        <x:v>155</x:v>
      </x:c>
      <x:c r="B12" s="6" t="s">
        <x:v>33</x:v>
      </x:c>
      <x:c r="C12" s="6" t="s">
        <x:v>39</x:v>
      </x:c>
      <x:c r="D12" s="7">
        <x:v>43789</x:v>
      </x:c>
      <x:c r="E12" s="6" t="s">
        <x:v>31</x:v>
      </x:c>
      <x:c r="F12" s="8">
        <x:v>250000</x:v>
      </x:c>
    </x:row>
    <x:row r="13" spans="1:6">
      <x:c r="A13" s="6" t="s">
        <x:v>197</x:v>
      </x:c>
      <x:c r="B13" s="6" t="s">
        <x:v>48</x:v>
      </x:c>
      <x:c r="C13" s="6" t="s">
        <x:v>39</x:v>
      </x:c>
      <x:c r="D13" s="7">
        <x:v>43789</x:v>
      </x:c>
      <x:c r="E13" s="6" t="s">
        <x:v>31</x:v>
      </x:c>
      <x:c r="F13" s="8">
        <x:v>300000</x:v>
      </x:c>
    </x:row>
    <x:row r="14" spans="1:6">
      <x:c r="A14" s="6" t="s">
        <x:v>192</x:v>
      </x:c>
      <x:c r="B14" s="6" t="s">
        <x:v>54</x:v>
      </x:c>
      <x:c r="C14" s="6" t="s">
        <x:v>39</x:v>
      </x:c>
      <x:c r="D14" s="7">
        <x:v>43773</x:v>
      </x:c>
      <x:c r="E14" s="6" t="s">
        <x:v>53</x:v>
      </x:c>
      <x:c r="F14" s="8">
        <x:v>250000</x:v>
      </x:c>
    </x:row>
    <x:row r="15" spans="1:6">
      <x:c r="A15" s="6" t="s">
        <x:v>199</x:v>
      </x:c>
      <x:c r="B15" s="6" t="s">
        <x:v>35</x:v>
      </x:c>
      <x:c r="C15" s="6" t="s">
        <x:v>39</x:v>
      </x:c>
      <x:c r="D15" s="7">
        <x:v>43774</x:v>
      </x:c>
      <x:c r="E15" s="6" t="s">
        <x:v>53</x:v>
      </x:c>
      <x:c r="F15" s="8">
        <x:v>250000</x:v>
      </x:c>
    </x:row>
    <x:row r="16" spans="14:16">
      <x:c r="N16" s="9"/>
      <x:c r="O16" s="9"/>
      <x:c r="P16" s="9"/>
    </x:row>
    <x:row r="17" spans="1:16">
      <x:c r="A17" s="6" t="s">
        <x:v>172</x:v>
      </x:c>
      <x:c r="B17" s="6" t="s">
        <x:v>47</x:v>
      </x:c>
      <x:c r="N17" s="9"/>
      <x:c r="O17" s="9"/>
      <x:c r="P17" s="9"/>
    </x:row>
    <x:row r="18" spans="1:2">
      <x:c r="A18" s="6" t="s">
        <x:v>43</x:v>
      </x:c>
      <x:c r="B18" s="6" t="s">
        <x:v>230</x:v>
      </x:c>
    </x:row>
    <x:row r="21" spans="1:6">
      <x:c r="A21" s="6" t="s">
        <x:v>24</x:v>
      </x:c>
      <x:c r="B21" s="6" t="s">
        <x:v>23</x:v>
      </x:c>
      <x:c r="C21" s="6" t="s">
        <x:v>172</x:v>
      </x:c>
      <x:c r="D21" s="7" t="s">
        <x:v>56</x:v>
      </x:c>
      <x:c r="E21" s="6" t="s">
        <x:v>47</x:v>
      </x:c>
      <x:c r="F21" s="8" t="s">
        <x:v>183</x:v>
      </x:c>
    </x:row>
    <x:row r="22" spans="1:6">
      <x:c r="A22" s="6" t="s">
        <x:v>173</x:v>
      </x:c>
      <x:c r="B22" s="6" t="s">
        <x:v>46</x:v>
      </x:c>
      <x:c r="C22" s="6" t="s">
        <x:v>43</x:v>
      </x:c>
      <x:c r="D22" s="7">
        <x:v>43788</x:v>
      </x:c>
      <x:c r="E22" s="6" t="s">
        <x:v>31</x:v>
      </x:c>
      <x:c r="F22" s="8">
        <x:v>150000</x:v>
      </x:c>
    </x:row>
    <x:row r="23" spans="1:6">
      <x:c r="A23" s="6" t="s">
        <x:v>154</x:v>
      </x:c>
      <x:c r="B23" s="6" t="s">
        <x:v>34</x:v>
      </x:c>
      <x:c r="C23" s="6" t="s">
        <x:v>43</x:v>
      </x:c>
      <x:c r="D23" s="7">
        <x:v>43789</x:v>
      </x:c>
      <x:c r="E23" s="6" t="s">
        <x:v>31</x:v>
      </x:c>
      <x:c r="F23" s="8">
        <x:v>250000</x:v>
      </x:c>
    </x:row>
    <x:row r="24" spans="1:6">
      <x:c r="A24" s="6" t="s">
        <x:v>174</x:v>
      </x:c>
      <x:c r="B24" s="6" t="s">
        <x:v>52</x:v>
      </x:c>
      <x:c r="C24" s="6" t="s">
        <x:v>43</x:v>
      </x:c>
      <x:c r="D24" s="7">
        <x:v>43789</x:v>
      </x:c>
      <x:c r="E24" s="6" t="s">
        <x:v>31</x:v>
      </x:c>
      <x:c r="F24" s="8">
        <x:v>250000</x:v>
      </x:c>
    </x:row>
  </x:sheetData>
  <x:mergeCells count="1">
    <x:mergeCell ref="A1:G1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M18"/>
  <x:sheetViews>
    <x:sheetView topLeftCell="A1" zoomScaleNormal="100" zoomScaleSheetLayoutView="75" workbookViewId="0">
      <x:selection activeCell="G2" activeCellId="0" sqref="G2:G2"/>
    </x:sheetView>
  </x:sheetViews>
  <x:sheetFormatPr defaultColWidth="9" defaultRowHeight="16.39999999999999857891"/>
  <x:cols>
    <x:col min="1" max="1" width="7.125" bestFit="1" customWidth="1"/>
    <x:col min="2" max="2" width="8.875" customWidth="1"/>
    <x:col min="3" max="3" width="7" customWidth="1"/>
    <x:col min="4" max="4" width="13.1875" customWidth="1"/>
    <x:col min="5" max="5" width="17.1875" customWidth="1"/>
    <x:col min="6" max="6" width="10.625" customWidth="1"/>
    <x:col min="8" max="9" width="15.125" customWidth="1"/>
    <x:col min="11" max="12" width="12.5" customWidth="1"/>
  </x:cols>
  <x:sheetData>
    <x:row r="1" spans="1:6" ht="22.05000000000000071054">
      <x:c r="A1" s="38" t="s">
        <x:v>7</x:v>
      </x:c>
      <x:c r="B1" s="38"/>
      <x:c r="C1" s="38"/>
      <x:c r="D1" s="38"/>
      <x:c r="E1" s="38"/>
      <x:c r="F1" s="38"/>
    </x:row>
    <x:row r="3" spans="1:9">
      <x:c r="A3" s="10" t="s">
        <x:v>57</x:v>
      </x:c>
      <x:c r="B3" s="11" t="s">
        <x:v>40</x:v>
      </x:c>
      <x:c r="C3" s="11" t="s">
        <x:v>58</x:v>
      </x:c>
      <x:c r="D3" s="11" t="s">
        <x:v>198</x:v>
      </x:c>
      <x:c r="E3" s="11" t="s">
        <x:v>32</x:v>
      </x:c>
      <x:c r="F3" s="12" t="s">
        <x:v>184</x:v>
      </x:c>
      <x:c r="H3" s="11" t="s">
        <x:v>58</x:v>
      </x:c>
      <x:c r="I3" s="11" t="s">
        <x:v>198</x:v>
      </x:c>
    </x:row>
    <x:row r="4" spans="1:9">
      <x:c r="A4" s="13" t="s">
        <x:v>59</x:v>
      </x:c>
      <x:c r="B4" s="14" t="s">
        <x:v>49</x:v>
      </x:c>
      <x:c r="C4" s="14" t="s">
        <x:v>55</x:v>
      </x:c>
      <x:c r="D4" s="15">
        <x:v>39121</x:v>
      </x:c>
      <x:c r="E4" s="14" t="s">
        <x:v>12</x:v>
      </x:c>
      <x:c r="F4" s="16">
        <x:v>15</x:v>
      </x:c>
      <x:c r="H4" s="14" t="s">
        <x:v>60</x:v>
      </x:c>
      <x:c r="I4" s="15" t="s">
        <x:v>228</x:v>
      </x:c>
    </x:row>
    <x:row r="5" spans="1:6">
      <x:c r="A5" s="13" t="s">
        <x:v>59</x:v>
      </x:c>
      <x:c r="B5" s="14" t="s">
        <x:v>41</x:v>
      </x:c>
      <x:c r="C5" s="14" t="s">
        <x:v>60</x:v>
      </x:c>
      <x:c r="D5" s="15">
        <x:v>39223</x:v>
      </x:c>
      <x:c r="E5" s="14" t="s">
        <x:v>11</x:v>
      </x:c>
      <x:c r="F5" s="16">
        <x:v>13</x:v>
      </x:c>
    </x:row>
    <x:row r="6" spans="1:13">
      <x:c r="A6" s="13" t="s">
        <x:v>59</x:v>
      </x:c>
      <x:c r="B6" s="14" t="s">
        <x:v>41</x:v>
      </x:c>
      <x:c r="C6" s="14" t="s">
        <x:v>60</x:v>
      </x:c>
      <x:c r="D6" s="15">
        <x:v>39304</x:v>
      </x:c>
      <x:c r="E6" s="14" t="s">
        <x:v>11</x:v>
      </x:c>
      <x:c r="F6" s="16">
        <x:v>12</x:v>
      </x:c>
      <x:c r="H6" s="10" t="s">
        <x:v>57</x:v>
      </x:c>
      <x:c r="I6" s="11" t="s">
        <x:v>40</x:v>
      </x:c>
      <x:c r="J6" s="11" t="s">
        <x:v>58</x:v>
      </x:c>
      <x:c r="K6" s="11" t="s">
        <x:v>198</x:v>
      </x:c>
      <x:c r="L6" s="11" t="s">
        <x:v>32</x:v>
      </x:c>
      <x:c r="M6" s="12" t="s">
        <x:v>184</x:v>
      </x:c>
    </x:row>
    <x:row r="7" spans="1:13">
      <x:c r="A7" s="13" t="s">
        <x:v>59</x:v>
      </x:c>
      <x:c r="B7" s="14" t="s">
        <x:v>30</x:v>
      </x:c>
      <x:c r="C7" s="14" t="s">
        <x:v>60</x:v>
      </x:c>
      <x:c r="D7" s="15">
        <x:v>39262</x:v>
      </x:c>
      <x:c r="E7" s="14" t="s">
        <x:v>13</x:v>
      </x:c>
      <x:c r="F7" s="16">
        <x:v>15</x:v>
      </x:c>
      <x:c r="H7" s="13" t="s">
        <x:v>59</x:v>
      </x:c>
      <x:c r="I7" s="14" t="s">
        <x:v>41</x:v>
      </x:c>
      <x:c r="J7" s="14" t="s">
        <x:v>60</x:v>
      </x:c>
      <x:c r="K7" s="15">
        <x:v>39304</x:v>
      </x:c>
      <x:c r="L7" s="14" t="s">
        <x:v>11</x:v>
      </x:c>
      <x:c r="M7" s="16">
        <x:v>12</x:v>
      </x:c>
    </x:row>
    <x:row r="8" spans="1:13">
      <x:c r="A8" s="13" t="s">
        <x:v>59</x:v>
      </x:c>
      <x:c r="B8" s="14" t="s">
        <x:v>61</x:v>
      </x:c>
      <x:c r="C8" s="14" t="s">
        <x:v>60</x:v>
      </x:c>
      <x:c r="D8" s="15">
        <x:v>39137</x:v>
      </x:c>
      <x:c r="E8" s="14" t="s">
        <x:v>3</x:v>
      </x:c>
      <x:c r="F8" s="16">
        <x:v>14</x:v>
      </x:c>
      <x:c r="H8" s="13" t="s">
        <x:v>66</x:v>
      </x:c>
      <x:c r="I8" s="14" t="s">
        <x:v>85</x:v>
      </x:c>
      <x:c r="J8" s="14" t="s">
        <x:v>60</x:v>
      </x:c>
      <x:c r="K8" s="15">
        <x:v>39440</x:v>
      </x:c>
      <x:c r="L8" s="14" t="s">
        <x:v>9</x:v>
      </x:c>
      <x:c r="M8" s="16">
        <x:v>9</x:v>
      </x:c>
    </x:row>
    <x:row r="9" spans="1:13">
      <x:c r="A9" s="13" t="s">
        <x:v>38</x:v>
      </x:c>
      <x:c r="B9" s="14" t="s">
        <x:v>42</x:v>
      </x:c>
      <x:c r="C9" s="14" t="s">
        <x:v>60</x:v>
      </x:c>
      <x:c r="D9" s="15">
        <x:v>39116</x:v>
      </x:c>
      <x:c r="E9" s="14" t="s">
        <x:v>8</x:v>
      </x:c>
      <x:c r="F9" s="16">
        <x:v>10</x:v>
      </x:c>
      <x:c r="H9" s="13" t="s">
        <x:v>66</x:v>
      </x:c>
      <x:c r="I9" s="14" t="s">
        <x:v>67</x:v>
      </x:c>
      <x:c r="J9" s="14" t="s">
        <x:v>60</x:v>
      </x:c>
      <x:c r="K9" s="15">
        <x:v>39365</x:v>
      </x:c>
      <x:c r="L9" s="17"/>
      <x:c r="M9" s="16">
        <x:v>15</x:v>
      </x:c>
    </x:row>
    <x:row r="10" spans="1:6">
      <x:c r="A10" s="13" t="s">
        <x:v>38</x:v>
      </x:c>
      <x:c r="B10" s="14" t="s">
        <x:v>86</x:v>
      </x:c>
      <x:c r="C10" s="14" t="s">
        <x:v>55</x:v>
      </x:c>
      <x:c r="D10" s="15">
        <x:v>39189</x:v>
      </x:c>
      <x:c r="E10" s="14" t="s">
        <x:v>2</x:v>
      </x:c>
      <x:c r="F10" s="16">
        <x:v>15</x:v>
      </x:c>
    </x:row>
    <x:row r="11" spans="1:6">
      <x:c r="A11" s="13" t="s">
        <x:v>38</x:v>
      </x:c>
      <x:c r="B11" s="14" t="s">
        <x:v>80</x:v>
      </x:c>
      <x:c r="C11" s="14" t="s">
        <x:v>55</x:v>
      </x:c>
      <x:c r="D11" s="15">
        <x:v>39426</x:v>
      </x:c>
      <x:c r="E11" s="14" t="s">
        <x:v>5</x:v>
      </x:c>
      <x:c r="F11" s="16">
        <x:v>13</x:v>
      </x:c>
    </x:row>
    <x:row r="12" spans="1:6">
      <x:c r="A12" s="13" t="s">
        <x:v>38</x:v>
      </x:c>
      <x:c r="B12" s="14" t="s">
        <x:v>88</x:v>
      </x:c>
      <x:c r="C12" s="14" t="s">
        <x:v>55</x:v>
      </x:c>
      <x:c r="D12" s="15">
        <x:v>39121</x:v>
      </x:c>
      <x:c r="E12" s="17"/>
      <x:c r="F12" s="16">
        <x:v>15</x:v>
      </x:c>
    </x:row>
    <x:row r="13" spans="1:6">
      <x:c r="A13" s="13" t="s">
        <x:v>38</x:v>
      </x:c>
      <x:c r="B13" s="14" t="s">
        <x:v>81</x:v>
      </x:c>
      <x:c r="C13" s="14" t="s">
        <x:v>55</x:v>
      </x:c>
      <x:c r="D13" s="15">
        <x:v>39303</x:v>
      </x:c>
      <x:c r="E13" s="14" t="s">
        <x:v>6</x:v>
      </x:c>
      <x:c r="F13" s="16">
        <x:v>14</x:v>
      </x:c>
    </x:row>
    <x:row r="14" spans="1:6">
      <x:c r="A14" s="13" t="s">
        <x:v>66</x:v>
      </x:c>
      <x:c r="B14" s="14" t="s">
        <x:v>65</x:v>
      </x:c>
      <x:c r="C14" s="14" t="s">
        <x:v>55</x:v>
      </x:c>
      <x:c r="D14" s="15">
        <x:v>39084</x:v>
      </x:c>
      <x:c r="E14" s="14" t="s">
        <x:v>4</x:v>
      </x:c>
      <x:c r="F14" s="16">
        <x:v>14</x:v>
      </x:c>
    </x:row>
    <x:row r="15" spans="1:6">
      <x:c r="A15" s="13" t="s">
        <x:v>66</x:v>
      </x:c>
      <x:c r="B15" s="14" t="s">
        <x:v>93</x:v>
      </x:c>
      <x:c r="C15" s="14" t="s">
        <x:v>55</x:v>
      </x:c>
      <x:c r="D15" s="15">
        <x:v>39331</x:v>
      </x:c>
      <x:c r="E15" s="14" t="s">
        <x:v>10</x:v>
      </x:c>
      <x:c r="F15" s="16">
        <x:v>12</x:v>
      </x:c>
    </x:row>
    <x:row r="16" spans="1:6">
      <x:c r="A16" s="13" t="s">
        <x:v>66</x:v>
      </x:c>
      <x:c r="B16" s="14" t="s">
        <x:v>85</x:v>
      </x:c>
      <x:c r="C16" s="14" t="s">
        <x:v>60</x:v>
      </x:c>
      <x:c r="D16" s="15">
        <x:v>39440</x:v>
      </x:c>
      <x:c r="E16" s="14" t="s">
        <x:v>9</x:v>
      </x:c>
      <x:c r="F16" s="16">
        <x:v>9</x:v>
      </x:c>
    </x:row>
    <x:row r="17" spans="1:6">
      <x:c r="A17" s="13" t="s">
        <x:v>66</x:v>
      </x:c>
      <x:c r="B17" s="14" t="s">
        <x:v>67</x:v>
      </x:c>
      <x:c r="C17" s="14" t="s">
        <x:v>60</x:v>
      </x:c>
      <x:c r="D17" s="15">
        <x:v>39365</x:v>
      </x:c>
      <x:c r="E17" s="17"/>
      <x:c r="F17" s="16">
        <x:v>15</x:v>
      </x:c>
    </x:row>
    <x:row r="18" spans="1:6">
      <x:c r="A18" s="18" t="s">
        <x:v>66</x:v>
      </x:c>
      <x:c r="B18" s="19" t="s">
        <x:v>89</x:v>
      </x:c>
      <x:c r="C18" s="19" t="s">
        <x:v>55</x:v>
      </x:c>
      <x:c r="D18" s="20">
        <x:v>39334</x:v>
      </x:c>
      <x:c r="E18" s="19" t="s">
        <x:v>3</x:v>
      </x:c>
      <x:c r="F18" s="21">
        <x:v>15</x:v>
      </x:c>
    </x:row>
  </x:sheetData>
  <x:mergeCells count="1">
    <x:mergeCell ref="A1:F1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G29"/>
  <x:sheetViews>
    <x:sheetView topLeftCell="A7" zoomScaleNormal="100" zoomScaleSheetLayoutView="75" workbookViewId="0">
      <x:selection activeCell="H21" activeCellId="0" sqref="H21:H21"/>
    </x:sheetView>
  </x:sheetViews>
  <x:sheetFormatPr defaultColWidth="9" defaultRowHeight="16.39999999999999857891"/>
  <x:cols>
    <x:col min="1" max="1" width="13.6875" customWidth="1"/>
    <x:col min="2" max="2" width="15.125" customWidth="1"/>
    <x:col min="3" max="3" width="9.6875" customWidth="1"/>
    <x:col min="4" max="4" width="11" bestFit="1" customWidth="1"/>
    <x:col min="5" max="5" width="12.5" bestFit="1" customWidth="1"/>
    <x:col min="6" max="7" width="11" bestFit="1" customWidth="1"/>
  </x:cols>
  <x:sheetData>
    <x:row r="1" spans="1:1">
      <x:c r="A1" t="s">
        <x:v>201</x:v>
      </x:c>
    </x:row>
    <x:row r="2" spans="1:7">
      <x:c r="A2" s="1" t="s">
        <x:v>74</x:v>
      </x:c>
      <x:c r="B2" s="1" t="s">
        <x:v>198</x:v>
      </x:c>
      <x:c r="C2" s="1" t="s">
        <x:v>185</x:v>
      </x:c>
      <x:c r="D2" s="1" t="s">
        <x:v>194</x:v>
      </x:c>
      <x:c r="E2" s="1" t="s">
        <x:v>200</x:v>
      </x:c>
      <x:c r="F2" s="1" t="s">
        <x:v>188</x:v>
      </x:c>
      <x:c r="G2" s="1" t="s">
        <x:v>193</x:v>
      </x:c>
    </x:row>
    <x:row r="3" spans="1:7">
      <x:c r="A3" s="22" t="s">
        <x:v>68</x:v>
      </x:c>
      <x:c r="B3" s="22">
        <x:v>15044</x:v>
      </x:c>
      <x:c r="C3" s="1" t="s">
        <x:v>84</x:v>
      </x:c>
      <x:c r="D3" s="1" t="s">
        <x:v>202</x:v>
      </x:c>
      <x:c r="E3" s="22">
        <x:v>41743</x:v>
      </x:c>
      <x:c r="F3" s="23">
        <x:v>7560</x:v>
      </x:c>
      <x:c r="G3" s="23">
        <x:v>3780</x:v>
      </x:c>
    </x:row>
    <x:row r="4" spans="1:7">
      <x:c r="A4" s="22" t="s">
        <x:v>77</x:v>
      </x:c>
      <x:c r="B4" s="22">
        <x:v>14450</x:v>
      </x:c>
      <x:c r="C4" s="1" t="s">
        <x:v>18</x:v>
      </x:c>
      <x:c r="D4" s="1" t="s">
        <x:v>203</x:v>
      </x:c>
      <x:c r="E4" s="22">
        <x:v>41743</x:v>
      </x:c>
      <x:c r="F4" s="23">
        <x:v>5700</x:v>
      </x:c>
      <x:c r="G4" s="23">
        <x:v>2850</x:v>
      </x:c>
    </x:row>
    <x:row r="5" spans="1:7">
      <x:c r="A5" s="22" t="s">
        <x:v>87</x:v>
      </x:c>
      <x:c r="B5" s="22">
        <x:v>11828</x:v>
      </x:c>
      <x:c r="C5" s="1" t="s">
        <x:v>186</x:v>
      </x:c>
      <x:c r="D5" s="1" t="s">
        <x:v>204</x:v>
      </x:c>
      <x:c r="E5" s="22">
        <x:v>41744</x:v>
      </x:c>
      <x:c r="F5" s="23">
        <x:v>2970</x:v>
      </x:c>
      <x:c r="G5" s="23">
        <x:v>1485</x:v>
      </x:c>
    </x:row>
    <x:row r="6" spans="1:7">
      <x:c r="A6" s="22" t="s">
        <x:v>75</x:v>
      </x:c>
      <x:c r="B6" s="22">
        <x:v>29344</x:v>
      </x:c>
      <x:c r="C6" s="1" t="s">
        <x:v>84</x:v>
      </x:c>
      <x:c r="D6" s="1" t="s">
        <x:v>205</x:v>
      </x:c>
      <x:c r="E6" s="22">
        <x:v>41745</x:v>
      </x:c>
      <x:c r="F6" s="23">
        <x:v>2850</x:v>
      </x:c>
      <x:c r="G6" s="23">
        <x:v>1425</x:v>
      </x:c>
    </x:row>
    <x:row r="7" spans="1:7">
      <x:c r="A7" s="22" t="s">
        <x:v>82</x:v>
      </x:c>
      <x:c r="B7" s="22">
        <x:v>37081</x:v>
      </x:c>
      <x:c r="C7" s="1" t="s">
        <x:v>84</x:v>
      </x:c>
      <x:c r="D7" s="1" t="s">
        <x:v>206</x:v>
      </x:c>
      <x:c r="E7" s="22">
        <x:v>41745</x:v>
      </x:c>
      <x:c r="F7" s="23">
        <x:v>6330</x:v>
      </x:c>
      <x:c r="G7" s="23">
        <x:v>3165</x:v>
      </x:c>
    </x:row>
    <x:row r="8" spans="1:7">
      <x:c r="A8" s="22" t="s">
        <x:v>63</x:v>
      </x:c>
      <x:c r="B8" s="22">
        <x:v>32745</x:v>
      </x:c>
      <x:c r="C8" s="1" t="s">
        <x:v>84</x:v>
      </x:c>
      <x:c r="D8" s="1" t="s">
        <x:v>212</x:v>
      </x:c>
      <x:c r="E8" s="22">
        <x:v>41747</x:v>
      </x:c>
      <x:c r="F8" s="23">
        <x:v>3600</x:v>
      </x:c>
      <x:c r="G8" s="23">
        <x:v>1800</x:v>
      </x:c>
    </x:row>
    <x:row r="9" spans="1:7">
      <x:c r="A9" s="22" t="s">
        <x:v>71</x:v>
      </x:c>
      <x:c r="B9" s="22">
        <x:v>26388</x:v>
      </x:c>
      <x:c r="C9" s="1" t="s">
        <x:v>84</x:v>
      </x:c>
      <x:c r="D9" s="1" t="s">
        <x:v>215</x:v>
      </x:c>
      <x:c r="E9" s="22">
        <x:v>41748</x:v>
      </x:c>
      <x:c r="F9" s="23">
        <x:v>19280</x:v>
      </x:c>
      <x:c r="G9" s="23">
        <x:v>5784</x:v>
      </x:c>
    </x:row>
    <x:row r="10" spans="1:7">
      <x:c r="A10" s="22" t="s">
        <x:v>64</x:v>
      </x:c>
      <x:c r="B10" s="22">
        <x:v>14569</x:v>
      </x:c>
      <x:c r="C10" s="1" t="s">
        <x:v>186</x:v>
      </x:c>
      <x:c r="D10" s="1" t="s">
        <x:v>208</x:v>
      </x:c>
      <x:c r="E10" s="22">
        <x:v>41749</x:v>
      </x:c>
      <x:c r="F10" s="23">
        <x:v>5100</x:v>
      </x:c>
      <x:c r="G10" s="23">
        <x:v>2550</x:v>
      </x:c>
    </x:row>
    <x:row r="11" spans="1:7">
      <x:c r="A11" s="22" t="s">
        <x:v>73</x:v>
      </x:c>
      <x:c r="B11" s="22">
        <x:v>39374</x:v>
      </x:c>
      <x:c r="C11" s="1" t="s">
        <x:v>84</x:v>
      </x:c>
      <x:c r="D11" s="1" t="s">
        <x:v>210</x:v>
      </x:c>
      <x:c r="E11" s="22">
        <x:v>41750</x:v>
      </x:c>
      <x:c r="F11" s="23">
        <x:v>2700</x:v>
      </x:c>
      <x:c r="G11" s="23">
        <x:v>1350</x:v>
      </x:c>
    </x:row>
    <x:row r="12" spans="1:7">
      <x:c r="A12" s="22" t="s">
        <x:v>90</x:v>
      </x:c>
      <x:c r="B12" s="22">
        <x:v>37018</x:v>
      </x:c>
      <x:c r="C12" s="1" t="s">
        <x:v>18</x:v>
      </x:c>
      <x:c r="D12" s="1" t="s">
        <x:v>213</x:v>
      </x:c>
      <x:c r="E12" s="22">
        <x:v>41752</x:v>
      </x:c>
      <x:c r="F12" s="23">
        <x:v>11880</x:v>
      </x:c>
      <x:c r="G12" s="23">
        <x:v>3564</x:v>
      </x:c>
    </x:row>
    <x:row r="13" spans="1:7">
      <x:c r="A13" s="22" t="s">
        <x:v>83</x:v>
      </x:c>
      <x:c r="B13" s="22">
        <x:v>24531</x:v>
      </x:c>
      <x:c r="C13" s="1" t="s">
        <x:v>84</x:v>
      </x:c>
      <x:c r="D13" s="1" t="s">
        <x:v>217</x:v>
      </x:c>
      <x:c r="E13" s="22">
        <x:v>41755</x:v>
      </x:c>
      <x:c r="F13" s="23">
        <x:v>8850</x:v>
      </x:c>
      <x:c r="G13" s="23">
        <x:v>4425</x:v>
      </x:c>
    </x:row>
    <x:row r="14" spans="1:7">
      <x:c r="A14" s="22" t="s">
        <x:v>92</x:v>
      </x:c>
      <x:c r="B14" s="22">
        <x:v>28305</x:v>
      </x:c>
      <x:c r="C14" s="1" t="s">
        <x:v>84</x:v>
      </x:c>
      <x:c r="D14" s="1" t="s">
        <x:v>209</x:v>
      </x:c>
      <x:c r="E14" s="22">
        <x:v>41757</x:v>
      </x:c>
      <x:c r="F14" s="23">
        <x:v>4050</x:v>
      </x:c>
      <x:c r="G14" s="23">
        <x:v>2025</x:v>
      </x:c>
    </x:row>
    <x:row r="15" spans="1:7">
      <x:c r="A15" s="22" t="s">
        <x:v>69</x:v>
      </x:c>
      <x:c r="B15" s="22">
        <x:v>11661</x:v>
      </x:c>
      <x:c r="C15" s="1" t="s">
        <x:v>186</x:v>
      </x:c>
      <x:c r="D15" s="1" t="s">
        <x:v>211</x:v>
      </x:c>
      <x:c r="E15" s="22">
        <x:v>41758</x:v>
      </x:c>
      <x:c r="F15" s="23">
        <x:v>33660</x:v>
      </x:c>
      <x:c r="G15" s="23">
        <x:v>3366</x:v>
      </x:c>
    </x:row>
    <x:row r="16" spans="1:7">
      <x:c r="A16" s="22" t="s">
        <x:v>78</x:v>
      </x:c>
      <x:c r="B16" s="22">
        <x:v>37300</x:v>
      </x:c>
      <x:c r="C16" s="1" t="s">
        <x:v>186</x:v>
      </x:c>
      <x:c r="D16" s="1" t="s">
        <x:v>216</x:v>
      </x:c>
      <x:c r="E16" s="22">
        <x:v>41759</x:v>
      </x:c>
      <x:c r="F16" s="23">
        <x:v>29970</x:v>
      </x:c>
      <x:c r="G16" s="23">
        <x:v>8991</x:v>
      </x:c>
    </x:row>
    <x:row r="17" spans="1:7">
      <x:c r="A17" s="22" t="s">
        <x:v>79</x:v>
      </x:c>
      <x:c r="B17" s="22">
        <x:v>35058</x:v>
      </x:c>
      <x:c r="C17" s="1" t="s">
        <x:v>18</x:v>
      </x:c>
      <x:c r="D17" s="1" t="s">
        <x:v>214</x:v>
      </x:c>
      <x:c r="E17" s="22">
        <x:v>41759</x:v>
      </x:c>
      <x:c r="F17" s="23">
        <x:v>11400</x:v>
      </x:c>
      <x:c r="G17" s="23">
        <x:v>3420</x:v>
      </x:c>
    </x:row>
    <x:row r="18" spans="1:7">
      <x:c r="A18" s="22" t="s">
        <x:v>91</x:v>
      </x:c>
      <x:c r="B18" s="22">
        <x:v>25653</x:v>
      </x:c>
      <x:c r="C18" s="1" t="s">
        <x:v>84</x:v>
      </x:c>
      <x:c r="D18" s="1" t="s">
        <x:v>207</x:v>
      </x:c>
      <x:c r="E18" s="22">
        <x:v>41760</x:v>
      </x:c>
      <x:c r="F18" s="23">
        <x:v>1350</x:v>
      </x:c>
      <x:c r="G18" s="23">
        <x:v>675</x:v>
      </x:c>
    </x:row>
    <x:row r="19" spans="1:7">
      <x:c r="A19" s="22" t="s">
        <x:v>70</x:v>
      </x:c>
      <x:c r="B19" s="22">
        <x:v>12305</x:v>
      </x:c>
      <x:c r="C19" s="1" t="s">
        <x:v>186</x:v>
      </x:c>
      <x:c r="D19" s="1" t="s">
        <x:v>218</x:v>
      </x:c>
      <x:c r="E19" s="22">
        <x:v>41760</x:v>
      </x:c>
      <x:c r="F19" s="23">
        <x:v>2700</x:v>
      </x:c>
      <x:c r="G19" s="23">
        <x:v>1350</x:v>
      </x:c>
    </x:row>
    <x:row r="20" spans="1:7">
      <x:c r="A20" s="22" t="s">
        <x:v>62</x:v>
      </x:c>
      <x:c r="B20" s="22">
        <x:v>38119</x:v>
      </x:c>
      <x:c r="C20" s="1" t="s">
        <x:v>18</x:v>
      </x:c>
      <x:c r="D20" s="1" t="s">
        <x:v>220</x:v>
      </x:c>
      <x:c r="E20" s="22">
        <x:v>41761</x:v>
      </x:c>
      <x:c r="F20" s="23">
        <x:v>1980</x:v>
      </x:c>
      <x:c r="G20" s="23">
        <x:v>990</x:v>
      </x:c>
    </x:row>
    <x:row r="22" spans="1:2">
      <x:c r="A22" s="1" t="s">
        <x:v>200</x:v>
      </x:c>
      <x:c r="B22" s="1" t="s">
        <x:v>188</x:v>
      </x:c>
    </x:row>
    <x:row r="23" spans="1:2">
      <x:c r="A23" s="22" t="s">
        <x:v>229</x:v>
      </x:c>
      <x:c r="B23" s="3" t="s">
        <x:v>232</x:v>
      </x:c>
    </x:row>
    <x:row r="25" spans="1:7">
      <x:c r="A25" s="1" t="s">
        <x:v>74</x:v>
      </x:c>
      <x:c r="B25" s="1" t="s">
        <x:v>198</x:v>
      </x:c>
      <x:c r="C25" s="1" t="s">
        <x:v>185</x:v>
      </x:c>
      <x:c r="D25" s="1" t="s">
        <x:v>194</x:v>
      </x:c>
      <x:c r="E25" s="1" t="s">
        <x:v>200</x:v>
      </x:c>
      <x:c r="F25" s="1" t="s">
        <x:v>188</x:v>
      </x:c>
      <x:c r="G25" s="1" t="s">
        <x:v>193</x:v>
      </x:c>
    </x:row>
    <x:row r="26" spans="1:7">
      <x:c r="A26" s="22" t="s">
        <x:v>90</x:v>
      </x:c>
      <x:c r="B26" s="22">
        <x:v>37018</x:v>
      </x:c>
      <x:c r="C26" s="1" t="s">
        <x:v>18</x:v>
      </x:c>
      <x:c r="D26" s="1" t="s">
        <x:v>213</x:v>
      </x:c>
      <x:c r="E26" s="22">
        <x:v>41752</x:v>
      </x:c>
      <x:c r="F26" s="23">
        <x:v>11880</x:v>
      </x:c>
      <x:c r="G26" s="23">
        <x:v>3564</x:v>
      </x:c>
    </x:row>
    <x:row r="27" spans="1:7">
      <x:c r="A27" s="22" t="s">
        <x:v>69</x:v>
      </x:c>
      <x:c r="B27" s="22">
        <x:v>11661</x:v>
      </x:c>
      <x:c r="C27" s="1" t="s">
        <x:v>186</x:v>
      </x:c>
      <x:c r="D27" s="1" t="s">
        <x:v>211</x:v>
      </x:c>
      <x:c r="E27" s="22">
        <x:v>41758</x:v>
      </x:c>
      <x:c r="F27" s="23">
        <x:v>33660</x:v>
      </x:c>
      <x:c r="G27" s="23">
        <x:v>3366</x:v>
      </x:c>
    </x:row>
    <x:row r="28" spans="1:7">
      <x:c r="A28" s="22" t="s">
        <x:v>78</x:v>
      </x:c>
      <x:c r="B28" s="22">
        <x:v>37300</x:v>
      </x:c>
      <x:c r="C28" s="1" t="s">
        <x:v>186</x:v>
      </x:c>
      <x:c r="D28" s="1" t="s">
        <x:v>216</x:v>
      </x:c>
      <x:c r="E28" s="22">
        <x:v>41759</x:v>
      </x:c>
      <x:c r="F28" s="23">
        <x:v>29970</x:v>
      </x:c>
      <x:c r="G28" s="23">
        <x:v>8991</x:v>
      </x:c>
    </x:row>
    <x:row r="29" spans="1:7">
      <x:c r="A29" s="22" t="s">
        <x:v>79</x:v>
      </x:c>
      <x:c r="B29" s="22">
        <x:v>35058</x:v>
      </x:c>
      <x:c r="C29" s="1" t="s">
        <x:v>18</x:v>
      </x:c>
      <x:c r="D29" s="1" t="s">
        <x:v>214</x:v>
      </x:c>
      <x:c r="E29" s="22">
        <x:v>41759</x:v>
      </x:c>
      <x:c r="F29" s="23">
        <x:v>11400</x:v>
      </x:c>
      <x:c r="G29" s="23">
        <x:v>3420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A1:M18"/>
  <x:sheetViews>
    <x:sheetView topLeftCell="A1" zoomScaleNormal="100" zoomScaleSheetLayoutView="75" workbookViewId="0">
      <x:selection activeCell="G1" activeCellId="0" sqref="G1:G1"/>
    </x:sheetView>
  </x:sheetViews>
  <x:sheetFormatPr defaultColWidth="9" defaultRowHeight="16.39999999999999857891"/>
  <x:cols>
    <x:col min="7" max="7" width="9" customWidth="1"/>
  </x:cols>
  <x:sheetData>
    <x:row r="1" spans="1:1">
      <x:c r="A1" t="s">
        <x:v>219</x:v>
      </x:c>
    </x:row>
    <x:row r="3" spans="1:10">
      <x:c r="A3" s="1" t="s">
        <x:v>24</x:v>
      </x:c>
      <x:c r="B3" s="1" t="s">
        <x:v>23</x:v>
      </x:c>
      <x:c r="C3" s="1" t="s">
        <x:v>72</x:v>
      </x:c>
      <x:c r="D3" s="1" t="s">
        <x:v>76</x:v>
      </x:c>
      <x:c r="E3" s="1" t="s">
        <x:v>121</x:v>
      </x:c>
      <x:c r="F3" s="1" t="s">
        <x:v>102</x:v>
      </x:c>
      <x:c r="H3" s="1" t="s">
        <x:v>121</x:v>
      </x:c>
      <x:c r="I3" s="1" t="s">
        <x:v>121</x:v>
      </x:c>
      <x:c r="J3" s="1" t="s">
        <x:v>102</x:v>
      </x:c>
    </x:row>
    <x:row r="4" spans="1:10" ht="16.5" customHeight="1">
      <x:c r="A4" s="24">
        <x:v>1</x:v>
      </x:c>
      <x:c r="B4" s="25" t="s">
        <x:v>106</x:v>
      </x:c>
      <x:c r="C4" s="26">
        <x:v>45</x:v>
      </x:c>
      <x:c r="D4" s="26">
        <x:v>90</x:v>
      </x:c>
      <x:c r="E4" s="26">
        <x:v>90</x:v>
      </x:c>
      <x:c r="F4" s="27">
        <x:f>AVERAGE(C4:E4)</x:f>
        <x:v>75</x:v>
      </x:c>
      <x:c r="H4" s="26" t="s">
        <x:v>1</x:v>
      </x:c>
      <x:c r="I4" s="26" t="s">
        <x:v>231</x:v>
      </x:c>
      <x:c r="J4" s="27" t="s">
        <x:v>0</x:v>
      </x:c>
    </x:row>
    <x:row r="5" spans="1:6" ht="16.5" customHeight="1">
      <x:c r="A5" s="24">
        <x:v>2</x:v>
      </x:c>
      <x:c r="B5" s="25" t="s">
        <x:v>118</x:v>
      </x:c>
      <x:c r="C5" s="26">
        <x:v>55</x:v>
      </x:c>
      <x:c r="D5" s="26">
        <x:v>55</x:v>
      </x:c>
      <x:c r="E5" s="26">
        <x:v>45</x:v>
      </x:c>
      <x:c r="F5" s="27">
        <x:f t="shared" ref="F5:F18" si="0">AVERAGE(C5:E5)</x:f>
        <x:v>51.666666666666664</x:v>
      </x:c>
    </x:row>
    <x:row r="6" spans="1:13">
      <x:c r="A6" s="24">
        <x:v>3</x:v>
      </x:c>
      <x:c r="B6" s="25" t="s">
        <x:v>95</x:v>
      </x:c>
      <x:c r="C6" s="26">
        <x:v>90</x:v>
      </x:c>
      <x:c r="D6" s="26">
        <x:v>35</x:v>
      </x:c>
      <x:c r="E6" s="26">
        <x:v>35</x:v>
      </x:c>
      <x:c r="F6" s="27">
        <x:f t="shared" si="0"/>
        <x:v>53.333333333333336</x:v>
      </x:c>
      <x:c r="H6" s="1" t="s">
        <x:v>24</x:v>
      </x:c>
      <x:c r="I6" s="1" t="s">
        <x:v>23</x:v>
      </x:c>
      <x:c r="J6" s="1" t="s">
        <x:v>72</x:v>
      </x:c>
      <x:c r="K6" s="1" t="s">
        <x:v>76</x:v>
      </x:c>
      <x:c r="L6" s="1" t="s">
        <x:v>121</x:v>
      </x:c>
      <x:c r="M6" s="1" t="s">
        <x:v>102</x:v>
      </x:c>
    </x:row>
    <x:row r="7" spans="1:13">
      <x:c r="A7" s="24">
        <x:v>4</x:v>
      </x:c>
      <x:c r="B7" s="25" t="s">
        <x:v>99</x:v>
      </x:c>
      <x:c r="C7" s="26">
        <x:v>55</x:v>
      </x:c>
      <x:c r="D7" s="26">
        <x:v>80</x:v>
      </x:c>
      <x:c r="E7" s="26">
        <x:v>65</x:v>
      </x:c>
      <x:c r="F7" s="27">
        <x:f t="shared" si="0"/>
        <x:v>66.666666666666671</x:v>
      </x:c>
      <x:c r="H7" s="24">
        <x:v>5</x:v>
      </x:c>
      <x:c r="I7" s="25" t="s">
        <x:v>107</x:v>
      </x:c>
      <x:c r="J7" s="26">
        <x:v>95</x:v>
      </x:c>
      <x:c r="K7" s="26">
        <x:v>75</x:v>
      </x:c>
      <x:c r="L7" s="26">
        <x:v>80</x:v>
      </x:c>
      <x:c r="M7" s="27">
        <x:v>83.333333333333329</x:v>
      </x:c>
    </x:row>
    <x:row r="8" spans="1:13">
      <x:c r="A8" s="24">
        <x:v>5</x:v>
      </x:c>
      <x:c r="B8" s="25" t="s">
        <x:v>107</x:v>
      </x:c>
      <x:c r="C8" s="26">
        <x:v>95</x:v>
      </x:c>
      <x:c r="D8" s="26">
        <x:v>75</x:v>
      </x:c>
      <x:c r="E8" s="26">
        <x:v>80</x:v>
      </x:c>
      <x:c r="F8" s="27">
        <x:f t="shared" si="0"/>
        <x:v>83.333333333333329</x:v>
      </x:c>
      <x:c r="H8" s="24">
        <x:v>10</x:v>
      </x:c>
      <x:c r="I8" s="25" t="s">
        <x:v>103</x:v>
      </x:c>
      <x:c r="J8" s="26">
        <x:v>85</x:v>
      </x:c>
      <x:c r="K8" s="26">
        <x:v>90</x:v>
      </x:c>
      <x:c r="L8" s="26">
        <x:v>80</x:v>
      </x:c>
      <x:c r="M8" s="27">
        <x:v>85</x:v>
      </x:c>
    </x:row>
    <x:row r="9" spans="1:13">
      <x:c r="A9" s="24">
        <x:v>6</x:v>
      </x:c>
      <x:c r="B9" s="25" t="s">
        <x:v>101</x:v>
      </x:c>
      <x:c r="C9" s="26">
        <x:v>30</x:v>
      </x:c>
      <x:c r="D9" s="26">
        <x:v>55</x:v>
      </x:c>
      <x:c r="E9" s="26">
        <x:v>95</x:v>
      </x:c>
      <x:c r="F9" s="27">
        <x:f t="shared" si="0"/>
        <x:v>60</x:v>
      </x:c>
      <x:c r="H9" s="24">
        <x:v>12</x:v>
      </x:c>
      <x:c r="I9" s="25" t="s">
        <x:v>104</x:v>
      </x:c>
      <x:c r="J9" s="26">
        <x:v>60</x:v>
      </x:c>
      <x:c r="K9" s="26">
        <x:v>95</x:v>
      </x:c>
      <x:c r="L9" s="26">
        <x:v>85</x:v>
      </x:c>
      <x:c r="M9" s="27">
        <x:v>80</x:v>
      </x:c>
    </x:row>
    <x:row r="10" spans="1:6">
      <x:c r="A10" s="24">
        <x:v>7</x:v>
      </x:c>
      <x:c r="B10" s="25" t="s">
        <x:v>110</x:v>
      </x:c>
      <x:c r="C10" s="26">
        <x:v>50</x:v>
      </x:c>
      <x:c r="D10" s="26">
        <x:v>65</x:v>
      </x:c>
      <x:c r="E10" s="26">
        <x:v>85</x:v>
      </x:c>
      <x:c r="F10" s="27">
        <x:f t="shared" si="0"/>
        <x:v>66.666666666666671</x:v>
      </x:c>
    </x:row>
    <x:row r="11" spans="1:6">
      <x:c r="A11" s="24">
        <x:v>8</x:v>
      </x:c>
      <x:c r="B11" s="25" t="s">
        <x:v>97</x:v>
      </x:c>
      <x:c r="C11" s="26">
        <x:v>45</x:v>
      </x:c>
      <x:c r="D11" s="26">
        <x:v>85</x:v>
      </x:c>
      <x:c r="E11" s="26">
        <x:v>85</x:v>
      </x:c>
      <x:c r="F11" s="27">
        <x:f t="shared" si="0"/>
        <x:v>71.666666666666671</x:v>
      </x:c>
    </x:row>
    <x:row r="12" spans="1:6">
      <x:c r="A12" s="24">
        <x:v>9</x:v>
      </x:c>
      <x:c r="B12" s="25" t="s">
        <x:v>100</x:v>
      </x:c>
      <x:c r="C12" s="26">
        <x:v>60</x:v>
      </x:c>
      <x:c r="D12" s="26">
        <x:v>75</x:v>
      </x:c>
      <x:c r="E12" s="26">
        <x:v>45</x:v>
      </x:c>
      <x:c r="F12" s="27">
        <x:f t="shared" si="0"/>
        <x:v>60</x:v>
      </x:c>
    </x:row>
    <x:row r="13" spans="1:6">
      <x:c r="A13" s="24">
        <x:v>10</x:v>
      </x:c>
      <x:c r="B13" s="25" t="s">
        <x:v>103</x:v>
      </x:c>
      <x:c r="C13" s="26">
        <x:v>85</x:v>
      </x:c>
      <x:c r="D13" s="26">
        <x:v>90</x:v>
      </x:c>
      <x:c r="E13" s="26">
        <x:v>80</x:v>
      </x:c>
      <x:c r="F13" s="27">
        <x:f t="shared" si="0"/>
        <x:v>85</x:v>
      </x:c>
    </x:row>
    <x:row r="14" spans="1:6">
      <x:c r="A14" s="24">
        <x:v>11</x:v>
      </x:c>
      <x:c r="B14" s="25" t="s">
        <x:v>108</x:v>
      </x:c>
      <x:c r="C14" s="26">
        <x:v>45</x:v>
      </x:c>
      <x:c r="D14" s="26">
        <x:v>95</x:v>
      </x:c>
      <x:c r="E14" s="26">
        <x:v>95</x:v>
      </x:c>
      <x:c r="F14" s="27">
        <x:f t="shared" si="0"/>
        <x:v>78.333333333333329</x:v>
      </x:c>
    </x:row>
    <x:row r="15" spans="1:6">
      <x:c r="A15" s="24">
        <x:v>12</x:v>
      </x:c>
      <x:c r="B15" s="25" t="s">
        <x:v>104</x:v>
      </x:c>
      <x:c r="C15" s="26">
        <x:v>60</x:v>
      </x:c>
      <x:c r="D15" s="26">
        <x:v>95</x:v>
      </x:c>
      <x:c r="E15" s="26">
        <x:v>85</x:v>
      </x:c>
      <x:c r="F15" s="27">
        <x:f t="shared" si="0"/>
        <x:v>80</x:v>
      </x:c>
    </x:row>
    <x:row r="16" spans="1:6">
      <x:c r="A16" s="24">
        <x:v>13</x:v>
      </x:c>
      <x:c r="B16" s="25" t="s">
        <x:v>119</x:v>
      </x:c>
      <x:c r="C16" s="26">
        <x:v>70</x:v>
      </x:c>
      <x:c r="D16" s="26">
        <x:v>80</x:v>
      </x:c>
      <x:c r="E16" s="26">
        <x:v>85</x:v>
      </x:c>
      <x:c r="F16" s="27">
        <x:f t="shared" si="0"/>
        <x:v>78.333333333333329</x:v>
      </x:c>
    </x:row>
    <x:row r="17" spans="1:6">
      <x:c r="A17" s="24">
        <x:v>14</x:v>
      </x:c>
      <x:c r="B17" s="25" t="s">
        <x:v>123</x:v>
      </x:c>
      <x:c r="C17" s="26">
        <x:v>95</x:v>
      </x:c>
      <x:c r="D17" s="26">
        <x:v>85</x:v>
      </x:c>
      <x:c r="E17" s="26">
        <x:v>65</x:v>
      </x:c>
      <x:c r="F17" s="27">
        <x:f t="shared" si="0"/>
        <x:v>81.666666666666671</x:v>
      </x:c>
    </x:row>
    <x:row r="18" spans="1:6">
      <x:c r="A18" s="24">
        <x:v>15</x:v>
      </x:c>
      <x:c r="B18" s="25" t="s">
        <x:v>105</x:v>
      </x:c>
      <x:c r="C18" s="26">
        <x:v>75</x:v>
      </x:c>
      <x:c r="D18" s="26">
        <x:v>80</x:v>
      </x:c>
      <x:c r="E18" s="26">
        <x:v>70</x:v>
      </x:c>
      <x:c r="F18" s="27">
        <x:f t="shared" si="0"/>
        <x:v>75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drawing r:id="rId1"/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6"/>
  <x:dimension ref="A1:I42"/>
  <x:sheetViews>
    <x:sheetView tabSelected="1" topLeftCell="A1" zoomScaleNormal="100" zoomScaleSheetLayoutView="75" workbookViewId="0">
      <x:selection activeCell="F1" activeCellId="0" sqref="F1:F1"/>
    </x:sheetView>
  </x:sheetViews>
  <x:sheetFormatPr defaultColWidth="9" defaultRowHeight="16.39999999999999857891"/>
  <x:cols>
    <x:col min="1" max="1" width="14.625" customWidth="1"/>
    <x:col min="2" max="3" width="11.8125" customWidth="1"/>
    <x:col min="4" max="4" width="12.75" customWidth="1"/>
    <x:col min="5" max="5" width="19.9375" customWidth="1"/>
    <x:col min="7" max="7" width="11.0625" bestFit="1" customWidth="1"/>
  </x:cols>
  <x:sheetData>
    <x:row r="1" spans="1:8">
      <x:c r="A1" s="28" t="s">
        <x:v>221</x:v>
      </x:c>
      <x:c r="B1" s="28"/>
      <x:c r="C1" s="28"/>
      <x:c r="D1" s="28"/>
      <x:c r="E1" s="5"/>
      <x:c r="F1" s="4"/>
      <x:c r="G1" s="5"/>
      <x:c r="H1" s="5"/>
    </x:row>
    <x:row r="2" spans="1:8">
      <x:c r="A2" s="28"/>
      <x:c r="B2" s="28"/>
      <x:c r="C2" s="28"/>
      <x:c r="D2" s="28"/>
      <x:c r="E2" s="5"/>
      <x:c r="F2" s="4"/>
      <x:c r="G2" s="5"/>
      <x:c r="H2" s="5"/>
    </x:row>
    <x:row r="3" spans="1:8">
      <x:c r="A3" s="29" t="s">
        <x:v>109</x:v>
      </x:c>
      <x:c r="B3" s="29" t="s">
        <x:v>112</x:v>
      </x:c>
      <x:c r="C3" s="29" t="s">
        <x:v>124</x:v>
      </x:c>
      <x:c r="D3" s="30" t="s">
        <x:v>120</x:v>
      </x:c>
      <x:c r="E3" s="31" t="s">
        <x:v>187</x:v>
      </x:c>
      <x:c r="F3" s="4"/>
      <x:c r="G3" s="32" t="s">
        <x:v>189</x:v>
      </x:c>
      <x:c r="H3" s="5"/>
    </x:row>
    <x:row r="4" spans="1:8">
      <x:c r="A4" s="33">
        <x:v>43831</x:v>
      </x:c>
      <x:c r="B4" s="34">
        <x:v>6784364</x:v>
      </x:c>
      <x:c r="C4" s="34">
        <x:v>0</x:v>
      </x:c>
      <x:c r="D4" s="34">
        <x:v>6784364</x:v>
      </x:c>
      <x:c r="E4" s="35" t="s">
        <x:v>195</x:v>
      </x:c>
      <x:c r="F4" s="4"/>
      <x:c r="G4" s="29" t="s">
        <x:v>112</x:v>
      </x:c>
      <x:c r="H4" s="31" t="s">
        <x:v>187</x:v>
      </x:c>
    </x:row>
    <x:row r="5" spans="1:8">
      <x:c r="A5" s="33">
        <x:v>43831</x:v>
      </x:c>
      <x:c r="B5" s="34">
        <x:v>0</x:v>
      </x:c>
      <x:c r="C5" s="34">
        <x:v>1050000</x:v>
      </x:c>
      <x:c r="D5" s="34">
        <x:v>5734364</x:v>
      </x:c>
      <x:c r="E5" s="35" t="s">
        <x:v>96</x:v>
      </x:c>
      <x:c r="F5" s="4"/>
      <x:c r="G5" s="34">
        <x:v>30000</x:v>
      </x:c>
      <x:c r="H5" s="35" t="s">
        <x:v>115</x:v>
      </x:c>
    </x:row>
    <x:row r="6" spans="1:8">
      <x:c r="A6" s="33">
        <x:v>43831</x:v>
      </x:c>
      <x:c r="B6" s="34">
        <x:v>30000</x:v>
      </x:c>
      <x:c r="C6" s="34">
        <x:v>0</x:v>
      </x:c>
      <x:c r="D6" s="34">
        <x:v>5764364</x:v>
      </x:c>
      <x:c r="E6" s="35" t="s">
        <x:v>111</x:v>
      </x:c>
      <x:c r="F6" s="4"/>
      <x:c r="G6" s="5"/>
      <x:c r="H6" s="5"/>
    </x:row>
    <x:row r="7" spans="1:8">
      <x:c r="A7" s="33">
        <x:v>43831</x:v>
      </x:c>
      <x:c r="B7" s="34">
        <x:v>30000</x:v>
      </x:c>
      <x:c r="C7" s="34">
        <x:v>0</x:v>
      </x:c>
      <x:c r="D7" s="34">
        <x:v>5794364</x:v>
      </x:c>
      <x:c r="E7" s="35" t="s">
        <x:v>113</x:v>
      </x:c>
      <x:c r="F7" s="4"/>
      <x:c r="G7" s="4"/>
      <x:c r="H7" s="4"/>
    </x:row>
    <x:row r="8" spans="1:9">
      <x:c r="A8" s="33">
        <x:v>43863</x:v>
      </x:c>
      <x:c r="B8" s="34">
        <x:v>30000</x:v>
      </x:c>
      <x:c r="C8" s="34">
        <x:v>0</x:v>
      </x:c>
      <x:c r="D8" s="34">
        <x:v>5824364</x:v>
      </x:c>
      <x:c r="E8" s="35" t="s">
        <x:v>114</x:v>
      </x:c>
      <x:c r="F8" s="4"/>
      <x:c r="G8" s="29" t="s">
        <x:v>109</x:v>
      </x:c>
      <x:c r="H8" s="29" t="s">
        <x:v>112</x:v>
      </x:c>
      <x:c r="I8" s="31" t="s">
        <x:v>187</x:v>
      </x:c>
    </x:row>
    <x:row r="9" spans="1:9">
      <x:c r="A9" s="33">
        <x:v>43864</x:v>
      </x:c>
      <x:c r="B9" s="34">
        <x:v>30000</x:v>
      </x:c>
      <x:c r="C9" s="34">
        <x:v>0</x:v>
      </x:c>
      <x:c r="D9" s="34">
        <x:v>5854364</x:v>
      </x:c>
      <x:c r="E9" s="35" t="s">
        <x:v>122</x:v>
      </x:c>
      <x:c r="F9" s="4"/>
      <x:c r="G9" s="33">
        <x:v>43895</x:v>
      </x:c>
      <x:c r="H9" s="34">
        <x:v>30000</x:v>
      </x:c>
      <x:c r="I9" s="35" t="s">
        <x:v>115</x:v>
      </x:c>
    </x:row>
    <x:row r="10" spans="1:9">
      <x:c r="A10" s="33">
        <x:v>43865</x:v>
      </x:c>
      <x:c r="B10" s="34">
        <x:v>50000</x:v>
      </x:c>
      <x:c r="C10" s="34">
        <x:v>0</x:v>
      </x:c>
      <x:c r="D10" s="34">
        <x:v>5904364</x:v>
      </x:c>
      <x:c r="E10" s="35" t="s">
        <x:v>115</x:v>
      </x:c>
      <x:c r="F10" s="4"/>
      <x:c r="G10" s="33">
        <x:v>43928</x:v>
      </x:c>
      <x:c r="H10" s="34">
        <x:v>30000</x:v>
      </x:c>
      <x:c r="I10" s="35" t="s">
        <x:v>115</x:v>
      </x:c>
    </x:row>
    <x:row r="11" spans="1:9">
      <x:c r="A11" s="33">
        <x:v>43866</x:v>
      </x:c>
      <x:c r="B11" s="34">
        <x:v>180000</x:v>
      </x:c>
      <x:c r="C11" s="34">
        <x:v>0</x:v>
      </x:c>
      <x:c r="D11" s="34">
        <x:v>6084364</x:v>
      </x:c>
      <x:c r="E11" s="35" t="s">
        <x:v>125</x:v>
      </x:c>
      <x:c r="F11" s="4"/>
      <x:c r="G11" s="33">
        <x:v>43963</x:v>
      </x:c>
      <x:c r="H11" s="34">
        <x:v>30000</x:v>
      </x:c>
      <x:c r="I11" s="35" t="s">
        <x:v>115</x:v>
      </x:c>
    </x:row>
    <x:row r="12" spans="1:9">
      <x:c r="A12" s="33">
        <x:v>43867</x:v>
      </x:c>
      <x:c r="B12" s="34">
        <x:v>30000</x:v>
      </x:c>
      <x:c r="C12" s="34">
        <x:v>0</x:v>
      </x:c>
      <x:c r="D12" s="34">
        <x:v>6114364</x:v>
      </x:c>
      <x:c r="E12" s="35" t="s">
        <x:v>111</x:v>
      </x:c>
      <x:c r="F12" s="4"/>
      <x:c r="G12" s="33">
        <x:v>43986</x:v>
      </x:c>
      <x:c r="H12" s="34">
        <x:v>30000</x:v>
      </x:c>
      <x:c r="I12" s="35" t="s">
        <x:v>115</x:v>
      </x:c>
    </x:row>
    <x:row r="13" spans="1:8">
      <x:c r="A13" s="33">
        <x:v>43893</x:v>
      </x:c>
      <x:c r="B13" s="34">
        <x:v>50000</x:v>
      </x:c>
      <x:c r="C13" s="34">
        <x:v>0</x:v>
      </x:c>
      <x:c r="D13" s="34">
        <x:v>6164364</x:v>
      </x:c>
      <x:c r="E13" s="35" t="s">
        <x:v>116</x:v>
      </x:c>
      <x:c r="F13" s="4"/>
      <x:c r="G13" s="5"/>
      <x:c r="H13" s="5"/>
    </x:row>
    <x:row r="14" spans="1:8">
      <x:c r="A14" s="33">
        <x:v>43894</x:v>
      </x:c>
      <x:c r="B14" s="34">
        <x:v>30000</x:v>
      </x:c>
      <x:c r="C14" s="34">
        <x:v>0</x:v>
      </x:c>
      <x:c r="D14" s="34">
        <x:v>6194364</x:v>
      </x:c>
      <x:c r="E14" s="35" t="s">
        <x:v>117</x:v>
      </x:c>
      <x:c r="F14" s="4"/>
      <x:c r="G14" s="5"/>
      <x:c r="H14" s="5"/>
    </x:row>
    <x:row r="15" spans="1:8">
      <x:c r="A15" s="33">
        <x:v>43895</x:v>
      </x:c>
      <x:c r="B15" s="34">
        <x:v>30000</x:v>
      </x:c>
      <x:c r="C15" s="34">
        <x:v>0</x:v>
      </x:c>
      <x:c r="D15" s="34">
        <x:v>6224364</x:v>
      </x:c>
      <x:c r="E15" s="35" t="s">
        <x:v>115</x:v>
      </x:c>
      <x:c r="F15" s="4"/>
      <x:c r="G15" s="5"/>
      <x:c r="H15" s="5"/>
    </x:row>
    <x:row r="16" spans="1:8">
      <x:c r="A16" s="33">
        <x:v>43896</x:v>
      </x:c>
      <x:c r="B16" s="34">
        <x:v>0</x:v>
      </x:c>
      <x:c r="C16" s="34">
        <x:v>27670</x:v>
      </x:c>
      <x:c r="D16" s="34">
        <x:v>6196694</x:v>
      </x:c>
      <x:c r="E16" s="35" t="s">
        <x:v>222</x:v>
      </x:c>
      <x:c r="F16" s="4"/>
      <x:c r="G16" s="5"/>
      <x:c r="H16" s="5"/>
    </x:row>
    <x:row r="17" spans="1:8">
      <x:c r="A17" s="33">
        <x:v>43897</x:v>
      </x:c>
      <x:c r="B17" s="34">
        <x:v>300000</x:v>
      </x:c>
      <x:c r="C17" s="34">
        <x:v>0</x:v>
      </x:c>
      <x:c r="D17" s="34">
        <x:v>6496694</x:v>
      </x:c>
      <x:c r="E17" s="35" t="s">
        <x:v>94</x:v>
      </x:c>
      <x:c r="F17" s="4"/>
      <x:c r="G17" s="5"/>
      <x:c r="H17" s="5"/>
    </x:row>
    <x:row r="18" spans="1:8">
      <x:c r="A18" s="33">
        <x:v>43898</x:v>
      </x:c>
      <x:c r="B18" s="34">
        <x:v>30000</x:v>
      </x:c>
      <x:c r="C18" s="34">
        <x:v>0</x:v>
      </x:c>
      <x:c r="D18" s="34">
        <x:v>6526694</x:v>
      </x:c>
      <x:c r="E18" s="35" t="s">
        <x:v>98</x:v>
      </x:c>
      <x:c r="F18" s="4"/>
      <x:c r="G18" s="5"/>
      <x:c r="H18" s="5"/>
    </x:row>
    <x:row r="19" spans="1:8">
      <x:c r="A19" s="33">
        <x:v>43927</x:v>
      </x:c>
      <x:c r="B19" s="34">
        <x:v>50000</x:v>
      </x:c>
      <x:c r="C19" s="34">
        <x:v>0</x:v>
      </x:c>
      <x:c r="D19" s="34">
        <x:v>6576694</x:v>
      </x:c>
      <x:c r="E19" s="35" t="s">
        <x:v>111</x:v>
      </x:c>
      <x:c r="F19" s="4"/>
      <x:c r="G19" s="5"/>
      <x:c r="H19" s="5"/>
    </x:row>
    <x:row r="20" spans="1:8">
      <x:c r="A20" s="33">
        <x:v>43928</x:v>
      </x:c>
      <x:c r="B20" s="34">
        <x:v>30000</x:v>
      </x:c>
      <x:c r="C20" s="34">
        <x:v>0</x:v>
      </x:c>
      <x:c r="D20" s="34">
        <x:v>6606694</x:v>
      </x:c>
      <x:c r="E20" s="35" t="s">
        <x:v>115</x:v>
      </x:c>
      <x:c r="F20" s="4"/>
      <x:c r="G20" s="5"/>
      <x:c r="H20" s="5"/>
    </x:row>
    <x:row r="21" spans="1:8">
      <x:c r="A21" s="33">
        <x:v>43929</x:v>
      </x:c>
      <x:c r="B21" s="34">
        <x:v>0</x:v>
      </x:c>
      <x:c r="C21" s="34">
        <x:v>20</x:v>
      </x:c>
      <x:c r="D21" s="34">
        <x:v>6606674</x:v>
      </x:c>
      <x:c r="E21" s="35" t="s">
        <x:v>196</x:v>
      </x:c>
      <x:c r="F21" s="4"/>
      <x:c r="G21" s="5"/>
      <x:c r="H21" s="5"/>
    </x:row>
    <x:row r="22" spans="1:8">
      <x:c r="A22" s="33">
        <x:v>43930</x:v>
      </x:c>
      <x:c r="B22" s="34">
        <x:v>30000</x:v>
      </x:c>
      <x:c r="C22" s="34">
        <x:v>0</x:v>
      </x:c>
      <x:c r="D22" s="34">
        <x:v>6636674</x:v>
      </x:c>
      <x:c r="E22" s="35" t="s">
        <x:v>130</x:v>
      </x:c>
      <x:c r="F22" s="4"/>
      <x:c r="G22" s="5"/>
      <x:c r="H22" s="5"/>
    </x:row>
    <x:row r="23" spans="1:8">
      <x:c r="A23" s="33">
        <x:v>43931</x:v>
      </x:c>
      <x:c r="B23" s="34">
        <x:v>90000</x:v>
      </x:c>
      <x:c r="C23" s="34">
        <x:v>0</x:v>
      </x:c>
      <x:c r="D23" s="34">
        <x:v>6726674</x:v>
      </x:c>
      <x:c r="E23" s="35" t="s">
        <x:v>115</x:v>
      </x:c>
      <x:c r="F23" s="4"/>
      <x:c r="G23" s="5"/>
      <x:c r="H23" s="5"/>
    </x:row>
    <x:row r="24" spans="1:8">
      <x:c r="A24" s="33">
        <x:v>43932</x:v>
      </x:c>
      <x:c r="B24" s="34">
        <x:v>30000</x:v>
      </x:c>
      <x:c r="C24" s="34">
        <x:v>0</x:v>
      </x:c>
      <x:c r="D24" s="34">
        <x:v>6756674</x:v>
      </x:c>
      <x:c r="E24" s="35" t="s">
        <x:v>129</x:v>
      </x:c>
      <x:c r="F24" s="4"/>
      <x:c r="G24" s="5"/>
      <x:c r="H24" s="5"/>
    </x:row>
    <x:row r="25" spans="1:8">
      <x:c r="A25" s="33">
        <x:v>43959</x:v>
      </x:c>
      <x:c r="B25" s="34">
        <x:v>30000</x:v>
      </x:c>
      <x:c r="C25" s="34">
        <x:v>0</x:v>
      </x:c>
      <x:c r="D25" s="34">
        <x:v>6786674</x:v>
      </x:c>
      <x:c r="E25" s="35" t="s">
        <x:v>127</x:v>
      </x:c>
      <x:c r="F25" s="4"/>
      <x:c r="G25" s="5"/>
      <x:c r="H25" s="5"/>
    </x:row>
    <x:row r="26" spans="1:8">
      <x:c r="A26" s="33">
        <x:v>43960</x:v>
      </x:c>
      <x:c r="B26" s="34">
        <x:v>50000</x:v>
      </x:c>
      <x:c r="C26" s="34">
        <x:v>0</x:v>
      </x:c>
      <x:c r="D26" s="34">
        <x:v>6836674</x:v>
      </x:c>
      <x:c r="E26" s="35" t="s">
        <x:v>128</x:v>
      </x:c>
      <x:c r="F26" s="4"/>
      <x:c r="G26" s="5"/>
      <x:c r="H26" s="5"/>
    </x:row>
    <x:row r="27" spans="1:8">
      <x:c r="A27" s="33">
        <x:v>43961</x:v>
      </x:c>
      <x:c r="B27" s="34">
        <x:v>0</x:v>
      </x:c>
      <x:c r="C27" s="34">
        <x:v>4000</x:v>
      </x:c>
      <x:c r="D27" s="34">
        <x:v>6832674</x:v>
      </x:c>
      <x:c r="E27" s="35" t="s">
        <x:v>224</x:v>
      </x:c>
      <x:c r="F27" s="4"/>
      <x:c r="G27" s="5"/>
      <x:c r="H27" s="5"/>
    </x:row>
    <x:row r="28" spans="1:8">
      <x:c r="A28" s="33">
        <x:v>43962</x:v>
      </x:c>
      <x:c r="B28" s="34">
        <x:v>0</x:v>
      </x:c>
      <x:c r="C28" s="34">
        <x:v>25300</x:v>
      </x:c>
      <x:c r="D28" s="34">
        <x:v>6807374</x:v>
      </x:c>
      <x:c r="E28" s="35" t="s">
        <x:v>223</x:v>
      </x:c>
      <x:c r="F28" s="4"/>
      <x:c r="G28" s="5"/>
      <x:c r="H28" s="5"/>
    </x:row>
    <x:row r="29" spans="1:8">
      <x:c r="A29" s="33">
        <x:v>43963</x:v>
      </x:c>
      <x:c r="B29" s="34">
        <x:v>30000</x:v>
      </x:c>
      <x:c r="C29" s="34">
        <x:v>0</x:v>
      </x:c>
      <x:c r="D29" s="34">
        <x:v>6837374</x:v>
      </x:c>
      <x:c r="E29" s="35" t="s">
        <x:v>115</x:v>
      </x:c>
      <x:c r="F29" s="4"/>
      <x:c r="G29" s="5"/>
      <x:c r="H29" s="5"/>
    </x:row>
    <x:row r="30" spans="1:8">
      <x:c r="A30" s="33">
        <x:v>43964</x:v>
      </x:c>
      <x:c r="B30" s="34">
        <x:v>30000</x:v>
      </x:c>
      <x:c r="C30" s="34">
        <x:v>0</x:v>
      </x:c>
      <x:c r="D30" s="34">
        <x:v>6867374</x:v>
      </x:c>
      <x:c r="E30" s="35" t="s">
        <x:v>132</x:v>
      </x:c>
      <x:c r="F30" s="4"/>
      <x:c r="G30" s="5"/>
      <x:c r="H30" s="5"/>
    </x:row>
    <x:row r="31" spans="1:8">
      <x:c r="A31" s="33">
        <x:v>43965</x:v>
      </x:c>
      <x:c r="B31" s="34">
        <x:v>30000</x:v>
      </x:c>
      <x:c r="C31" s="34">
        <x:v>0</x:v>
      </x:c>
      <x:c r="D31" s="34">
        <x:v>6897374</x:v>
      </x:c>
      <x:c r="E31" s="35" t="s">
        <x:v>111</x:v>
      </x:c>
      <x:c r="F31" s="4"/>
      <x:c r="G31" s="5"/>
      <x:c r="H31" s="5"/>
    </x:row>
    <x:row r="32" spans="1:8">
      <x:c r="A32" s="33">
        <x:v>43966</x:v>
      </x:c>
      <x:c r="B32" s="34">
        <x:v>0</x:v>
      </x:c>
      <x:c r="C32" s="34">
        <x:v>8500</x:v>
      </x:c>
      <x:c r="D32" s="34">
        <x:v>6888874</x:v>
      </x:c>
      <x:c r="E32" s="35" t="s">
        <x:v>190</x:v>
      </x:c>
      <x:c r="F32" s="4"/>
      <x:c r="G32" s="5"/>
      <x:c r="H32" s="5"/>
    </x:row>
    <x:row r="33" spans="1:8">
      <x:c r="A33" s="33">
        <x:v>43983</x:v>
      </x:c>
      <x:c r="B33" s="34">
        <x:v>30000</x:v>
      </x:c>
      <x:c r="C33" s="34">
        <x:v>0</x:v>
      </x:c>
      <x:c r="D33" s="34">
        <x:v>6918874</x:v>
      </x:c>
      <x:c r="E33" s="35" t="s">
        <x:v>133</x:v>
      </x:c>
      <x:c r="F33" s="4"/>
      <x:c r="G33" s="5"/>
      <x:c r="H33" s="5"/>
    </x:row>
    <x:row r="34" spans="1:8">
      <x:c r="A34" s="33">
        <x:v>43984</x:v>
      </x:c>
      <x:c r="B34" s="34">
        <x:v>30000</x:v>
      </x:c>
      <x:c r="C34" s="34">
        <x:v>0</x:v>
      </x:c>
      <x:c r="D34" s="34">
        <x:v>6948874</x:v>
      </x:c>
      <x:c r="E34" s="35" t="s">
        <x:v>126</x:v>
      </x:c>
      <x:c r="F34" s="4"/>
      <x:c r="G34" s="5"/>
      <x:c r="H34" s="5"/>
    </x:row>
    <x:row r="35" spans="1:8">
      <x:c r="A35" s="33">
        <x:v>43985</x:v>
      </x:c>
      <x:c r="B35" s="34">
        <x:v>0</x:v>
      </x:c>
      <x:c r="C35" s="34">
        <x:v>210000</x:v>
      </x:c>
      <x:c r="D35" s="34">
        <x:v>6738874</x:v>
      </x:c>
      <x:c r="E35" s="35" t="s">
        <x:v>191</x:v>
      </x:c>
      <x:c r="F35" s="4"/>
      <x:c r="G35" s="5"/>
      <x:c r="H35" s="5"/>
    </x:row>
    <x:row r="36" spans="1:8">
      <x:c r="A36" s="33">
        <x:v>43986</x:v>
      </x:c>
      <x:c r="B36" s="34">
        <x:v>30000</x:v>
      </x:c>
      <x:c r="C36" s="34">
        <x:v>0</x:v>
      </x:c>
      <x:c r="D36" s="34">
        <x:v>6768874</x:v>
      </x:c>
      <x:c r="E36" s="35" t="s">
        <x:v>115</x:v>
      </x:c>
      <x:c r="F36" s="4"/>
      <x:c r="G36" s="5"/>
      <x:c r="H36" s="5"/>
    </x:row>
    <x:row r="37" spans="1:8">
      <x:c r="A37" s="33">
        <x:v>43987</x:v>
      </x:c>
      <x:c r="B37" s="34">
        <x:v>0</x:v>
      </x:c>
      <x:c r="C37" s="34">
        <x:v>74800</x:v>
      </x:c>
      <x:c r="D37" s="34">
        <x:v>6694074</x:v>
      </x:c>
      <x:c r="E37" s="35" t="s">
        <x:v>226</x:v>
      </x:c>
      <x:c r="F37" s="4"/>
      <x:c r="G37" s="5"/>
      <x:c r="H37" s="5"/>
    </x:row>
    <x:row r="38" spans="1:8">
      <x:c r="A38" s="33">
        <x:v>43988</x:v>
      </x:c>
      <x:c r="B38" s="34">
        <x:v>37400</x:v>
      </x:c>
      <x:c r="C38" s="34">
        <x:v>0</x:v>
      </x:c>
      <x:c r="D38" s="34">
        <x:v>6731474</x:v>
      </x:c>
      <x:c r="E38" s="35" t="s">
        <x:v>225</x:v>
      </x:c>
      <x:c r="F38" s="4"/>
      <x:c r="G38" s="5"/>
      <x:c r="H38" s="5"/>
    </x:row>
    <x:row r="39" spans="1:8">
      <x:c r="A39" s="33">
        <x:v>43989</x:v>
      </x:c>
      <x:c r="B39" s="34">
        <x:v>30000</x:v>
      </x:c>
      <x:c r="C39" s="34">
        <x:v>0</x:v>
      </x:c>
      <x:c r="D39" s="34">
        <x:v>6761474</x:v>
      </x:c>
      <x:c r="E39" s="35" t="s">
        <x:v>111</x:v>
      </x:c>
      <x:c r="F39" s="4"/>
      <x:c r="G39" s="5"/>
      <x:c r="H39" s="5"/>
    </x:row>
    <x:row r="40" spans="1:8">
      <x:c r="A40" s="33">
        <x:v>43990</x:v>
      </x:c>
      <x:c r="B40" s="34">
        <x:v>60000</x:v>
      </x:c>
      <x:c r="C40" s="34">
        <x:v>0</x:v>
      </x:c>
      <x:c r="D40" s="34">
        <x:v>6821474</x:v>
      </x:c>
      <x:c r="E40" s="35" t="s">
        <x:v>131</x:v>
      </x:c>
      <x:c r="F40" s="4"/>
      <x:c r="G40" s="5"/>
      <x:c r="H40" s="5"/>
    </x:row>
    <x:row r="41" spans="1:8">
      <x:c r="A41" s="33">
        <x:v>43991</x:v>
      </x:c>
      <x:c r="B41" s="34">
        <x:v>0</x:v>
      </x:c>
      <x:c r="C41" s="34">
        <x:v>120000</x:v>
      </x:c>
      <x:c r="D41" s="34">
        <x:v>6701474</x:v>
      </x:c>
      <x:c r="E41" s="35" t="s">
        <x:v>115</x:v>
      </x:c>
      <x:c r="F41" s="4"/>
      <x:c r="G41" s="5"/>
      <x:c r="H41" s="5"/>
    </x:row>
    <x:row r="42" spans="1:8">
      <x:c r="A42" s="33">
        <x:v>43992</x:v>
      </x:c>
      <x:c r="B42" s="34">
        <x:v>30000</x:v>
      </x:c>
      <x:c r="C42" s="34">
        <x:v>0</x:v>
      </x:c>
      <x:c r="D42" s="34">
        <x:v>6731474</x:v>
      </x:c>
      <x:c r="E42" s="35" t="s">
        <x:v>111</x:v>
      </x:c>
      <x:c r="F42" s="4"/>
      <x:c r="G42" s="5"/>
      <x:c r="H42" s="5"/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6" baseType="lpstr">
      <vt:lpstr>고급필터1</vt:lpstr>
      <vt:lpstr>고급필터2</vt:lpstr>
      <vt:lpstr>고급필터3</vt:lpstr>
      <vt:lpstr>고급필터4</vt:lpstr>
      <vt:lpstr>고급필터5</vt:lpstr>
      <vt:lpstr>고급필터6</vt:lpstr>
    </vt:vector>
  </ep:TitlesOfParts>
  <ep:TotalTime>44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mondi</cp:lastModifiedBy>
  <cp:revision>2</cp:revision>
  <dcterms:created xsi:type="dcterms:W3CDTF">2018-11-30T08:13:24.000</dcterms:created>
  <dcterms:modified xsi:type="dcterms:W3CDTF">2023-05-21T07:00:00.839</dcterms:modified>
  <cp:version>1200.0100.01</cp:version>
</cp:coreProperties>
</file>