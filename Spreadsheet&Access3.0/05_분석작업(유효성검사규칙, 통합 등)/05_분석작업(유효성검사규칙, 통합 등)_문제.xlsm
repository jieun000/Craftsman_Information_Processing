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ondi\Desktop\Craftsman_Information_Processing\Spreadsheet&amp;Access3.0\05_분석작업(유효성검사규칙, 통합 등)\"/>
    </mc:Choice>
  </mc:AlternateContent>
  <xr:revisionPtr revIDLastSave="0" documentId="13_ncr:1_{3CDE360B-4859-409C-BCCC-449ECFF00BE1}" xr6:coauthVersionLast="47" xr6:coauthVersionMax="47" xr10:uidLastSave="{00000000-0000-0000-0000-000000000000}"/>
  <bookViews>
    <workbookView xWindow="-98" yWindow="-98" windowWidth="21795" windowHeight="12975" tabRatio="888" firstSheet="7" activeTab="15" xr2:uid="{00000000-000D-0000-FFFF-FFFF00000000}"/>
  </bookViews>
  <sheets>
    <sheet name="홈" sheetId="45" r:id="rId1"/>
    <sheet name="유효성 검사 규칙1" sheetId="32" r:id="rId2"/>
    <sheet name="유효성 검사 규칙2" sheetId="39" r:id="rId3"/>
    <sheet name="유효성 검사 규칙3" sheetId="66" r:id="rId4"/>
    <sheet name="유효성 검사 규칙4" sheetId="33" r:id="rId5"/>
    <sheet name="유효성 검사 규칙5" sheetId="38" r:id="rId6"/>
    <sheet name="유효성 검사 규칙6" sheetId="40" r:id="rId7"/>
    <sheet name="부분합" sheetId="36" r:id="rId8"/>
    <sheet name="통합-텍스트 나누기" sheetId="69" r:id="rId9"/>
    <sheet name="시나리오 요약" sheetId="76" r:id="rId10"/>
    <sheet name="시나리오1" sheetId="70" r:id="rId11"/>
    <sheet name="시나리오 요약 2" sheetId="77" r:id="rId12"/>
    <sheet name="시나리오2" sheetId="72" r:id="rId13"/>
    <sheet name="목표값찾기" sheetId="71" r:id="rId14"/>
    <sheet name="데이터 표1" sheetId="73" r:id="rId15"/>
    <sheet name="데이터표 2" sheetId="74" r:id="rId16"/>
  </sheets>
  <definedNames>
    <definedName name="_xlnm._FilterDatabase" localSheetId="7" hidden="1">부분합!#REF!</definedName>
    <definedName name="_xlnm._FilterDatabase" localSheetId="1" hidden="1">'유효성 검사 규칙1'!#REF!</definedName>
    <definedName name="_xlnm._FilterDatabase" localSheetId="2" hidden="1">'유효성 검사 규칙2'!#REF!</definedName>
    <definedName name="_xlnm._FilterDatabase" localSheetId="3" hidden="1">'유효성 검사 규칙3'!#REF!</definedName>
    <definedName name="_xlnm._FilterDatabase" localSheetId="4" hidden="1">'유효성 검사 규칙4'!#REF!</definedName>
    <definedName name="_xlnm._FilterDatabase" localSheetId="5" hidden="1">'유효성 검사 규칙5'!#REF!</definedName>
    <definedName name="_xlnm._FilterDatabase" localSheetId="6" hidden="1">'유효성 검사 규칙6'!$B$3:$I$38</definedName>
    <definedName name="골드회원">시나리오2!$B$19</definedName>
    <definedName name="브론즈회원">시나리오2!$D$19</definedName>
    <definedName name="세율">시나리오1!$B$21</definedName>
    <definedName name="소계4월">시나리오1!$G$8</definedName>
    <definedName name="소계5월">시나리오1!$G$14</definedName>
    <definedName name="소계6월">시나리오1!$G$19</definedName>
    <definedName name="실매출액합계">시나리오2!$D$15</definedName>
    <definedName name="실버회원">시나리오2!$C$19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4" i="36" l="1"/>
  <c r="C42" i="36"/>
  <c r="C39" i="36"/>
  <c r="C36" i="36"/>
  <c r="C32" i="36"/>
  <c r="C30" i="36"/>
  <c r="C27" i="36"/>
  <c r="C21" i="36"/>
  <c r="C18" i="36"/>
  <c r="C16" i="36"/>
  <c r="C14" i="36"/>
  <c r="C7" i="36"/>
  <c r="C46" i="36" s="1"/>
  <c r="G45" i="36"/>
  <c r="G33" i="36"/>
  <c r="G19" i="36"/>
  <c r="G47" i="36" s="1"/>
  <c r="B4" i="74" l="1"/>
  <c r="B7" i="74" s="1"/>
  <c r="E5" i="74" s="1"/>
  <c r="B6" i="73"/>
  <c r="D14" i="72"/>
  <c r="D13" i="72"/>
  <c r="D12" i="72"/>
  <c r="D11" i="72"/>
  <c r="D10" i="72"/>
  <c r="D9" i="72"/>
  <c r="D8" i="72"/>
  <c r="D7" i="72"/>
  <c r="D6" i="72"/>
  <c r="D5" i="72"/>
  <c r="D4" i="72"/>
  <c r="E19" i="71"/>
  <c r="G18" i="71"/>
  <c r="D18" i="71"/>
  <c r="F17" i="71"/>
  <c r="F19" i="71" s="1"/>
  <c r="D17" i="71"/>
  <c r="G16" i="71"/>
  <c r="D16" i="71"/>
  <c r="G15" i="71"/>
  <c r="D15" i="71"/>
  <c r="E14" i="71"/>
  <c r="G13" i="71"/>
  <c r="D13" i="71"/>
  <c r="F12" i="71"/>
  <c r="G12" i="71" s="1"/>
  <c r="D12" i="71"/>
  <c r="G11" i="71"/>
  <c r="D11" i="71"/>
  <c r="G10" i="71"/>
  <c r="G14" i="71" s="1"/>
  <c r="D10" i="71"/>
  <c r="G9" i="71"/>
  <c r="D9" i="71"/>
  <c r="E8" i="71"/>
  <c r="G7" i="71"/>
  <c r="D7" i="71"/>
  <c r="F6" i="71"/>
  <c r="G6" i="71" s="1"/>
  <c r="D6" i="71"/>
  <c r="G5" i="71"/>
  <c r="D5" i="71"/>
  <c r="G4" i="71"/>
  <c r="D4" i="71"/>
  <c r="E19" i="70"/>
  <c r="G18" i="70"/>
  <c r="D18" i="70"/>
  <c r="F17" i="70"/>
  <c r="G17" i="70" s="1"/>
  <c r="D17" i="70"/>
  <c r="G16" i="70"/>
  <c r="D16" i="70"/>
  <c r="G15" i="70"/>
  <c r="D15" i="70"/>
  <c r="E14" i="70"/>
  <c r="G13" i="70"/>
  <c r="D13" i="70"/>
  <c r="F12" i="70"/>
  <c r="G12" i="70" s="1"/>
  <c r="D12" i="70"/>
  <c r="G11" i="70"/>
  <c r="D11" i="70"/>
  <c r="G10" i="70"/>
  <c r="D10" i="70"/>
  <c r="G9" i="70"/>
  <c r="D9" i="70"/>
  <c r="E8" i="70"/>
  <c r="G7" i="70"/>
  <c r="D7" i="70"/>
  <c r="F6" i="70"/>
  <c r="F8" i="70" s="1"/>
  <c r="D6" i="70"/>
  <c r="G5" i="70"/>
  <c r="D5" i="70"/>
  <c r="G4" i="70"/>
  <c r="D4" i="70"/>
  <c r="F10" i="69"/>
  <c r="F9" i="69"/>
  <c r="F8" i="69"/>
  <c r="F7" i="69"/>
  <c r="F6" i="69"/>
  <c r="F5" i="69"/>
  <c r="F4" i="69"/>
  <c r="E6" i="73" l="1"/>
  <c r="F15" i="73"/>
  <c r="G8" i="71"/>
  <c r="D15" i="72"/>
  <c r="F14" i="71"/>
  <c r="G14" i="70"/>
  <c r="F14" i="70"/>
  <c r="G19" i="70"/>
  <c r="G17" i="71"/>
  <c r="G19" i="71" s="1"/>
  <c r="F8" i="71"/>
  <c r="G6" i="70"/>
  <c r="G8" i="70" s="1"/>
  <c r="F19" i="70"/>
  <c r="G20" i="71" l="1"/>
</calcChain>
</file>

<file path=xl/sharedStrings.xml><?xml version="1.0" encoding="utf-8"?>
<sst xmlns="http://schemas.openxmlformats.org/spreadsheetml/2006/main" count="839" uniqueCount="385">
  <si>
    <t>김미영</t>
  </si>
  <si>
    <t>이름</t>
  </si>
  <si>
    <t>가입나이</t>
  </si>
  <si>
    <t>코드</t>
  </si>
  <si>
    <t>구분-성별</t>
  </si>
  <si>
    <t>가입금액</t>
  </si>
  <si>
    <t>가입기간</t>
  </si>
  <si>
    <t>BM</t>
  </si>
  <si>
    <t>기본형-남자</t>
  </si>
  <si>
    <t>BW</t>
  </si>
  <si>
    <t>기본형-여자</t>
  </si>
  <si>
    <t>SM</t>
  </si>
  <si>
    <t>추가보장-남자</t>
  </si>
  <si>
    <t>SW</t>
  </si>
  <si>
    <t>추가보장-여자</t>
  </si>
  <si>
    <t>학번</t>
  </si>
  <si>
    <t>학과</t>
  </si>
  <si>
    <t>씨앗코드</t>
  </si>
  <si>
    <t>씨앗명</t>
  </si>
  <si>
    <t>원산지</t>
  </si>
  <si>
    <t>성장주기</t>
  </si>
  <si>
    <t>높이</t>
  </si>
  <si>
    <t>용량</t>
  </si>
  <si>
    <t>파종시기</t>
  </si>
  <si>
    <t>개화시기</t>
  </si>
  <si>
    <t>판매가격</t>
  </si>
  <si>
    <t>A0077</t>
  </si>
  <si>
    <t>금계국</t>
  </si>
  <si>
    <t>중국</t>
  </si>
  <si>
    <t>일년생</t>
  </si>
  <si>
    <t>30~50cm</t>
  </si>
  <si>
    <t>3~5</t>
  </si>
  <si>
    <t>6~9</t>
  </si>
  <si>
    <t>A1002</t>
  </si>
  <si>
    <t>코스모스</t>
  </si>
  <si>
    <t>1~2m</t>
  </si>
  <si>
    <t>4~6</t>
  </si>
  <si>
    <t>7~10</t>
  </si>
  <si>
    <t>A1005</t>
  </si>
  <si>
    <t>이베리스</t>
  </si>
  <si>
    <t>미국</t>
  </si>
  <si>
    <t>20㎝</t>
  </si>
  <si>
    <t>7~9</t>
  </si>
  <si>
    <t>A1355</t>
  </si>
  <si>
    <t>메밀꽃</t>
  </si>
  <si>
    <t>한국</t>
  </si>
  <si>
    <t>40~70㎝</t>
  </si>
  <si>
    <t>4~5</t>
  </si>
  <si>
    <t>A2011</t>
  </si>
  <si>
    <t>봉선화</t>
  </si>
  <si>
    <t>50~80㎝</t>
  </si>
  <si>
    <t>A3200</t>
  </si>
  <si>
    <t>나팔꽃</t>
  </si>
  <si>
    <t>2~3m</t>
  </si>
  <si>
    <t>A3218</t>
  </si>
  <si>
    <t>기생초</t>
  </si>
  <si>
    <t>30~100cm</t>
  </si>
  <si>
    <t>A9022</t>
  </si>
  <si>
    <t>한련화</t>
  </si>
  <si>
    <t>50~60㎝</t>
  </si>
  <si>
    <t>6~10</t>
  </si>
  <si>
    <t>B0001</t>
  </si>
  <si>
    <t>물망초</t>
  </si>
  <si>
    <t>월년생</t>
  </si>
  <si>
    <t>20~50㎝</t>
  </si>
  <si>
    <t>9~10</t>
  </si>
  <si>
    <t>B0012</t>
  </si>
  <si>
    <t>양귀비</t>
  </si>
  <si>
    <t>30~80cm</t>
  </si>
  <si>
    <t>8~10</t>
  </si>
  <si>
    <t>B1355</t>
  </si>
  <si>
    <t>수레국화</t>
  </si>
  <si>
    <t>30~90cm</t>
  </si>
  <si>
    <t>5~6</t>
  </si>
  <si>
    <t>B2008</t>
  </si>
  <si>
    <t>자운영</t>
  </si>
  <si>
    <t>10~25cm</t>
  </si>
  <si>
    <t>8~9</t>
  </si>
  <si>
    <t>B3255</t>
  </si>
  <si>
    <t>유채꽃</t>
  </si>
  <si>
    <t>80~130cm</t>
  </si>
  <si>
    <t>3~4</t>
  </si>
  <si>
    <t>B3500</t>
  </si>
  <si>
    <t>달맞이꽃</t>
  </si>
  <si>
    <t>50~90㎝</t>
  </si>
  <si>
    <t>3~9</t>
  </si>
  <si>
    <t>B6211</t>
  </si>
  <si>
    <t>끈끈이대나물</t>
  </si>
  <si>
    <t>40~50cm</t>
  </si>
  <si>
    <t>6~8</t>
  </si>
  <si>
    <t>B7011</t>
  </si>
  <si>
    <t>안개꽃</t>
  </si>
  <si>
    <t>5~8</t>
  </si>
  <si>
    <t>B9003</t>
  </si>
  <si>
    <t>헤어리베치</t>
  </si>
  <si>
    <t>호주</t>
  </si>
  <si>
    <t>1.5~2m</t>
  </si>
  <si>
    <t>P0005</t>
  </si>
  <si>
    <t>치커리</t>
  </si>
  <si>
    <t>다년생</t>
  </si>
  <si>
    <t>50~150㎝</t>
  </si>
  <si>
    <t>P0011</t>
  </si>
  <si>
    <t>더덕</t>
  </si>
  <si>
    <t>2~5m</t>
  </si>
  <si>
    <t>P2500</t>
  </si>
  <si>
    <t>샤스타데이지</t>
  </si>
  <si>
    <t>60~90㎝</t>
  </si>
  <si>
    <t>5~7</t>
  </si>
  <si>
    <t>P3170</t>
  </si>
  <si>
    <t>쑥부쟁이</t>
  </si>
  <si>
    <t>35~50cm</t>
  </si>
  <si>
    <t>P6001</t>
  </si>
  <si>
    <t>벌노랑이</t>
  </si>
  <si>
    <t>20~30cm</t>
  </si>
  <si>
    <t>서울</t>
  </si>
  <si>
    <t>부산</t>
  </si>
  <si>
    <t>광주</t>
  </si>
  <si>
    <t>대구</t>
  </si>
  <si>
    <t>곽경미</t>
  </si>
  <si>
    <t>박갑열</t>
  </si>
  <si>
    <t>과목</t>
  </si>
  <si>
    <t>접수일</t>
  </si>
  <si>
    <t>시험날짜</t>
  </si>
  <si>
    <t>점수</t>
  </si>
  <si>
    <t>202084155</t>
  </si>
  <si>
    <t>강경순</t>
  </si>
  <si>
    <t>코딩설계공학과</t>
  </si>
  <si>
    <t>워드</t>
  </si>
  <si>
    <t>파워포인트</t>
  </si>
  <si>
    <t>엑셀</t>
  </si>
  <si>
    <t>액세스</t>
  </si>
  <si>
    <t>201984151</t>
  </si>
  <si>
    <t>강정화</t>
  </si>
  <si>
    <t>202084158</t>
  </si>
  <si>
    <t>공은주</t>
  </si>
  <si>
    <t>202116126</t>
  </si>
  <si>
    <t>전자공학과</t>
  </si>
  <si>
    <t>202105156</t>
  </si>
  <si>
    <t>곽복규</t>
  </si>
  <si>
    <t>드론콘텐츠과</t>
  </si>
  <si>
    <t>201984132</t>
  </si>
  <si>
    <t>곽향순</t>
  </si>
  <si>
    <t>201984136</t>
  </si>
  <si>
    <t>곽호동</t>
  </si>
  <si>
    <t>202184432</t>
  </si>
  <si>
    <t>김경희</t>
  </si>
  <si>
    <t>201984141</t>
  </si>
  <si>
    <t>김금선</t>
  </si>
  <si>
    <t>201984427</t>
  </si>
  <si>
    <t>202007162</t>
  </si>
  <si>
    <t>김병래</t>
  </si>
  <si>
    <t>201984153</t>
  </si>
  <si>
    <t>김상덕</t>
  </si>
  <si>
    <t>201984431</t>
  </si>
  <si>
    <t>김숙자</t>
  </si>
  <si>
    <t>202197138</t>
  </si>
  <si>
    <t>김찬수</t>
  </si>
  <si>
    <t>202184436</t>
  </si>
  <si>
    <t>노선녀</t>
  </si>
  <si>
    <t>202019135</t>
  </si>
  <si>
    <t>201984133</t>
  </si>
  <si>
    <t>박강훈</t>
  </si>
  <si>
    <t>202105146</t>
  </si>
  <si>
    <t>박금옥</t>
  </si>
  <si>
    <t>[표1]</t>
  </si>
  <si>
    <t>[표1]</t>
    <phoneticPr fontId="3" type="noConversion"/>
  </si>
  <si>
    <t>꽃</t>
  </si>
  <si>
    <t>지역명</t>
  </si>
  <si>
    <t>개화일</t>
  </si>
  <si>
    <t>평년</t>
  </si>
  <si>
    <t>평년차</t>
  </si>
  <si>
    <t>개나리</t>
  </si>
  <si>
    <t>강릉</t>
  </si>
  <si>
    <t>벚꽃</t>
  </si>
  <si>
    <t>진달래</t>
  </si>
  <si>
    <t>대전</t>
  </si>
  <si>
    <t>서귀포</t>
  </si>
  <si>
    <t>수원</t>
  </si>
  <si>
    <t>여수</t>
  </si>
  <si>
    <t>인천</t>
  </si>
  <si>
    <t>전주</t>
  </si>
  <si>
    <t>[표1]</t>
    <phoneticPr fontId="3" type="noConversion"/>
  </si>
  <si>
    <t>이메일</t>
    <phoneticPr fontId="3" type="noConversion"/>
  </si>
  <si>
    <t>lion@gmail.com</t>
    <phoneticPr fontId="3" type="noConversion"/>
  </si>
  <si>
    <t>dog@naver.com</t>
    <phoneticPr fontId="3" type="noConversion"/>
  </si>
  <si>
    <t>cat@hanmail.net</t>
    <phoneticPr fontId="3" type="noConversion"/>
  </si>
  <si>
    <t>pig@hotmail.com</t>
    <phoneticPr fontId="3" type="noConversion"/>
  </si>
  <si>
    <t>rabbit@nate.com</t>
    <phoneticPr fontId="3" type="noConversion"/>
  </si>
  <si>
    <t>dragonfly@gmail.com</t>
    <phoneticPr fontId="3" type="noConversion"/>
  </si>
  <si>
    <t>butterfly@naver.com</t>
    <phoneticPr fontId="3" type="noConversion"/>
  </si>
  <si>
    <t>cow@hanmail.net</t>
    <phoneticPr fontId="3" type="noConversion"/>
  </si>
  <si>
    <t>giraffe@hotmail.com</t>
    <phoneticPr fontId="3" type="noConversion"/>
  </si>
  <si>
    <t>wolf@nate.com</t>
    <phoneticPr fontId="3" type="noConversion"/>
  </si>
  <si>
    <t>fox@gmail.com</t>
    <phoneticPr fontId="3" type="noConversion"/>
  </si>
  <si>
    <t>whale@naver.com</t>
    <phoneticPr fontId="3" type="noConversion"/>
  </si>
  <si>
    <t>cccc@hanmail.net</t>
    <phoneticPr fontId="3" type="noConversion"/>
  </si>
  <si>
    <t>shakr@hotmail.com</t>
    <phoneticPr fontId="3" type="noConversion"/>
  </si>
  <si>
    <t>tuna@nate.com</t>
    <phoneticPr fontId="3" type="noConversion"/>
  </si>
  <si>
    <t>owl@gmail.com</t>
    <phoneticPr fontId="3" type="noConversion"/>
  </si>
  <si>
    <t>goose@naver.com</t>
    <phoneticPr fontId="3" type="noConversion"/>
  </si>
  <si>
    <t>stork@hanmail.net</t>
    <phoneticPr fontId="3" type="noConversion"/>
  </si>
  <si>
    <t>반</t>
  </si>
  <si>
    <t>성명</t>
  </si>
  <si>
    <t>성별</t>
  </si>
  <si>
    <t>생년월일</t>
  </si>
  <si>
    <t>연락처</t>
  </si>
  <si>
    <t>믿음반</t>
  </si>
  <si>
    <t>김서영</t>
  </si>
  <si>
    <t>여</t>
  </si>
  <si>
    <t>010-88**-****</t>
  </si>
  <si>
    <t>김종헌</t>
  </si>
  <si>
    <t>남</t>
  </si>
  <si>
    <t>010-73**-****</t>
  </si>
  <si>
    <t>김주형</t>
  </si>
  <si>
    <t>010-42**-****</t>
  </si>
  <si>
    <t>박건우</t>
  </si>
  <si>
    <t>010-47**-****</t>
  </si>
  <si>
    <t>박연우</t>
  </si>
  <si>
    <t>010-82**-****</t>
  </si>
  <si>
    <t>010-51**-****</t>
  </si>
  <si>
    <t>송예린</t>
  </si>
  <si>
    <t>전지호</t>
  </si>
  <si>
    <t>010-53**-****</t>
  </si>
  <si>
    <t>소망반</t>
  </si>
  <si>
    <t>박진우</t>
  </si>
  <si>
    <t>010-71**-****</t>
  </si>
  <si>
    <t>오정은</t>
  </si>
  <si>
    <t>010-40**-****</t>
  </si>
  <si>
    <t>유연서</t>
  </si>
  <si>
    <t>010-52**-****</t>
  </si>
  <si>
    <t>윤서연</t>
  </si>
  <si>
    <t>이수린</t>
  </si>
  <si>
    <t>010-27**-****</t>
  </si>
  <si>
    <t>이유진</t>
  </si>
  <si>
    <t>010-44**-****</t>
  </si>
  <si>
    <t>임형빈</t>
  </si>
  <si>
    <t>010-99**-****</t>
  </si>
  <si>
    <t>장시훈</t>
  </si>
  <si>
    <t>010-46**-****</t>
  </si>
  <si>
    <t>최경은</t>
  </si>
  <si>
    <t>010-32**-****</t>
  </si>
  <si>
    <t>온유반</t>
  </si>
  <si>
    <t>권지인</t>
  </si>
  <si>
    <t>010-84**-****</t>
  </si>
  <si>
    <t>김시연</t>
  </si>
  <si>
    <t>010-36**-****</t>
  </si>
  <si>
    <t>김주한</t>
  </si>
  <si>
    <t>010-93**-****</t>
  </si>
  <si>
    <t>박준영</t>
  </si>
  <si>
    <t>박지원</t>
  </si>
  <si>
    <t>이지선</t>
  </si>
  <si>
    <t>차숙원</t>
  </si>
  <si>
    <t>010-62**-****</t>
  </si>
  <si>
    <t>[표1]</t>
    <phoneticPr fontId="3" type="noConversion"/>
  </si>
  <si>
    <t>출석일수</t>
    <phoneticPr fontId="3" type="noConversion"/>
  </si>
  <si>
    <t>[표1] 중간고사 성적표</t>
    <phoneticPr fontId="3" type="noConversion"/>
  </si>
  <si>
    <t>[표3] 1학년 성적표</t>
    <phoneticPr fontId="3" type="noConversion"/>
  </si>
  <si>
    <t>성명</t>
    <phoneticPr fontId="3" type="noConversion"/>
  </si>
  <si>
    <t>엑셀</t>
    <phoneticPr fontId="3" type="noConversion"/>
  </si>
  <si>
    <t>액세스</t>
    <phoneticPr fontId="3" type="noConversion"/>
  </si>
  <si>
    <t>워드</t>
    <phoneticPr fontId="3" type="noConversion"/>
  </si>
  <si>
    <t>총점</t>
    <phoneticPr fontId="3" type="noConversion"/>
  </si>
  <si>
    <t>엑셀</t>
    <phoneticPr fontId="3" type="noConversion"/>
  </si>
  <si>
    <t>총점</t>
    <phoneticPr fontId="3" type="noConversion"/>
  </si>
  <si>
    <t>고상환</t>
    <phoneticPr fontId="3" type="noConversion"/>
  </si>
  <si>
    <t>김태중</t>
    <phoneticPr fontId="3" type="noConversion"/>
  </si>
  <si>
    <t>김태중</t>
    <phoneticPr fontId="3" type="noConversion"/>
  </si>
  <si>
    <t>정지호</t>
    <phoneticPr fontId="3" type="noConversion"/>
  </si>
  <si>
    <t>정지호</t>
    <phoneticPr fontId="3" type="noConversion"/>
  </si>
  <si>
    <t>김민정</t>
    <phoneticPr fontId="3" type="noConversion"/>
  </si>
  <si>
    <t>정유리</t>
    <phoneticPr fontId="3" type="noConversion"/>
  </si>
  <si>
    <t>정유리</t>
    <phoneticPr fontId="3" type="noConversion"/>
  </si>
  <si>
    <t>유지선</t>
    <phoneticPr fontId="3" type="noConversion"/>
  </si>
  <si>
    <t>한슬기</t>
    <phoneticPr fontId="3" type="noConversion"/>
  </si>
  <si>
    <t>한슬기</t>
    <phoneticPr fontId="3" type="noConversion"/>
  </si>
  <si>
    <t>[표2] 기말고사 성적표</t>
    <phoneticPr fontId="3" type="noConversion"/>
  </si>
  <si>
    <t>월별 입출고 내역서</t>
    <phoneticPr fontId="3" type="noConversion"/>
  </si>
  <si>
    <t>월</t>
    <phoneticPr fontId="3" type="noConversion"/>
  </si>
  <si>
    <t>송장번호</t>
    <phoneticPr fontId="3" type="noConversion"/>
  </si>
  <si>
    <t>입고일자</t>
    <phoneticPr fontId="3" type="noConversion"/>
  </si>
  <si>
    <t>출고일자</t>
    <phoneticPr fontId="3" type="noConversion"/>
  </si>
  <si>
    <t>판매액</t>
    <phoneticPr fontId="3" type="noConversion"/>
  </si>
  <si>
    <t>공급가</t>
    <phoneticPr fontId="3" type="noConversion"/>
  </si>
  <si>
    <t>세금</t>
    <phoneticPr fontId="3" type="noConversion"/>
  </si>
  <si>
    <t>소계</t>
    <phoneticPr fontId="3" type="noConversion"/>
  </si>
  <si>
    <t>소계</t>
    <phoneticPr fontId="3" type="noConversion"/>
  </si>
  <si>
    <t>세율</t>
    <phoneticPr fontId="3" type="noConversion"/>
  </si>
  <si>
    <t>월별 입출고 내역서</t>
    <phoneticPr fontId="3" type="noConversion"/>
  </si>
  <si>
    <t>김서정</t>
    <phoneticPr fontId="3" type="noConversion"/>
  </si>
  <si>
    <t>월</t>
    <phoneticPr fontId="3" type="noConversion"/>
  </si>
  <si>
    <t>담당자</t>
    <phoneticPr fontId="3" type="noConversion"/>
  </si>
  <si>
    <t>입고일자</t>
    <phoneticPr fontId="3" type="noConversion"/>
  </si>
  <si>
    <t>출고일자</t>
    <phoneticPr fontId="3" type="noConversion"/>
  </si>
  <si>
    <t>판매액</t>
    <phoneticPr fontId="3" type="noConversion"/>
  </si>
  <si>
    <t>공급가</t>
    <phoneticPr fontId="3" type="noConversion"/>
  </si>
  <si>
    <t>세금</t>
    <phoneticPr fontId="3" type="noConversion"/>
  </si>
  <si>
    <t>김서정</t>
    <phoneticPr fontId="3" type="noConversion"/>
  </si>
  <si>
    <t>이재혁</t>
    <phoneticPr fontId="3" type="noConversion"/>
  </si>
  <si>
    <t>김모은</t>
    <phoneticPr fontId="3" type="noConversion"/>
  </si>
  <si>
    <t>박리나</t>
    <phoneticPr fontId="3" type="noConversion"/>
  </si>
  <si>
    <t>4월 합계</t>
    <phoneticPr fontId="3" type="noConversion"/>
  </si>
  <si>
    <t>김모은</t>
    <phoneticPr fontId="3" type="noConversion"/>
  </si>
  <si>
    <t>박리나</t>
    <phoneticPr fontId="3" type="noConversion"/>
  </si>
  <si>
    <t>박민채</t>
    <phoneticPr fontId="3" type="noConversion"/>
  </si>
  <si>
    <t>5월 합계</t>
    <phoneticPr fontId="3" type="noConversion"/>
  </si>
  <si>
    <t>이재혁</t>
    <phoneticPr fontId="3" type="noConversion"/>
  </si>
  <si>
    <t>김모은</t>
    <phoneticPr fontId="3" type="noConversion"/>
  </si>
  <si>
    <t>박리나</t>
    <phoneticPr fontId="3" type="noConversion"/>
  </si>
  <si>
    <t>6월 합계</t>
    <phoneticPr fontId="3" type="noConversion"/>
  </si>
  <si>
    <t>전체합계</t>
    <phoneticPr fontId="3" type="noConversion"/>
  </si>
  <si>
    <t>세율</t>
    <phoneticPr fontId="3" type="noConversion"/>
  </si>
  <si>
    <t>실버회원</t>
    <phoneticPr fontId="3" type="noConversion"/>
  </si>
  <si>
    <t>브론즈회원</t>
    <phoneticPr fontId="3" type="noConversion"/>
  </si>
  <si>
    <t>우승균</t>
    <phoneticPr fontId="3" type="noConversion"/>
  </si>
  <si>
    <t>정지현</t>
    <phoneticPr fontId="3" type="noConversion"/>
  </si>
  <si>
    <t>A마트매출현황</t>
    <phoneticPr fontId="3" type="noConversion"/>
  </si>
  <si>
    <t>이름</t>
    <phoneticPr fontId="3" type="noConversion"/>
  </si>
  <si>
    <t>회원</t>
    <phoneticPr fontId="3" type="noConversion"/>
  </si>
  <si>
    <t>구입액</t>
    <phoneticPr fontId="3" type="noConversion"/>
  </si>
  <si>
    <t>실매출액</t>
    <phoneticPr fontId="3" type="noConversion"/>
  </si>
  <si>
    <t>김은샘</t>
    <phoneticPr fontId="3" type="noConversion"/>
  </si>
  <si>
    <t>실버회원</t>
    <phoneticPr fontId="3" type="noConversion"/>
  </si>
  <si>
    <t>곽가을</t>
    <phoneticPr fontId="3" type="noConversion"/>
  </si>
  <si>
    <t>반현지</t>
    <phoneticPr fontId="3" type="noConversion"/>
  </si>
  <si>
    <t>정서린</t>
    <phoneticPr fontId="3" type="noConversion"/>
  </si>
  <si>
    <t>오민영</t>
    <phoneticPr fontId="3" type="noConversion"/>
  </si>
  <si>
    <t>골드회원</t>
    <phoneticPr fontId="3" type="noConversion"/>
  </si>
  <si>
    <t>김라온</t>
    <phoneticPr fontId="3" type="noConversion"/>
  </si>
  <si>
    <t>홍도연</t>
    <phoneticPr fontId="3" type="noConversion"/>
  </si>
  <si>
    <t>실버회원</t>
    <phoneticPr fontId="3" type="noConversion"/>
  </si>
  <si>
    <t>브론즈회원</t>
    <phoneticPr fontId="3" type="noConversion"/>
  </si>
  <si>
    <t>골드회원</t>
    <phoneticPr fontId="3" type="noConversion"/>
  </si>
  <si>
    <t>윤준영</t>
    <phoneticPr fontId="3" type="noConversion"/>
  </si>
  <si>
    <t>송민성</t>
    <phoneticPr fontId="3" type="noConversion"/>
  </si>
  <si>
    <t>실매출액 합계</t>
    <phoneticPr fontId="3" type="noConversion"/>
  </si>
  <si>
    <t>회원 할인율</t>
    <phoneticPr fontId="3" type="noConversion"/>
  </si>
  <si>
    <t>브론즈회원</t>
    <phoneticPr fontId="3" type="noConversion"/>
  </si>
  <si>
    <t>기간(년)</t>
    <phoneticPr fontId="3" type="noConversion"/>
  </si>
  <si>
    <t>이율(%)</t>
    <phoneticPr fontId="3" type="noConversion"/>
  </si>
  <si>
    <t>아파트 대출 현황</t>
    <phoneticPr fontId="3" type="noConversion"/>
  </si>
  <si>
    <t>대출금</t>
    <phoneticPr fontId="3" type="noConversion"/>
  </si>
  <si>
    <t>이율(년)</t>
    <phoneticPr fontId="3" type="noConversion"/>
  </si>
  <si>
    <t>기간(년)</t>
    <phoneticPr fontId="3" type="noConversion"/>
  </si>
  <si>
    <t>월납입액</t>
    <phoneticPr fontId="3" type="noConversion"/>
  </si>
  <si>
    <t>A지점 노트북 판매</t>
    <phoneticPr fontId="3" type="noConversion"/>
  </si>
  <si>
    <t>판매량</t>
    <phoneticPr fontId="3" type="noConversion"/>
  </si>
  <si>
    <t>판매가</t>
    <phoneticPr fontId="3" type="noConversion"/>
  </si>
  <si>
    <t>판매금액</t>
    <phoneticPr fontId="3" type="noConversion"/>
  </si>
  <si>
    <t>이익률</t>
    <phoneticPr fontId="3" type="noConversion"/>
  </si>
  <si>
    <t>실수익액</t>
    <phoneticPr fontId="3" type="noConversion"/>
  </si>
  <si>
    <t>믿음반 평균</t>
  </si>
  <si>
    <t>소망반 평균</t>
  </si>
  <si>
    <t>온유반 평균</t>
  </si>
  <si>
    <t>전체 평균</t>
  </si>
  <si>
    <t>여 개수</t>
  </si>
  <si>
    <t>남 개수</t>
  </si>
  <si>
    <t>전체 개수</t>
  </si>
  <si>
    <t>총점</t>
  </si>
  <si>
    <t>고상환</t>
  </si>
  <si>
    <t>김태중</t>
  </si>
  <si>
    <t>정지호</t>
  </si>
  <si>
    <t>김민정</t>
  </si>
  <si>
    <t>정유리</t>
  </si>
  <si>
    <t>유지선</t>
  </si>
  <si>
    <t>한슬기</t>
  </si>
  <si>
    <t>세율인상</t>
  </si>
  <si>
    <t>만든 사람 Jieun Park 날짜 2023-07-16</t>
  </si>
  <si>
    <t>세율인하</t>
  </si>
  <si>
    <t>시나리오 요약</t>
  </si>
  <si>
    <t>변경 셀:</t>
  </si>
  <si>
    <t>현재 값: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</si>
  <si>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</si>
  <si>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</si>
  <si>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</si>
  <si>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세율</t>
  </si>
  <si>
    <t>소계4월</t>
  </si>
  <si>
    <t>소계5월</t>
  </si>
  <si>
    <t>소계6월</t>
  </si>
  <si>
    <t>결과 셀:</t>
  </si>
  <si>
    <t>골드회원</t>
  </si>
  <si>
    <t>실버회원</t>
  </si>
  <si>
    <t>브론즈회원</t>
  </si>
  <si>
    <t>실매출액합계</t>
  </si>
  <si>
    <t>할인율인상</t>
  </si>
  <si>
    <t>할인율인하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</si>
</sst>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₩&quot;#,##0;[Red]\-&quot;₩&quot;#,##0"/>
    <numFmt numFmtId="41" formatCode="_-* #,##0_-;\-* #,##0_-;_-* &quot;-&quot;_-;_-@_-"/>
    <numFmt numFmtId="176" formatCode="0\ &quot;세&quot;"/>
    <numFmt numFmtId="177" formatCode="General&quot;월&quot;"/>
    <numFmt numFmtId="178" formatCode="0.0%"/>
    <numFmt numFmtId="179" formatCode="&quot;₩&quot;#,##0_);[Red]\(&quot;₩&quot;#,##0\)"/>
  </numFmts>
  <fonts count="2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0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7" fillId="0" borderId="0"/>
    <xf numFmtId="9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</cellStyleXfs>
  <cellXfs count="105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41" fontId="0" fillId="0" borderId="2" xfId="1" applyFont="1" applyBorder="1" applyAlignment="1"/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41" fontId="5" fillId="0" borderId="0" xfId="1" applyFont="1">
      <alignment vertical="center"/>
    </xf>
    <xf numFmtId="14" fontId="5" fillId="0" borderId="0" xfId="1" applyNumberFormat="1" applyFont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41" fontId="5" fillId="0" borderId="1" xfId="1" applyFont="1" applyBorder="1">
      <alignment vertical="center"/>
    </xf>
    <xf numFmtId="176" fontId="5" fillId="0" borderId="2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2" fillId="2" borderId="2" xfId="2" applyBorder="1" applyAlignment="1">
      <alignment horizontal="center" vertical="center"/>
    </xf>
    <xf numFmtId="41" fontId="2" fillId="2" borderId="2" xfId="2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0" fillId="0" borderId="2" xfId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2" fillId="2" borderId="3" xfId="2" applyBorder="1" applyAlignment="1">
      <alignment horizontal="center" vertical="center"/>
    </xf>
    <xf numFmtId="0" fontId="0" fillId="0" borderId="3" xfId="0" applyBorder="1">
      <alignment vertical="center"/>
    </xf>
    <xf numFmtId="0" fontId="10" fillId="0" borderId="3" xfId="0" applyFont="1" applyBorder="1" applyAlignment="1">
      <alignment horizontal="center" vertical="center"/>
    </xf>
    <xf numFmtId="14" fontId="11" fillId="0" borderId="3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0" fontId="2" fillId="0" borderId="7" xfId="0" applyFon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9" fontId="0" fillId="0" borderId="3" xfId="0" applyNumberFormat="1" applyBorder="1" applyAlignment="1">
      <alignment horizontal="center" vertical="center"/>
    </xf>
    <xf numFmtId="41" fontId="0" fillId="4" borderId="3" xfId="1" applyFont="1" applyFill="1" applyBorder="1" applyAlignment="1">
      <alignment horizontal="center" vertical="center"/>
    </xf>
    <xf numFmtId="41" fontId="0" fillId="0" borderId="3" xfId="0" applyNumberFormat="1" applyBorder="1">
      <alignment vertical="center"/>
    </xf>
    <xf numFmtId="41" fontId="0" fillId="0" borderId="3" xfId="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1" xfId="0" applyBorder="1">
      <alignment vertical="center"/>
    </xf>
    <xf numFmtId="41" fontId="0" fillId="0" borderId="12" xfId="1" applyFont="1" applyBorder="1">
      <alignment vertical="center"/>
    </xf>
    <xf numFmtId="0" fontId="0" fillId="0" borderId="13" xfId="0" applyBorder="1">
      <alignment vertical="center"/>
    </xf>
    <xf numFmtId="10" fontId="0" fillId="0" borderId="14" xfId="0" applyNumberFormat="1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6" fontId="0" fillId="5" borderId="19" xfId="0" applyNumberFormat="1" applyFill="1" applyBorder="1">
      <alignment vertical="center"/>
    </xf>
    <xf numFmtId="6" fontId="0" fillId="5" borderId="20" xfId="0" applyNumberFormat="1" applyFill="1" applyBorder="1">
      <alignment vertical="center"/>
    </xf>
    <xf numFmtId="178" fontId="0" fillId="0" borderId="21" xfId="0" applyNumberFormat="1" applyBorder="1" applyAlignment="1">
      <alignment horizontal="center" vertical="center"/>
    </xf>
    <xf numFmtId="178" fontId="0" fillId="0" borderId="22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41" fontId="0" fillId="0" borderId="25" xfId="1" applyFont="1" applyBorder="1">
      <alignment vertical="center"/>
    </xf>
    <xf numFmtId="0" fontId="0" fillId="0" borderId="28" xfId="0" applyBorder="1" applyAlignment="1">
      <alignment horizontal="center" vertical="center"/>
    </xf>
    <xf numFmtId="41" fontId="0" fillId="0" borderId="29" xfId="1" applyFont="1" applyBorder="1">
      <alignment vertical="center"/>
    </xf>
    <xf numFmtId="41" fontId="0" fillId="0" borderId="30" xfId="1" applyFont="1" applyBorder="1">
      <alignment vertical="center"/>
    </xf>
    <xf numFmtId="179" fontId="0" fillId="0" borderId="0" xfId="0" applyNumberFormat="1">
      <alignment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>
      <alignment vertical="center"/>
    </xf>
    <xf numFmtId="41" fontId="0" fillId="0" borderId="25" xfId="0" applyNumberFormat="1" applyBorder="1">
      <alignment vertical="center"/>
    </xf>
    <xf numFmtId="9" fontId="0" fillId="0" borderId="30" xfId="0" applyNumberFormat="1" applyBorder="1">
      <alignment vertical="center"/>
    </xf>
    <xf numFmtId="41" fontId="0" fillId="5" borderId="11" xfId="1" applyFont="1" applyFill="1" applyBorder="1">
      <alignment vertical="center"/>
    </xf>
    <xf numFmtId="41" fontId="0" fillId="0" borderId="1" xfId="1" applyFont="1" applyBorder="1">
      <alignment vertical="center"/>
    </xf>
    <xf numFmtId="41" fontId="0" fillId="0" borderId="31" xfId="1" applyFont="1" applyBorder="1">
      <alignment vertical="center"/>
    </xf>
    <xf numFmtId="0" fontId="0" fillId="0" borderId="10" xfId="0" applyBorder="1">
      <alignment vertical="center"/>
    </xf>
    <xf numFmtId="41" fontId="0" fillId="0" borderId="14" xfId="1" applyFont="1" applyBorder="1">
      <alignment vertical="center"/>
    </xf>
    <xf numFmtId="0" fontId="0" fillId="0" borderId="32" xfId="0" applyBorder="1" applyAlignment="1">
      <alignment horizontal="center" vertical="center"/>
    </xf>
    <xf numFmtId="41" fontId="0" fillId="5" borderId="33" xfId="0" applyNumberFormat="1" applyFill="1" applyBorder="1">
      <alignment vertical="center"/>
    </xf>
    <xf numFmtId="0" fontId="0" fillId="0" borderId="34" xfId="0" applyBorder="1">
      <alignment vertical="center"/>
    </xf>
    <xf numFmtId="41" fontId="0" fillId="0" borderId="35" xfId="1" applyFont="1" applyBorder="1">
      <alignment vertical="center"/>
    </xf>
    <xf numFmtId="41" fontId="0" fillId="0" borderId="16" xfId="1" applyFont="1" applyBorder="1">
      <alignment vertical="center"/>
    </xf>
    <xf numFmtId="0" fontId="12" fillId="0" borderId="0" xfId="0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4" fillId="0" borderId="3" xfId="9" applyBorder="1">
      <alignment vertical="center"/>
    </xf>
    <xf numFmtId="0" fontId="15" fillId="0" borderId="3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14" fontId="11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7" fillId="6" borderId="38" xfId="0" applyFont="1" applyFill="1" applyBorder="1" applyAlignment="1">
      <alignment horizontal="left" vertical="center"/>
    </xf>
    <xf numFmtId="0" fontId="16" fillId="6" borderId="36" xfId="0" applyFont="1" applyFill="1" applyBorder="1" applyAlignment="1">
      <alignment horizontal="left" vertical="center"/>
    </xf>
    <xf numFmtId="0" fontId="17" fillId="6" borderId="36" xfId="0" applyFont="1" applyFill="1" applyBorder="1" applyAlignment="1">
      <alignment horizontal="left" vertical="center"/>
    </xf>
    <xf numFmtId="0" fontId="0" fillId="0" borderId="9" xfId="0" applyFill="1" applyBorder="1" applyAlignment="1">
      <alignment vertical="center"/>
    </xf>
    <xf numFmtId="0" fontId="18" fillId="7" borderId="0" xfId="0" applyFont="1" applyFill="1" applyBorder="1" applyAlignment="1">
      <alignment horizontal="left" vertical="center"/>
    </xf>
    <xf numFmtId="0" fontId="19" fillId="7" borderId="9" xfId="0" applyFont="1" applyFill="1" applyBorder="1" applyAlignment="1">
      <alignment horizontal="left" vertical="center"/>
    </xf>
    <xf numFmtId="0" fontId="20" fillId="7" borderId="9" xfId="0" applyFont="1" applyFill="1" applyBorder="1" applyAlignment="1">
      <alignment horizontal="left" vertical="center"/>
    </xf>
    <xf numFmtId="0" fontId="16" fillId="6" borderId="36" xfId="0" applyFont="1" applyFill="1" applyBorder="1" applyAlignment="1">
      <alignment horizontal="right" vertical="center"/>
    </xf>
    <xf numFmtId="0" fontId="16" fillId="6" borderId="38" xfId="0" applyFont="1" applyFill="1" applyBorder="1" applyAlignment="1">
      <alignment horizontal="right" vertical="center"/>
    </xf>
    <xf numFmtId="0" fontId="11" fillId="0" borderId="0" xfId="0" applyFont="1" applyFill="1" applyBorder="1" applyAlignment="1">
      <alignment vertical="top" wrapText="1"/>
    </xf>
    <xf numFmtId="9" fontId="0" fillId="0" borderId="0" xfId="0" applyNumberFormat="1" applyFill="1" applyBorder="1" applyAlignment="1">
      <alignment vertical="center"/>
    </xf>
    <xf numFmtId="41" fontId="0" fillId="0" borderId="0" xfId="0" applyNumberFormat="1" applyFill="1" applyBorder="1" applyAlignment="1">
      <alignment vertical="center"/>
    </xf>
    <xf numFmtId="41" fontId="0" fillId="0" borderId="37" xfId="0" applyNumberFormat="1" applyFill="1" applyBorder="1" applyAlignment="1">
      <alignment vertical="center"/>
    </xf>
    <xf numFmtId="0" fontId="18" fillId="7" borderId="37" xfId="0" applyFont="1" applyFill="1" applyBorder="1" applyAlignment="1">
      <alignment horizontal="left" vertical="center"/>
    </xf>
    <xf numFmtId="9" fontId="0" fillId="8" borderId="0" xfId="0" applyNumberFormat="1" applyFill="1" applyBorder="1" applyAlignment="1">
      <alignment vertical="center"/>
    </xf>
  </cellXfs>
  <cellStyles count="10">
    <cellStyle name="강조색1" xfId="2" builtinId="29"/>
    <cellStyle name="백분율 2" xfId="6" xr:uid="{00000000-0005-0000-0000-000001000000}"/>
    <cellStyle name="쉼표 [0]" xfId="1" builtinId="6"/>
    <cellStyle name="쉼표 [0] 2" xfId="4" xr:uid="{00000000-0005-0000-0000-000003000000}"/>
    <cellStyle name="쉼표 [0] 3" xfId="8" xr:uid="{00000000-0005-0000-0000-000004000000}"/>
    <cellStyle name="제목 5" xfId="7" xr:uid="{00000000-0005-0000-0000-000005000000}"/>
    <cellStyle name="표준" xfId="0" builtinId="0"/>
    <cellStyle name="표준 2" xfId="3" xr:uid="{00000000-0005-0000-0000-000007000000}"/>
    <cellStyle name="표준 2 2" xfId="5" xr:uid="{00000000-0005-0000-0000-000008000000}"/>
    <cellStyle name="하이퍼링크" xfId="9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304799</xdr:colOff>
      <xdr:row>1</xdr:row>
      <xdr:rowOff>99827</xdr:rowOff>
    </xdr:from>
    <xdr:to>
      <xdr:col>5</xdr:col>
      <xdr:colOff>659940</xdr:colOff>
      <xdr:row>18</xdr:row>
      <xdr:rowOff>209550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5152" r="56295"/>
        <a:stretch/>
      </xdr:blipFill>
      <xdr:spPr>
        <a:xfrm>
          <a:off x="304799" y="314140"/>
          <a:ext cx="3784141" cy="375303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0</xdr:col>
      <xdr:colOff>290513</xdr:colOff>
      <xdr:row>17</xdr:row>
      <xdr:rowOff>90487</xdr:rowOff>
    </xdr:from>
    <xdr:to>
      <xdr:col>1</xdr:col>
      <xdr:colOff>85725</xdr:colOff>
      <xdr:row>18</xdr:row>
      <xdr:rowOff>33338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90513" y="3733800"/>
          <a:ext cx="481012" cy="157163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85725</xdr:colOff>
      <xdr:row>17</xdr:row>
      <xdr:rowOff>80958</xdr:rowOff>
    </xdr:from>
    <xdr:to>
      <xdr:col>6</xdr:col>
      <xdr:colOff>185738</xdr:colOff>
      <xdr:row>17</xdr:row>
      <xdr:rowOff>169069</xdr:rowOff>
    </xdr:to>
    <xdr:cxnSp macro="">
      <xdr:nvCxnSpPr>
        <xdr:cNvPr id="9" name="꺾인 연결선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>
          <a:stCxn id="6" idx="3"/>
          <a:endCxn id="7" idx="1"/>
        </xdr:cNvCxnSpPr>
      </xdr:nvCxnSpPr>
      <xdr:spPr>
        <a:xfrm flipV="1">
          <a:off x="771525" y="3724271"/>
          <a:ext cx="3529013" cy="88111"/>
        </a:xfrm>
        <a:prstGeom prst="bentConnector3">
          <a:avLst>
            <a:gd name="adj1" fmla="val 27598"/>
          </a:avLst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185738</xdr:colOff>
      <xdr:row>14</xdr:row>
      <xdr:rowOff>100008</xdr:rowOff>
    </xdr:from>
    <xdr:to>
      <xdr:col>13</xdr:col>
      <xdr:colOff>419101</xdr:colOff>
      <xdr:row>18</xdr:row>
      <xdr:rowOff>200021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4300538" y="3100383"/>
          <a:ext cx="5033963" cy="957263"/>
          <a:chOff x="4295775" y="1866900"/>
          <a:chExt cx="5033963" cy="957263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4295775" y="2157412"/>
            <a:ext cx="5033963" cy="666751"/>
          </a:xfrm>
          <a:prstGeom prst="rect">
            <a:avLst/>
          </a:prstGeom>
          <a:ln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altLang="ko-KR" sz="1100"/>
              <a:t>1. </a:t>
            </a:r>
            <a:r>
              <a:rPr lang="ko-KR" altLang="en-US" sz="1100"/>
              <a:t>시트 탐색 단추에서 오른쪽 마우스를 클릭한다</a:t>
            </a:r>
            <a:r>
              <a:rPr lang="en-US" altLang="ko-KR" sz="1100"/>
              <a:t>.(</a:t>
            </a:r>
            <a:r>
              <a:rPr lang="ko-KR" altLang="en-US" sz="1100"/>
              <a:t>시트</a:t>
            </a:r>
            <a:r>
              <a:rPr lang="ko-KR" altLang="en-US" sz="1100" baseline="0"/>
              <a:t> 활성화 대화 상자가 뜬다</a:t>
            </a:r>
            <a:r>
              <a:rPr lang="en-US" altLang="ko-KR" sz="1100" baseline="0"/>
              <a:t>)</a:t>
            </a:r>
          </a:p>
          <a:p>
            <a:pPr algn="l"/>
            <a:r>
              <a:rPr lang="en-US" altLang="ko-KR" sz="1100" baseline="0"/>
              <a:t>2. </a:t>
            </a:r>
            <a:r>
              <a:rPr lang="ko-KR" altLang="en-US" sz="1100" baseline="0"/>
              <a:t>원하는 시트를 선택하고 </a:t>
            </a:r>
            <a:r>
              <a:rPr lang="en-US" altLang="ko-KR" sz="1100" b="1" baseline="0"/>
              <a:t>[</a:t>
            </a:r>
            <a:r>
              <a:rPr lang="ko-KR" altLang="en-US" sz="1100" b="1" baseline="0"/>
              <a:t>확인</a:t>
            </a:r>
            <a:r>
              <a:rPr lang="en-US" altLang="ko-KR" sz="1100" b="1" baseline="0"/>
              <a:t>]</a:t>
            </a:r>
            <a:r>
              <a:rPr lang="ko-KR" altLang="en-US" sz="1100" b="1" baseline="0"/>
              <a:t> </a:t>
            </a:r>
            <a:r>
              <a:rPr lang="ko-KR" altLang="en-US" sz="1100" baseline="0"/>
              <a:t>단추를 클릭해서 이동한다</a:t>
            </a:r>
            <a:r>
              <a:rPr lang="en-US" altLang="ko-KR" sz="1100" baseline="0"/>
              <a:t>.</a:t>
            </a:r>
            <a:endParaRPr lang="ko-KR" altLang="en-US" sz="1100"/>
          </a:p>
        </xdr:txBody>
      </xdr:sp>
      <xdr:sp macro="" textlink="">
        <xdr:nvSpPr>
          <xdr:cNvPr id="11" name="직사각형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300539" y="1866900"/>
            <a:ext cx="2090738" cy="290513"/>
          </a:xfrm>
          <a:prstGeom prst="rect">
            <a:avLst/>
          </a:prstGeom>
          <a:ln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/>
              <a:t>원하는 시트로 이동하는 방법</a:t>
            </a:r>
          </a:p>
        </xdr:txBody>
      </xdr:sp>
    </xdr:grpSp>
    <xdr:clientData/>
  </xdr:twoCellAnchor>
  <xdr:twoCellAnchor>
    <xdr:from>
      <xdr:col>6</xdr:col>
      <xdr:colOff>447676</xdr:colOff>
      <xdr:row>1</xdr:row>
      <xdr:rowOff>95250</xdr:rowOff>
    </xdr:from>
    <xdr:to>
      <xdr:col>13</xdr:col>
      <xdr:colOff>447676</xdr:colOff>
      <xdr:row>4</xdr:row>
      <xdr:rowOff>4763</xdr:rowOff>
    </xdr:to>
    <xdr:sp macro="" textlink="">
      <xdr:nvSpPr>
        <xdr:cNvPr id="18" name="모서리가 둥근 직사각형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562476" y="309563"/>
          <a:ext cx="4800600" cy="552450"/>
        </a:xfrm>
        <a:prstGeom prst="roundRect">
          <a:avLst>
            <a:gd name="adj" fmla="val 50000"/>
          </a:avLst>
        </a:prstGeom>
        <a:solidFill>
          <a:schemeClr val="accent5">
            <a:lumMod val="20000"/>
            <a:lumOff val="80000"/>
          </a:schemeClr>
        </a:solidFill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컴활</a:t>
          </a:r>
          <a:r>
            <a:rPr lang="en-US" altLang="ko-KR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1</a:t>
          </a:r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급실기 </a:t>
          </a:r>
          <a:r>
            <a:rPr lang="en-US" altLang="ko-KR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20</a:t>
          </a:r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일만에 끝내기</a:t>
          </a:r>
        </a:p>
      </xdr:txBody>
    </xdr:sp>
    <xdr:clientData/>
  </xdr:twoCellAnchor>
  <xdr:oneCellAnchor>
    <xdr:from>
      <xdr:col>7</xdr:col>
      <xdr:colOff>136465</xdr:colOff>
      <xdr:row>4</xdr:row>
      <xdr:rowOff>204848</xdr:rowOff>
    </xdr:from>
    <xdr:ext cx="2082108" cy="1134541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4937065" y="1062098"/>
          <a:ext cx="2082108" cy="11345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altLang="ko-KR" sz="1400" b="1"/>
            <a:t>5</a:t>
          </a:r>
          <a:r>
            <a:rPr lang="ko-KR" altLang="en-US" sz="1400" b="1"/>
            <a:t>일차 </a:t>
          </a:r>
          <a:endParaRPr lang="en-US" altLang="ko-KR" sz="1400" b="1"/>
        </a:p>
        <a:p>
          <a:pPr algn="l"/>
          <a:r>
            <a:rPr lang="ko-KR" altLang="en-US" sz="1100" b="1"/>
            <a:t>유효성검사 규칙</a:t>
          </a:r>
          <a:r>
            <a:rPr lang="en-US" altLang="ko-KR" sz="1100" b="1"/>
            <a:t>, </a:t>
          </a:r>
          <a:r>
            <a:rPr lang="ko-KR" altLang="en-US" sz="1100" b="1"/>
            <a:t>정렬</a:t>
          </a:r>
          <a:r>
            <a:rPr lang="en-US" altLang="ko-KR" sz="1100" b="1"/>
            <a:t>, </a:t>
          </a:r>
          <a:r>
            <a:rPr lang="ko-KR" altLang="en-US" sz="1100" b="1"/>
            <a:t>부분합</a:t>
          </a:r>
          <a:endParaRPr lang="en-US" altLang="ko-KR" sz="1100" b="1"/>
        </a:p>
        <a:p>
          <a:pPr algn="l"/>
          <a:r>
            <a:rPr lang="ko-KR" altLang="en-US" sz="1100" b="1"/>
            <a:t>통합</a:t>
          </a:r>
          <a:r>
            <a:rPr lang="en-US" altLang="ko-KR" sz="1100" b="1"/>
            <a:t>,</a:t>
          </a:r>
          <a:r>
            <a:rPr lang="en-US" altLang="ko-KR" sz="1100" b="1" baseline="0"/>
            <a:t> </a:t>
          </a:r>
          <a:r>
            <a:rPr lang="ko-KR" altLang="en-US" sz="1100" b="1"/>
            <a:t>목표값 찾기</a:t>
          </a:r>
          <a:r>
            <a:rPr lang="en-US" altLang="ko-KR" sz="1100" b="1"/>
            <a:t>, </a:t>
          </a:r>
          <a:r>
            <a:rPr lang="ko-KR" altLang="en-US" sz="1100" b="1"/>
            <a:t>데이터 표</a:t>
          </a:r>
          <a:endParaRPr lang="en-US" altLang="ko-KR" sz="1100" b="1"/>
        </a:p>
        <a:p>
          <a:pPr algn="l"/>
          <a:r>
            <a:rPr lang="ko-KR" altLang="en-US" sz="1100" b="1"/>
            <a:t>시나리오</a:t>
          </a:r>
          <a:r>
            <a:rPr lang="en-US" altLang="ko-KR" sz="1100" b="1"/>
            <a:t>,</a:t>
          </a:r>
          <a:r>
            <a:rPr lang="en-US" altLang="ko-KR" sz="1100" b="1" baseline="0"/>
            <a:t> </a:t>
          </a:r>
          <a:r>
            <a:rPr lang="ko-KR" altLang="en-US" sz="1100" b="1"/>
            <a:t>텍스트 나누기</a:t>
          </a:r>
        </a:p>
      </xdr:txBody>
    </xdr:sp>
    <xdr:clientData/>
  </xdr:oneCellAnchor>
  <xdr:twoCellAnchor>
    <xdr:from>
      <xdr:col>7</xdr:col>
      <xdr:colOff>38108</xdr:colOff>
      <xdr:row>7</xdr:row>
      <xdr:rowOff>9521</xdr:rowOff>
    </xdr:from>
    <xdr:to>
      <xdr:col>7</xdr:col>
      <xdr:colOff>133358</xdr:colOff>
      <xdr:row>7</xdr:row>
      <xdr:rowOff>104771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4838708" y="1509709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38108</xdr:colOff>
      <xdr:row>8</xdr:row>
      <xdr:rowOff>33334</xdr:rowOff>
    </xdr:from>
    <xdr:to>
      <xdr:col>7</xdr:col>
      <xdr:colOff>133358</xdr:colOff>
      <xdr:row>8</xdr:row>
      <xdr:rowOff>128584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4838708" y="1747834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11</xdr:col>
      <xdr:colOff>385762</xdr:colOff>
      <xdr:row>9</xdr:row>
      <xdr:rowOff>104775</xdr:rowOff>
    </xdr:from>
    <xdr:to>
      <xdr:col>13</xdr:col>
      <xdr:colOff>509598</xdr:colOff>
      <xdr:row>15</xdr:row>
      <xdr:rowOff>157172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29562" y="2033588"/>
          <a:ext cx="1495436" cy="1338272"/>
        </a:xfrm>
        <a:prstGeom prst="rect">
          <a:avLst/>
        </a:prstGeom>
      </xdr:spPr>
    </xdr:pic>
    <xdr:clientData/>
  </xdr:twoCellAnchor>
  <xdr:twoCellAnchor>
    <xdr:from>
      <xdr:col>6</xdr:col>
      <xdr:colOff>504825</xdr:colOff>
      <xdr:row>5</xdr:row>
      <xdr:rowOff>47625</xdr:rowOff>
    </xdr:from>
    <xdr:to>
      <xdr:col>10</xdr:col>
      <xdr:colOff>90488</xdr:colOff>
      <xdr:row>10</xdr:row>
      <xdr:rowOff>180975</xdr:rowOff>
    </xdr:to>
    <xdr:sp macro="" textlink="">
      <xdr:nvSpPr>
        <xdr:cNvPr id="25" name="직사각형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19625" y="1119188"/>
          <a:ext cx="2328863" cy="1204912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509587</xdr:colOff>
      <xdr:row>5</xdr:row>
      <xdr:rowOff>57150</xdr:rowOff>
    </xdr:from>
    <xdr:to>
      <xdr:col>7</xdr:col>
      <xdr:colOff>66675</xdr:colOff>
      <xdr:row>7</xdr:row>
      <xdr:rowOff>33337</xdr:rowOff>
    </xdr:to>
    <xdr:sp macro="" textlink="">
      <xdr:nvSpPr>
        <xdr:cNvPr id="26" name="직각 삼각형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 rot="5400000">
          <a:off x="4543425" y="1209675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519113</xdr:colOff>
      <xdr:row>8</xdr:row>
      <xdr:rowOff>209551</xdr:rowOff>
    </xdr:from>
    <xdr:to>
      <xdr:col>10</xdr:col>
      <xdr:colOff>76201</xdr:colOff>
      <xdr:row>10</xdr:row>
      <xdr:rowOff>185738</xdr:rowOff>
    </xdr:to>
    <xdr:sp macro="" textlink="">
      <xdr:nvSpPr>
        <xdr:cNvPr id="27" name="직각 삼각형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 rot="16200000">
          <a:off x="6610351" y="2005013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242887</xdr:colOff>
      <xdr:row>18</xdr:row>
      <xdr:rowOff>209550</xdr:rowOff>
    </xdr:from>
    <xdr:to>
      <xdr:col>10</xdr:col>
      <xdr:colOff>156238</xdr:colOff>
      <xdr:row>20</xdr:row>
      <xdr:rowOff>139356</xdr:rowOff>
    </xdr:to>
    <xdr:grpSp>
      <xdr:nvGrpSpPr>
        <xdr:cNvPr id="44" name="그룹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242887" y="4067175"/>
          <a:ext cx="6771351" cy="358431"/>
          <a:chOff x="4800600" y="4219575"/>
          <a:chExt cx="6771351" cy="358431"/>
        </a:xfrm>
      </xdr:grpSpPr>
      <xdr:sp macro="" textlink="">
        <xdr:nvSpPr>
          <xdr:cNvPr id="28" name="TextBox 2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5276638" y="4219575"/>
            <a:ext cx="6295313" cy="35843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 sz="1200" b="1">
                <a:solidFill>
                  <a:sysClr val="windowText" lastClr="000000"/>
                </a:solidFill>
              </a:rPr>
              <a:t>본 저작물의 모든 저작권은 기풍쌤에게 있습니다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 </a:t>
            </a:r>
            <a:r>
              <a:rPr lang="ko-KR" altLang="en-US" sz="1200" b="1">
                <a:solidFill>
                  <a:sysClr val="windowText" lastClr="000000"/>
                </a:solidFill>
              </a:rPr>
              <a:t>상업적인 용도로 이용이 불가능합니다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</a:t>
            </a:r>
            <a:endParaRPr lang="ko-KR" altLang="en-US" sz="1200" b="1">
              <a:solidFill>
                <a:sysClr val="windowText" lastClr="000000"/>
              </a:solidFill>
            </a:endParaRPr>
          </a:p>
        </xdr:txBody>
      </xdr:sp>
      <xdr:grpSp>
        <xdr:nvGrpSpPr>
          <xdr:cNvPr id="29" name="그룹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4800600" y="4286250"/>
            <a:ext cx="510265" cy="239162"/>
            <a:chOff x="4209080" y="6427828"/>
            <a:chExt cx="803999" cy="360000"/>
          </a:xfrm>
        </xdr:grpSpPr>
        <xdr:grpSp>
          <xdr:nvGrpSpPr>
            <xdr:cNvPr id="30" name="그룹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GrpSpPr/>
          </xdr:nvGrpSpPr>
          <xdr:grpSpPr>
            <a:xfrm>
              <a:off x="4209080" y="6427828"/>
              <a:ext cx="360000" cy="360000"/>
              <a:chOff x="4642793" y="1002891"/>
              <a:chExt cx="2306647" cy="2306647"/>
            </a:xfrm>
          </xdr:grpSpPr>
          <xdr:sp macro="" textlink="">
            <xdr:nvSpPr>
              <xdr:cNvPr id="38" name="타원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4642793" y="1002891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9" name="타원 38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SpPr/>
            </xdr:nvSpPr>
            <xdr:spPr>
              <a:xfrm>
                <a:off x="4837471" y="1197569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grpSp>
            <xdr:nvGrpSpPr>
              <xdr:cNvPr id="40" name="그룹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GrpSpPr/>
            </xdr:nvGrpSpPr>
            <xdr:grpSpPr>
              <a:xfrm>
                <a:off x="5465287" y="1348045"/>
                <a:ext cx="661659" cy="1616338"/>
                <a:chOff x="8123412" y="1171020"/>
                <a:chExt cx="1032387" cy="2521973"/>
              </a:xfrm>
            </xdr:grpSpPr>
            <xdr:sp macro="" textlink="">
              <xdr:nvSpPr>
                <xdr:cNvPr id="41" name="타원 40">
                  <a:extLst>
                    <a:ext uri="{FF2B5EF4-FFF2-40B4-BE49-F238E27FC236}">
                      <a16:creationId xmlns:a16="http://schemas.microsoft.com/office/drawing/2014/main" id="{00000000-0008-0000-0000-000029000000}"/>
                    </a:ext>
                  </a:extLst>
                </xdr:cNvPr>
                <xdr:cNvSpPr/>
              </xdr:nvSpPr>
              <xdr:spPr>
                <a:xfrm>
                  <a:off x="8343162" y="1171020"/>
                  <a:ext cx="592886" cy="592886"/>
                </a:xfrm>
                <a:prstGeom prst="ellipse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2" name="자유형: 도형 39">
                  <a:extLst>
                    <a:ext uri="{FF2B5EF4-FFF2-40B4-BE49-F238E27FC236}">
                      <a16:creationId xmlns:a16="http://schemas.microsoft.com/office/drawing/2014/main" id="{00000000-0008-0000-0000-00002A000000}"/>
                    </a:ext>
                  </a:extLst>
                </xdr:cNvPr>
                <xdr:cNvSpPr/>
              </xdr:nvSpPr>
              <xdr:spPr>
                <a:xfrm>
                  <a:off x="8123412" y="1840602"/>
                  <a:ext cx="1032387" cy="933571"/>
                </a:xfrm>
                <a:custGeom>
                  <a:avLst/>
                  <a:gdLst>
                    <a:gd name="connsiteX0" fmla="*/ 145763 w 1032387"/>
                    <a:gd name="connsiteY0" fmla="*/ 0 h 933571"/>
                    <a:gd name="connsiteX1" fmla="*/ 886624 w 1032387"/>
                    <a:gd name="connsiteY1" fmla="*/ 0 h 933571"/>
                    <a:gd name="connsiteX2" fmla="*/ 1032387 w 1032387"/>
                    <a:gd name="connsiteY2" fmla="*/ 145763 h 933571"/>
                    <a:gd name="connsiteX3" fmla="*/ 1032387 w 1032387"/>
                    <a:gd name="connsiteY3" fmla="*/ 933571 h 933571"/>
                    <a:gd name="connsiteX4" fmla="*/ 0 w 1032387"/>
                    <a:gd name="connsiteY4" fmla="*/ 933571 h 933571"/>
                    <a:gd name="connsiteX5" fmla="*/ 0 w 1032387"/>
                    <a:gd name="connsiteY5" fmla="*/ 145763 h 933571"/>
                    <a:gd name="connsiteX6" fmla="*/ 145763 w 1032387"/>
                    <a:gd name="connsiteY6" fmla="*/ 0 h 93357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</a:cxnLst>
                  <a:rect l="l" t="t" r="r" b="b"/>
                  <a:pathLst>
                    <a:path w="1032387" h="933571">
                      <a:moveTo>
                        <a:pt x="145763" y="0"/>
                      </a:moveTo>
                      <a:lnTo>
                        <a:pt x="886624" y="0"/>
                      </a:lnTo>
                      <a:cubicBezTo>
                        <a:pt x="967127" y="0"/>
                        <a:pt x="1032387" y="65260"/>
                        <a:pt x="1032387" y="145763"/>
                      </a:cubicBezTo>
                      <a:lnTo>
                        <a:pt x="1032387" y="933571"/>
                      </a:lnTo>
                      <a:lnTo>
                        <a:pt x="0" y="933571"/>
                      </a:lnTo>
                      <a:lnTo>
                        <a:pt x="0" y="145763"/>
                      </a:lnTo>
                      <a:cubicBezTo>
                        <a:pt x="0" y="65260"/>
                        <a:pt x="65260" y="0"/>
                        <a:pt x="145763" y="0"/>
                      </a:cubicBezTo>
                      <a:close/>
                    </a:path>
                  </a:pathLst>
                </a:cu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>
                  <a:noAutofit/>
                </a:bodyPr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3" name="직사각형 42">
                  <a:extLst>
                    <a:ext uri="{FF2B5EF4-FFF2-40B4-BE49-F238E27FC236}">
                      <a16:creationId xmlns:a16="http://schemas.microsoft.com/office/drawing/2014/main" id="{00000000-0008-0000-0000-00002B000000}"/>
                    </a:ext>
                  </a:extLst>
                </xdr:cNvPr>
                <xdr:cNvSpPr/>
              </xdr:nvSpPr>
              <xdr:spPr>
                <a:xfrm>
                  <a:off x="8294493" y="2642908"/>
                  <a:ext cx="690224" cy="1050085"/>
                </a:xfrm>
                <a:prstGeom prst="rect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</xdr:grpSp>
        </xdr:grpSp>
        <xdr:grpSp>
          <xdr:nvGrpSpPr>
            <xdr:cNvPr id="31" name="그룹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4653079" y="6427828"/>
              <a:ext cx="360000" cy="360000"/>
              <a:chOff x="4642793" y="3616305"/>
              <a:chExt cx="2306647" cy="2306647"/>
            </a:xfrm>
          </xdr:grpSpPr>
          <xdr:sp macro="" textlink="">
            <xdr:nvSpPr>
              <xdr:cNvPr id="32" name="타원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SpPr/>
            </xdr:nvSpPr>
            <xdr:spPr>
              <a:xfrm>
                <a:off x="4642793" y="3616305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3" name="타원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SpPr/>
            </xdr:nvSpPr>
            <xdr:spPr>
              <a:xfrm>
                <a:off x="4837471" y="3810983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0000000-0008-0000-0000-000022000000}"/>
                  </a:ext>
                </a:extLst>
              </xdr:cNvPr>
              <xdr:cNvSpPr/>
            </xdr:nvSpPr>
            <xdr:spPr>
              <a:xfrm>
                <a:off x="5740072" y="3938522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5" name="직사각형 34">
                <a:extLst>
                  <a:ext uri="{FF2B5EF4-FFF2-40B4-BE49-F238E27FC236}">
                    <a16:creationId xmlns:a16="http://schemas.microsoft.com/office/drawing/2014/main" id="{00000000-0008-0000-0000-000023000000}"/>
                  </a:ext>
                </a:extLst>
              </xdr:cNvPr>
              <xdr:cNvSpPr/>
            </xdr:nvSpPr>
            <xdr:spPr>
              <a:xfrm>
                <a:off x="5740072" y="5223913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6" name="직사각형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 rot="1800000">
                <a:off x="4706710" y="4611718"/>
                <a:ext cx="2208308" cy="253672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7" name="그래픽 47">
                <a:extLst>
                  <a:ext uri="{FF2B5EF4-FFF2-40B4-BE49-F238E27FC236}">
                    <a16:creationId xmlns:a16="http://schemas.microsoft.com/office/drawing/2014/main" id="{00000000-0008-0000-0000-00002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5340029" y="4097447"/>
                <a:ext cx="986313" cy="1315083"/>
              </a:xfrm>
              <a:prstGeom prst="rect">
                <a:avLst/>
              </a:prstGeom>
            </xdr:spPr>
          </xdr:pic>
        </xdr:grpSp>
      </xdr:grpSp>
    </xdr:grpSp>
    <xdr:clientData/>
  </xdr:twoCellAnchor>
  <xdr:oneCellAnchor>
    <xdr:from>
      <xdr:col>1</xdr:col>
      <xdr:colOff>33337</xdr:colOff>
      <xdr:row>20</xdr:row>
      <xdr:rowOff>19050</xdr:rowOff>
    </xdr:from>
    <xdr:ext cx="4392613" cy="336246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719137" y="4305300"/>
          <a:ext cx="439261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accent5"/>
              </a:solidFill>
            </a:rPr>
            <a:t>유튜브 용으로 사용하실 경우 출처만 밝혀 주시면 감사하겠습니다</a:t>
          </a:r>
          <a:r>
            <a:rPr lang="en-US" altLang="ko-KR" sz="1100" b="1">
              <a:solidFill>
                <a:schemeClr val="accent5"/>
              </a:solidFill>
            </a:rPr>
            <a:t>.^^</a:t>
          </a:r>
          <a:endParaRPr lang="ko-KR" altLang="en-US" sz="1100" b="1">
            <a:solidFill>
              <a:schemeClr val="accent5"/>
            </a:solidFill>
          </a:endParaRPr>
        </a:p>
      </xdr:txBody>
    </xdr:sp>
    <xdr:clientData/>
  </xdr:oneCellAnchor>
  <xdr:twoCellAnchor>
    <xdr:from>
      <xdr:col>7</xdr:col>
      <xdr:colOff>38108</xdr:colOff>
      <xdr:row>9</xdr:row>
      <xdr:rowOff>47621</xdr:rowOff>
    </xdr:from>
    <xdr:to>
      <xdr:col>7</xdr:col>
      <xdr:colOff>133358</xdr:colOff>
      <xdr:row>9</xdr:row>
      <xdr:rowOff>142871</xdr:rowOff>
    </xdr:to>
    <xdr:sp macro="" textlink="">
      <xdr:nvSpPr>
        <xdr:cNvPr id="46" name="타원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4838708" y="1976434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rgbClr val="FF0000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lion@gmail.com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workbookViewId="0">
      <selection activeCell="F29" sqref="F29"/>
    </sheetView>
  </sheetViews>
  <sheetFormatPr defaultRowHeight="16.899999999999999" x14ac:dyDescent="0.6"/>
  <sheetData/>
  <sheetProtection algorithmName="SHA-512" hashValue="jUvbByPqoi30JJTjsmHGvXxMsCfDA+sRYPMvdSK5Hfp1wmz8GP5dbF13jE0pc1zCH0g0Hi70qHD/rBAFKqJQ/Q==" saltValue="EfScGBumBp0JKPg/+ldRtg==" spinCount="100000" sheet="1" objects="1" scenarios="1"/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38"/>
  <sheetViews>
    <sheetView zoomScale="85" zoomScaleNormal="85" workbookViewId="0">
      <selection activeCell="C3" sqref="C3:C38"/>
    </sheetView>
  </sheetViews>
  <sheetFormatPr defaultRowHeight="16.899999999999999" x14ac:dyDescent="0.6"/>
  <cols>
    <col min="1" max="1" width="2.625" customWidth="1"/>
    <col min="4" max="4" width="15.25" customWidth="1"/>
  </cols>
  <sheetData>
    <row r="1" spans="2:6" x14ac:dyDescent="0.6">
      <c r="B1" s="4" t="s">
        <v>164</v>
      </c>
      <c r="C1" s="5"/>
      <c r="D1" s="5"/>
      <c r="E1" s="6"/>
      <c r="F1" s="7"/>
    </row>
    <row r="2" spans="2:6" x14ac:dyDescent="0.6">
      <c r="B2" s="13" t="s">
        <v>2</v>
      </c>
      <c r="C2" s="13" t="s">
        <v>3</v>
      </c>
      <c r="D2" s="13" t="s">
        <v>4</v>
      </c>
      <c r="E2" s="14" t="s">
        <v>5</v>
      </c>
      <c r="F2" s="14" t="s">
        <v>6</v>
      </c>
    </row>
    <row r="3" spans="2:6" x14ac:dyDescent="0.6">
      <c r="B3" s="8">
        <v>24</v>
      </c>
      <c r="C3" s="9" t="s">
        <v>9</v>
      </c>
      <c r="D3" s="9" t="s">
        <v>8</v>
      </c>
      <c r="E3" s="10">
        <v>13200</v>
      </c>
      <c r="F3" s="24">
        <v>3</v>
      </c>
    </row>
    <row r="4" spans="2:6" ht="18" customHeight="1" x14ac:dyDescent="0.6">
      <c r="B4" s="11">
        <v>41</v>
      </c>
      <c r="C4" s="12" t="s">
        <v>9</v>
      </c>
      <c r="D4" s="9" t="s">
        <v>10</v>
      </c>
      <c r="E4" s="10">
        <v>22500</v>
      </c>
      <c r="F4" s="25">
        <v>3</v>
      </c>
    </row>
    <row r="5" spans="2:6" ht="18" customHeight="1" x14ac:dyDescent="0.6">
      <c r="B5" s="11">
        <v>50</v>
      </c>
      <c r="C5" s="12" t="s">
        <v>11</v>
      </c>
      <c r="D5" s="9" t="s">
        <v>12</v>
      </c>
      <c r="E5" s="10">
        <v>45000</v>
      </c>
      <c r="F5" s="25">
        <v>15</v>
      </c>
    </row>
    <row r="6" spans="2:6" ht="18" customHeight="1" x14ac:dyDescent="0.6">
      <c r="B6" s="11">
        <v>29</v>
      </c>
      <c r="C6" s="12" t="s">
        <v>13</v>
      </c>
      <c r="D6" s="9" t="s">
        <v>14</v>
      </c>
      <c r="E6" s="10">
        <v>14200</v>
      </c>
      <c r="F6" s="25">
        <v>15</v>
      </c>
    </row>
    <row r="7" spans="2:6" ht="18" customHeight="1" x14ac:dyDescent="0.6">
      <c r="B7" s="11">
        <v>42</v>
      </c>
      <c r="C7" s="12" t="s">
        <v>13</v>
      </c>
      <c r="D7" s="9" t="s">
        <v>14</v>
      </c>
      <c r="E7" s="10">
        <v>28400</v>
      </c>
      <c r="F7" s="25">
        <v>6</v>
      </c>
    </row>
    <row r="8" spans="2:6" ht="18" customHeight="1" x14ac:dyDescent="0.6">
      <c r="B8" s="11">
        <v>7</v>
      </c>
      <c r="C8" s="12" t="s">
        <v>13</v>
      </c>
      <c r="D8" s="9" t="s">
        <v>14</v>
      </c>
      <c r="E8" s="10">
        <v>13000</v>
      </c>
      <c r="F8" s="25">
        <v>12</v>
      </c>
    </row>
    <row r="9" spans="2:6" ht="18" customHeight="1" x14ac:dyDescent="0.6">
      <c r="B9" s="11">
        <v>45</v>
      </c>
      <c r="C9" s="12" t="s">
        <v>11</v>
      </c>
      <c r="D9" s="9" t="s">
        <v>12</v>
      </c>
      <c r="E9" s="10">
        <v>24000</v>
      </c>
      <c r="F9" s="25">
        <v>3</v>
      </c>
    </row>
    <row r="10" spans="2:6" ht="18" customHeight="1" x14ac:dyDescent="0.6">
      <c r="B10" s="11">
        <v>16</v>
      </c>
      <c r="C10" s="12" t="s">
        <v>13</v>
      </c>
      <c r="D10" s="9" t="s">
        <v>14</v>
      </c>
      <c r="E10" s="10">
        <v>12900</v>
      </c>
      <c r="F10" s="25">
        <v>6</v>
      </c>
    </row>
    <row r="11" spans="2:6" ht="18" customHeight="1" x14ac:dyDescent="0.6">
      <c r="B11" s="11">
        <v>16</v>
      </c>
      <c r="C11" s="12" t="s">
        <v>7</v>
      </c>
      <c r="D11" s="9" t="s">
        <v>8</v>
      </c>
      <c r="E11" s="10">
        <v>12800</v>
      </c>
      <c r="F11" s="25">
        <v>6</v>
      </c>
    </row>
    <row r="12" spans="2:6" ht="18" customHeight="1" x14ac:dyDescent="0.6">
      <c r="B12" s="11">
        <v>51</v>
      </c>
      <c r="C12" s="12" t="s">
        <v>7</v>
      </c>
      <c r="D12" s="9" t="s">
        <v>8</v>
      </c>
      <c r="E12" s="10">
        <v>33000</v>
      </c>
      <c r="F12" s="25">
        <v>6</v>
      </c>
    </row>
    <row r="13" spans="2:6" ht="18" customHeight="1" x14ac:dyDescent="0.6">
      <c r="B13" s="11">
        <v>46</v>
      </c>
      <c r="C13" s="12" t="s">
        <v>7</v>
      </c>
      <c r="D13" s="9" t="s">
        <v>8</v>
      </c>
      <c r="E13" s="10">
        <v>19800</v>
      </c>
      <c r="F13" s="25">
        <v>9</v>
      </c>
    </row>
    <row r="14" spans="2:6" ht="18" customHeight="1" x14ac:dyDescent="0.6">
      <c r="B14" s="11">
        <v>22</v>
      </c>
      <c r="C14" s="12" t="s">
        <v>7</v>
      </c>
      <c r="D14" s="9" t="s">
        <v>8</v>
      </c>
      <c r="E14" s="10">
        <v>13200</v>
      </c>
      <c r="F14" s="25">
        <v>6</v>
      </c>
    </row>
    <row r="15" spans="2:6" ht="18" customHeight="1" x14ac:dyDescent="0.6">
      <c r="B15" s="11">
        <v>6</v>
      </c>
      <c r="C15" s="12" t="s">
        <v>7</v>
      </c>
      <c r="D15" s="9" t="s">
        <v>8</v>
      </c>
      <c r="E15" s="10">
        <v>12800</v>
      </c>
      <c r="F15" s="25">
        <v>9</v>
      </c>
    </row>
    <row r="16" spans="2:6" ht="18" customHeight="1" x14ac:dyDescent="0.6">
      <c r="B16" s="11">
        <v>22</v>
      </c>
      <c r="C16" s="12" t="s">
        <v>9</v>
      </c>
      <c r="D16" s="9" t="s">
        <v>10</v>
      </c>
      <c r="E16" s="10">
        <v>13500</v>
      </c>
      <c r="F16" s="25">
        <v>21</v>
      </c>
    </row>
    <row r="17" spans="2:6" ht="18" customHeight="1" x14ac:dyDescent="0.6">
      <c r="B17" s="11">
        <v>21</v>
      </c>
      <c r="C17" s="12" t="s">
        <v>11</v>
      </c>
      <c r="D17" s="9" t="s">
        <v>12</v>
      </c>
      <c r="E17" s="10">
        <v>13700</v>
      </c>
      <c r="F17" s="25">
        <v>6</v>
      </c>
    </row>
    <row r="18" spans="2:6" ht="18" customHeight="1" x14ac:dyDescent="0.6">
      <c r="B18" s="11">
        <v>13</v>
      </c>
      <c r="C18" s="12" t="s">
        <v>13</v>
      </c>
      <c r="D18" s="9" t="s">
        <v>14</v>
      </c>
      <c r="E18" s="10">
        <v>12900</v>
      </c>
      <c r="F18" s="25">
        <v>9</v>
      </c>
    </row>
    <row r="19" spans="2:6" ht="18" customHeight="1" x14ac:dyDescent="0.6">
      <c r="B19" s="11">
        <v>29</v>
      </c>
      <c r="C19" s="12" t="s">
        <v>7</v>
      </c>
      <c r="D19" s="9" t="s">
        <v>8</v>
      </c>
      <c r="E19" s="10">
        <v>13200</v>
      </c>
      <c r="F19" s="25">
        <v>24</v>
      </c>
    </row>
    <row r="20" spans="2:6" ht="18" customHeight="1" x14ac:dyDescent="0.6">
      <c r="B20" s="11">
        <v>61</v>
      </c>
      <c r="C20" s="12" t="s">
        <v>9</v>
      </c>
      <c r="D20" s="9" t="s">
        <v>10</v>
      </c>
      <c r="E20" s="10">
        <v>32200</v>
      </c>
      <c r="F20" s="25">
        <v>15</v>
      </c>
    </row>
    <row r="21" spans="2:6" ht="18" customHeight="1" x14ac:dyDescent="0.6">
      <c r="B21" s="11">
        <v>12</v>
      </c>
      <c r="C21" s="12" t="s">
        <v>9</v>
      </c>
      <c r="D21" s="9" t="s">
        <v>10</v>
      </c>
      <c r="E21" s="10">
        <v>12600</v>
      </c>
      <c r="F21" s="25">
        <v>12</v>
      </c>
    </row>
    <row r="22" spans="2:6" ht="18" customHeight="1" x14ac:dyDescent="0.6">
      <c r="B22" s="11">
        <v>64</v>
      </c>
      <c r="C22" s="12" t="s">
        <v>13</v>
      </c>
      <c r="D22" s="9" t="s">
        <v>14</v>
      </c>
      <c r="E22" s="10">
        <v>43900</v>
      </c>
      <c r="F22" s="25">
        <v>6</v>
      </c>
    </row>
    <row r="23" spans="2:6" ht="18" customHeight="1" x14ac:dyDescent="0.6">
      <c r="B23" s="11">
        <v>29</v>
      </c>
      <c r="C23" s="12" t="s">
        <v>7</v>
      </c>
      <c r="D23" s="9" t="s">
        <v>8</v>
      </c>
      <c r="E23" s="10">
        <v>13200</v>
      </c>
      <c r="F23" s="25">
        <v>3</v>
      </c>
    </row>
    <row r="24" spans="2:6" ht="18" customHeight="1" x14ac:dyDescent="0.6">
      <c r="B24" s="11">
        <v>17</v>
      </c>
      <c r="C24" s="12" t="s">
        <v>9</v>
      </c>
      <c r="D24" s="9" t="s">
        <v>10</v>
      </c>
      <c r="E24" s="10">
        <v>12600</v>
      </c>
      <c r="F24" s="25">
        <v>12</v>
      </c>
    </row>
    <row r="25" spans="2:6" ht="17.649999999999999" customHeight="1" x14ac:dyDescent="0.6">
      <c r="B25" s="1">
        <v>29</v>
      </c>
      <c r="C25" s="1" t="s">
        <v>11</v>
      </c>
      <c r="D25" s="1" t="s">
        <v>12</v>
      </c>
      <c r="E25" s="23">
        <v>13700</v>
      </c>
      <c r="F25" s="1">
        <v>18</v>
      </c>
    </row>
    <row r="26" spans="2:6" x14ac:dyDescent="0.6">
      <c r="B26" s="1">
        <v>26</v>
      </c>
      <c r="C26" s="1" t="s">
        <v>11</v>
      </c>
      <c r="D26" s="1" t="s">
        <v>12</v>
      </c>
      <c r="E26" s="23">
        <v>13700</v>
      </c>
      <c r="F26" s="1">
        <v>15</v>
      </c>
    </row>
    <row r="27" spans="2:6" x14ac:dyDescent="0.6">
      <c r="B27" s="1">
        <v>59</v>
      </c>
      <c r="C27" s="1" t="s">
        <v>11</v>
      </c>
      <c r="D27" s="1" t="s">
        <v>12</v>
      </c>
      <c r="E27" s="23">
        <v>45000</v>
      </c>
      <c r="F27" s="1">
        <v>6</v>
      </c>
    </row>
    <row r="28" spans="2:6" x14ac:dyDescent="0.6">
      <c r="B28" s="1">
        <v>43</v>
      </c>
      <c r="C28" s="1" t="s">
        <v>9</v>
      </c>
      <c r="D28" s="1" t="s">
        <v>10</v>
      </c>
      <c r="E28" s="23">
        <v>22500</v>
      </c>
      <c r="F28" s="1">
        <v>15</v>
      </c>
    </row>
    <row r="29" spans="2:6" x14ac:dyDescent="0.6">
      <c r="B29" s="1">
        <v>53</v>
      </c>
      <c r="C29" s="1" t="s">
        <v>11</v>
      </c>
      <c r="D29" s="1" t="s">
        <v>12</v>
      </c>
      <c r="E29" s="23">
        <v>45000</v>
      </c>
      <c r="F29" s="1">
        <v>3</v>
      </c>
    </row>
    <row r="30" spans="2:6" x14ac:dyDescent="0.6">
      <c r="B30" s="1">
        <v>29</v>
      </c>
      <c r="C30" s="1" t="s">
        <v>13</v>
      </c>
      <c r="D30" s="1" t="s">
        <v>14</v>
      </c>
      <c r="E30" s="23">
        <v>14200</v>
      </c>
      <c r="F30" s="1">
        <v>18</v>
      </c>
    </row>
    <row r="31" spans="2:6" x14ac:dyDescent="0.6">
      <c r="B31" s="1">
        <v>18</v>
      </c>
      <c r="C31" s="1" t="s">
        <v>7</v>
      </c>
      <c r="D31" s="1" t="s">
        <v>8</v>
      </c>
      <c r="E31" s="23">
        <v>12800</v>
      </c>
      <c r="F31" s="1">
        <v>6</v>
      </c>
    </row>
    <row r="32" spans="2:6" x14ac:dyDescent="0.6">
      <c r="B32" s="1">
        <v>41</v>
      </c>
      <c r="C32" s="1" t="s">
        <v>9</v>
      </c>
      <c r="D32" s="1" t="s">
        <v>10</v>
      </c>
      <c r="E32" s="23">
        <v>22500</v>
      </c>
      <c r="F32" s="1">
        <v>6</v>
      </c>
    </row>
    <row r="33" spans="2:6" x14ac:dyDescent="0.6">
      <c r="B33" s="1">
        <v>8</v>
      </c>
      <c r="C33" s="1" t="s">
        <v>11</v>
      </c>
      <c r="D33" s="1" t="s">
        <v>12</v>
      </c>
      <c r="E33" s="23">
        <v>13100</v>
      </c>
      <c r="F33" s="1">
        <v>9</v>
      </c>
    </row>
    <row r="34" spans="2:6" x14ac:dyDescent="0.6">
      <c r="B34" s="1">
        <v>64</v>
      </c>
      <c r="C34" s="1" t="s">
        <v>13</v>
      </c>
      <c r="D34" s="1" t="s">
        <v>14</v>
      </c>
      <c r="E34" s="23">
        <v>43900</v>
      </c>
      <c r="F34" s="1">
        <v>3</v>
      </c>
    </row>
    <row r="35" spans="2:6" x14ac:dyDescent="0.6">
      <c r="B35" s="1">
        <v>21</v>
      </c>
      <c r="C35" s="1" t="s">
        <v>13</v>
      </c>
      <c r="D35" s="1" t="s">
        <v>14</v>
      </c>
      <c r="E35" s="23">
        <v>14200</v>
      </c>
      <c r="F35" s="1">
        <v>12</v>
      </c>
    </row>
    <row r="36" spans="2:6" x14ac:dyDescent="0.6">
      <c r="B36" s="1">
        <v>25</v>
      </c>
      <c r="C36" s="1" t="s">
        <v>13</v>
      </c>
      <c r="D36" s="1" t="s">
        <v>14</v>
      </c>
      <c r="E36" s="23">
        <v>14200</v>
      </c>
      <c r="F36" s="1">
        <v>6</v>
      </c>
    </row>
    <row r="37" spans="2:6" x14ac:dyDescent="0.6">
      <c r="B37" s="1">
        <v>53</v>
      </c>
      <c r="C37" s="1" t="s">
        <v>13</v>
      </c>
      <c r="D37" s="1" t="s">
        <v>14</v>
      </c>
      <c r="E37" s="23">
        <v>34900</v>
      </c>
      <c r="F37" s="1">
        <v>3</v>
      </c>
    </row>
    <row r="38" spans="2:6" x14ac:dyDescent="0.6">
      <c r="B38" s="1">
        <v>59</v>
      </c>
      <c r="C38" s="1" t="s">
        <v>13</v>
      </c>
      <c r="D38" s="1" t="s">
        <v>14</v>
      </c>
      <c r="E38" s="23">
        <v>34900</v>
      </c>
      <c r="F38" s="1">
        <v>9</v>
      </c>
    </row>
  </sheetData>
  <phoneticPr fontId="3" type="noConversion"/>
  <dataValidations count="1">
    <dataValidation type="list" allowBlank="1" showInputMessage="1" showErrorMessage="1" errorTitle="잘못입력" error="목록에서 선택만 하세요" sqref="C3:C38" xr:uid="{1E36B251-0304-4F0F-B2D4-60E4301CE61B}">
      <formula1>"BM,BW,SM,SW"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F35"/>
  <sheetViews>
    <sheetView workbookViewId="0">
      <selection activeCell="D3" sqref="D3"/>
    </sheetView>
  </sheetViews>
  <sheetFormatPr defaultRowHeight="16.899999999999999" x14ac:dyDescent="0.6"/>
  <cols>
    <col min="1" max="1" width="2.625" customWidth="1"/>
    <col min="3" max="3" width="14" customWidth="1"/>
    <col min="4" max="5" width="11.125" bestFit="1" customWidth="1"/>
  </cols>
  <sheetData>
    <row r="1" spans="2:6" x14ac:dyDescent="0.6">
      <c r="B1" t="s">
        <v>181</v>
      </c>
    </row>
    <row r="2" spans="2:6" x14ac:dyDescent="0.6">
      <c r="B2" s="16" t="s">
        <v>166</v>
      </c>
      <c r="C2" s="17" t="s">
        <v>167</v>
      </c>
      <c r="D2" s="17" t="s">
        <v>168</v>
      </c>
      <c r="E2" s="17" t="s">
        <v>169</v>
      </c>
      <c r="F2" s="18" t="s">
        <v>170</v>
      </c>
    </row>
    <row r="3" spans="2:6" x14ac:dyDescent="0.6">
      <c r="B3" s="19" t="s">
        <v>171</v>
      </c>
      <c r="C3" s="20" t="s">
        <v>172</v>
      </c>
      <c r="D3" s="21">
        <v>43854</v>
      </c>
      <c r="E3" s="21">
        <v>43914</v>
      </c>
      <c r="F3" s="22">
        <v>0</v>
      </c>
    </row>
    <row r="4" spans="2:6" x14ac:dyDescent="0.6">
      <c r="B4" s="19" t="s">
        <v>173</v>
      </c>
      <c r="C4" s="20" t="s">
        <v>172</v>
      </c>
      <c r="D4" s="21">
        <v>43891</v>
      </c>
      <c r="E4" s="21">
        <v>43925</v>
      </c>
      <c r="F4" s="22">
        <v>-3</v>
      </c>
    </row>
    <row r="5" spans="2:6" x14ac:dyDescent="0.6">
      <c r="B5" s="19" t="s">
        <v>174</v>
      </c>
      <c r="C5" s="20" t="s">
        <v>172</v>
      </c>
      <c r="D5" s="21">
        <v>43951</v>
      </c>
      <c r="E5" s="21">
        <v>43917</v>
      </c>
      <c r="F5" s="22">
        <v>-1</v>
      </c>
    </row>
    <row r="6" spans="2:6" x14ac:dyDescent="0.6">
      <c r="B6" s="19" t="s">
        <v>171</v>
      </c>
      <c r="C6" s="20" t="s">
        <v>116</v>
      </c>
      <c r="D6" s="21">
        <v>43908</v>
      </c>
      <c r="E6" s="21">
        <v>43912</v>
      </c>
      <c r="F6" s="22">
        <v>-4</v>
      </c>
    </row>
    <row r="7" spans="2:6" x14ac:dyDescent="0.6">
      <c r="B7" s="19" t="s">
        <v>171</v>
      </c>
      <c r="C7" s="20" t="s">
        <v>117</v>
      </c>
      <c r="D7" s="21">
        <v>43905</v>
      </c>
      <c r="E7" s="21">
        <v>43908</v>
      </c>
      <c r="F7" s="22">
        <v>-3</v>
      </c>
    </row>
    <row r="8" spans="2:6" x14ac:dyDescent="0.6">
      <c r="B8" s="19" t="s">
        <v>171</v>
      </c>
      <c r="C8" s="20" t="s">
        <v>175</v>
      </c>
      <c r="D8" s="21">
        <v>43912</v>
      </c>
      <c r="E8" s="21">
        <v>43915</v>
      </c>
      <c r="F8" s="22">
        <v>-3</v>
      </c>
    </row>
    <row r="9" spans="2:6" x14ac:dyDescent="0.6">
      <c r="B9" s="19" t="s">
        <v>171</v>
      </c>
      <c r="C9" s="20" t="s">
        <v>115</v>
      </c>
      <c r="D9" s="21">
        <v>44058</v>
      </c>
      <c r="E9" s="21">
        <v>43906</v>
      </c>
      <c r="F9" s="22">
        <v>-1</v>
      </c>
    </row>
    <row r="10" spans="2:6" x14ac:dyDescent="0.6">
      <c r="B10" s="19" t="s">
        <v>171</v>
      </c>
      <c r="C10" s="20" t="s">
        <v>176</v>
      </c>
      <c r="D10" s="21">
        <v>43904</v>
      </c>
      <c r="E10" s="21">
        <v>43905</v>
      </c>
      <c r="F10" s="22">
        <v>-1</v>
      </c>
    </row>
    <row r="11" spans="2:6" x14ac:dyDescent="0.6">
      <c r="B11" s="19" t="s">
        <v>171</v>
      </c>
      <c r="C11" s="20" t="s">
        <v>114</v>
      </c>
      <c r="D11" s="21">
        <v>43916</v>
      </c>
      <c r="E11" s="21">
        <v>43915</v>
      </c>
      <c r="F11" s="22">
        <v>1</v>
      </c>
    </row>
    <row r="12" spans="2:6" x14ac:dyDescent="0.6">
      <c r="B12" s="19" t="s">
        <v>171</v>
      </c>
      <c r="C12" s="20" t="s">
        <v>177</v>
      </c>
      <c r="D12" s="21">
        <v>43918</v>
      </c>
      <c r="E12" s="21">
        <v>43920</v>
      </c>
      <c r="F12" s="22">
        <v>-2</v>
      </c>
    </row>
    <row r="13" spans="2:6" x14ac:dyDescent="0.6">
      <c r="B13" s="19" t="s">
        <v>171</v>
      </c>
      <c r="C13" s="20" t="s">
        <v>178</v>
      </c>
      <c r="D13" s="21">
        <v>43913</v>
      </c>
      <c r="E13" s="21">
        <v>43912</v>
      </c>
      <c r="F13" s="22">
        <v>1</v>
      </c>
    </row>
    <row r="14" spans="2:6" x14ac:dyDescent="0.6">
      <c r="B14" s="19" t="s">
        <v>171</v>
      </c>
      <c r="C14" s="20" t="s">
        <v>179</v>
      </c>
      <c r="D14" s="21">
        <v>43922</v>
      </c>
      <c r="E14" s="21">
        <v>43922</v>
      </c>
      <c r="F14" s="22">
        <v>0</v>
      </c>
    </row>
    <row r="15" spans="2:6" x14ac:dyDescent="0.6">
      <c r="B15" s="19" t="s">
        <v>171</v>
      </c>
      <c r="C15" s="20" t="s">
        <v>180</v>
      </c>
      <c r="D15" s="21">
        <v>43912</v>
      </c>
      <c r="E15" s="21">
        <v>43915</v>
      </c>
      <c r="F15" s="22">
        <v>-3</v>
      </c>
    </row>
    <row r="16" spans="2:6" x14ac:dyDescent="0.6">
      <c r="B16" s="19" t="s">
        <v>173</v>
      </c>
      <c r="C16" s="20" t="s">
        <v>116</v>
      </c>
      <c r="D16" s="21">
        <v>43918</v>
      </c>
      <c r="E16" s="21">
        <v>43922</v>
      </c>
      <c r="F16" s="22">
        <v>-4</v>
      </c>
    </row>
    <row r="17" spans="2:6" x14ac:dyDescent="0.6">
      <c r="B17" s="19" t="s">
        <v>173</v>
      </c>
      <c r="C17" s="20" t="s">
        <v>117</v>
      </c>
      <c r="D17" s="21">
        <v>43915</v>
      </c>
      <c r="E17" s="21">
        <v>43920</v>
      </c>
      <c r="F17" s="22">
        <v>-5</v>
      </c>
    </row>
    <row r="18" spans="2:6" x14ac:dyDescent="0.6">
      <c r="B18" s="19" t="s">
        <v>173</v>
      </c>
      <c r="C18" s="20" t="s">
        <v>175</v>
      </c>
      <c r="D18" s="21">
        <v>43920</v>
      </c>
      <c r="E18" s="21">
        <v>43925</v>
      </c>
      <c r="F18" s="22">
        <v>-5</v>
      </c>
    </row>
    <row r="19" spans="2:6" x14ac:dyDescent="0.6">
      <c r="B19" s="19" t="s">
        <v>173</v>
      </c>
      <c r="C19" s="20" t="s">
        <v>115</v>
      </c>
      <c r="D19" s="21">
        <v>43915</v>
      </c>
      <c r="E19" s="21">
        <v>43917</v>
      </c>
      <c r="F19" s="22">
        <v>-2</v>
      </c>
    </row>
    <row r="20" spans="2:6" x14ac:dyDescent="0.6">
      <c r="B20" s="19" t="s">
        <v>173</v>
      </c>
      <c r="C20" s="20" t="s">
        <v>176</v>
      </c>
      <c r="D20" s="21">
        <v>43912</v>
      </c>
      <c r="E20" s="21">
        <v>43913</v>
      </c>
      <c r="F20" s="22">
        <v>-1</v>
      </c>
    </row>
    <row r="21" spans="2:6" x14ac:dyDescent="0.6">
      <c r="B21" s="19" t="s">
        <v>173</v>
      </c>
      <c r="C21" s="20" t="s">
        <v>114</v>
      </c>
      <c r="D21" s="21">
        <v>43926</v>
      </c>
      <c r="E21" s="21">
        <v>43930</v>
      </c>
      <c r="F21" s="22">
        <v>-4</v>
      </c>
    </row>
    <row r="22" spans="2:6" x14ac:dyDescent="0.6">
      <c r="B22" s="19" t="s">
        <v>173</v>
      </c>
      <c r="C22" s="20" t="s">
        <v>177</v>
      </c>
      <c r="D22" s="21">
        <v>43927</v>
      </c>
      <c r="E22" s="21">
        <v>43930</v>
      </c>
      <c r="F22" s="22">
        <v>-3</v>
      </c>
    </row>
    <row r="23" spans="2:6" x14ac:dyDescent="0.6">
      <c r="B23" s="19" t="s">
        <v>173</v>
      </c>
      <c r="C23" s="20" t="s">
        <v>178</v>
      </c>
      <c r="D23" s="21">
        <v>43918</v>
      </c>
      <c r="E23" s="21">
        <v>43922</v>
      </c>
      <c r="F23" s="22">
        <v>-4</v>
      </c>
    </row>
    <row r="24" spans="2:6" x14ac:dyDescent="0.6">
      <c r="B24" s="19" t="s">
        <v>173</v>
      </c>
      <c r="C24" s="20" t="s">
        <v>179</v>
      </c>
      <c r="D24" s="21">
        <v>43929</v>
      </c>
      <c r="E24" s="21">
        <v>43933</v>
      </c>
      <c r="F24" s="22">
        <v>-4</v>
      </c>
    </row>
    <row r="25" spans="2:6" x14ac:dyDescent="0.6">
      <c r="B25" s="19" t="s">
        <v>173</v>
      </c>
      <c r="C25" s="20" t="s">
        <v>180</v>
      </c>
      <c r="D25" s="21">
        <v>43920</v>
      </c>
      <c r="E25" s="21">
        <v>43925</v>
      </c>
      <c r="F25" s="22">
        <v>-5</v>
      </c>
    </row>
    <row r="26" spans="2:6" x14ac:dyDescent="0.6">
      <c r="B26" s="19" t="s">
        <v>174</v>
      </c>
      <c r="C26" s="20" t="s">
        <v>116</v>
      </c>
      <c r="D26" s="21">
        <v>43916</v>
      </c>
      <c r="E26" s="21">
        <v>43916</v>
      </c>
      <c r="F26" s="22">
        <v>0</v>
      </c>
    </row>
    <row r="27" spans="2:6" x14ac:dyDescent="0.6">
      <c r="B27" s="19" t="s">
        <v>174</v>
      </c>
      <c r="C27" s="20" t="s">
        <v>117</v>
      </c>
      <c r="D27" s="21">
        <v>43913</v>
      </c>
      <c r="E27" s="21">
        <v>43915</v>
      </c>
      <c r="F27" s="22">
        <v>-2</v>
      </c>
    </row>
    <row r="28" spans="2:6" x14ac:dyDescent="0.6">
      <c r="B28" s="19" t="s">
        <v>174</v>
      </c>
      <c r="C28" s="20" t="s">
        <v>175</v>
      </c>
      <c r="D28" s="21">
        <v>43916</v>
      </c>
      <c r="E28" s="21">
        <v>43918</v>
      </c>
      <c r="F28" s="22">
        <v>-2</v>
      </c>
    </row>
    <row r="29" spans="2:6" x14ac:dyDescent="0.6">
      <c r="B29" s="19" t="s">
        <v>174</v>
      </c>
      <c r="C29" s="20" t="s">
        <v>115</v>
      </c>
      <c r="D29" s="21">
        <v>43907</v>
      </c>
      <c r="E29" s="21">
        <v>43908</v>
      </c>
      <c r="F29" s="22">
        <v>-1</v>
      </c>
    </row>
    <row r="30" spans="2:6" x14ac:dyDescent="0.6">
      <c r="B30" s="19" t="s">
        <v>174</v>
      </c>
      <c r="C30" s="20" t="s">
        <v>176</v>
      </c>
      <c r="D30" s="21">
        <v>43845</v>
      </c>
      <c r="E30" s="21">
        <v>43909</v>
      </c>
      <c r="F30" s="22">
        <v>-4</v>
      </c>
    </row>
    <row r="31" spans="2:6" x14ac:dyDescent="0.6">
      <c r="B31" s="19" t="s">
        <v>174</v>
      </c>
      <c r="C31" s="20" t="s">
        <v>114</v>
      </c>
      <c r="D31" s="21">
        <v>43916</v>
      </c>
      <c r="E31" s="21">
        <v>43918</v>
      </c>
      <c r="F31" s="22">
        <v>-2</v>
      </c>
    </row>
    <row r="32" spans="2:6" x14ac:dyDescent="0.6">
      <c r="B32" s="19" t="s">
        <v>174</v>
      </c>
      <c r="C32" s="20" t="s">
        <v>177</v>
      </c>
      <c r="D32" s="21">
        <v>43919</v>
      </c>
      <c r="E32" s="21">
        <v>43920</v>
      </c>
      <c r="F32" s="22">
        <v>-1</v>
      </c>
    </row>
    <row r="33" spans="2:6" x14ac:dyDescent="0.6">
      <c r="B33" s="19" t="s">
        <v>174</v>
      </c>
      <c r="C33" s="20" t="s">
        <v>178</v>
      </c>
      <c r="D33" s="21">
        <v>43912</v>
      </c>
      <c r="E33" s="21">
        <v>43909</v>
      </c>
      <c r="F33" s="22">
        <v>3</v>
      </c>
    </row>
    <row r="34" spans="2:6" x14ac:dyDescent="0.6">
      <c r="B34" s="19" t="s">
        <v>174</v>
      </c>
      <c r="C34" s="20" t="s">
        <v>179</v>
      </c>
      <c r="D34" s="21">
        <v>43924</v>
      </c>
      <c r="E34" s="21">
        <v>43924</v>
      </c>
      <c r="F34" s="22">
        <v>0</v>
      </c>
    </row>
    <row r="35" spans="2:6" x14ac:dyDescent="0.6">
      <c r="B35" s="19" t="s">
        <v>174</v>
      </c>
      <c r="C35" s="20" t="s">
        <v>180</v>
      </c>
      <c r="D35" s="21">
        <v>44009</v>
      </c>
      <c r="E35" s="21">
        <v>43919</v>
      </c>
      <c r="F35" s="22">
        <v>-2</v>
      </c>
    </row>
  </sheetData>
  <phoneticPr fontId="3" type="noConversion"/>
  <dataValidations count="1">
    <dataValidation type="date" errorStyle="information" allowBlank="1" showInputMessage="1" showErrorMessage="1" errorTitle="날짜확인" error="입력 날짜가 정확한지 확인 바랍니다." promptTitle="입력날짜범위" prompt="3월~4월" sqref="E3:E35 D4:D35 D3" xr:uid="{982C50C2-DDBD-4346-BF70-1567AA05C06B}">
      <formula1>43891</formula1>
      <formula2>43951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B1:F38"/>
  <sheetViews>
    <sheetView workbookViewId="0">
      <selection activeCell="G1" sqref="G1"/>
    </sheetView>
  </sheetViews>
  <sheetFormatPr defaultRowHeight="16.899999999999999" x14ac:dyDescent="0.6"/>
  <cols>
    <col min="1" max="1" width="2.625" customWidth="1"/>
    <col min="4" max="4" width="15.25" customWidth="1"/>
  </cols>
  <sheetData>
    <row r="1" spans="2:6" x14ac:dyDescent="0.6">
      <c r="B1" s="4" t="s">
        <v>164</v>
      </c>
      <c r="C1" s="5"/>
      <c r="D1" s="5"/>
      <c r="E1" s="6"/>
      <c r="F1" s="7"/>
    </row>
    <row r="2" spans="2:6" x14ac:dyDescent="0.6">
      <c r="B2" s="13" t="s">
        <v>2</v>
      </c>
      <c r="C2" s="13" t="s">
        <v>3</v>
      </c>
      <c r="D2" s="13" t="s">
        <v>4</v>
      </c>
      <c r="E2" s="14" t="s">
        <v>5</v>
      </c>
      <c r="F2" s="14" t="s">
        <v>6</v>
      </c>
    </row>
    <row r="3" spans="2:6" x14ac:dyDescent="0.6">
      <c r="B3" s="8">
        <v>24</v>
      </c>
      <c r="C3" s="9" t="s">
        <v>7</v>
      </c>
      <c r="D3" s="9" t="s">
        <v>8</v>
      </c>
      <c r="E3" s="10">
        <v>13200</v>
      </c>
      <c r="F3" s="24">
        <v>3</v>
      </c>
    </row>
    <row r="4" spans="2:6" x14ac:dyDescent="0.6">
      <c r="B4" s="11">
        <v>41</v>
      </c>
      <c r="C4" s="12" t="s">
        <v>9</v>
      </c>
      <c r="D4" s="9" t="s">
        <v>10</v>
      </c>
      <c r="E4" s="10">
        <v>22500</v>
      </c>
      <c r="F4" s="25">
        <v>3</v>
      </c>
    </row>
    <row r="5" spans="2:6" x14ac:dyDescent="0.6">
      <c r="B5" s="11">
        <v>50</v>
      </c>
      <c r="C5" s="12" t="s">
        <v>11</v>
      </c>
      <c r="D5" s="9" t="s">
        <v>12</v>
      </c>
      <c r="E5" s="10">
        <v>45000</v>
      </c>
      <c r="F5" s="25">
        <v>15</v>
      </c>
    </row>
    <row r="6" spans="2:6" x14ac:dyDescent="0.6">
      <c r="B6" s="11">
        <v>29</v>
      </c>
      <c r="C6" s="12" t="s">
        <v>13</v>
      </c>
      <c r="D6" s="9" t="s">
        <v>14</v>
      </c>
      <c r="E6" s="10">
        <v>14200</v>
      </c>
      <c r="F6" s="25">
        <v>15</v>
      </c>
    </row>
    <row r="7" spans="2:6" x14ac:dyDescent="0.6">
      <c r="B7" s="11">
        <v>42</v>
      </c>
      <c r="C7" s="12" t="s">
        <v>13</v>
      </c>
      <c r="D7" s="9" t="s">
        <v>14</v>
      </c>
      <c r="E7" s="10">
        <v>28400</v>
      </c>
      <c r="F7" s="25">
        <v>6</v>
      </c>
    </row>
    <row r="8" spans="2:6" x14ac:dyDescent="0.6">
      <c r="B8" s="11">
        <v>7</v>
      </c>
      <c r="C8" s="12" t="s">
        <v>13</v>
      </c>
      <c r="D8" s="9" t="s">
        <v>14</v>
      </c>
      <c r="E8" s="10">
        <v>13000</v>
      </c>
      <c r="F8" s="25">
        <v>12</v>
      </c>
    </row>
    <row r="9" spans="2:6" x14ac:dyDescent="0.6">
      <c r="B9" s="11">
        <v>45</v>
      </c>
      <c r="C9" s="12" t="s">
        <v>11</v>
      </c>
      <c r="D9" s="9" t="s">
        <v>12</v>
      </c>
      <c r="E9" s="10">
        <v>24000</v>
      </c>
      <c r="F9" s="25">
        <v>3</v>
      </c>
    </row>
    <row r="10" spans="2:6" x14ac:dyDescent="0.6">
      <c r="B10" s="11">
        <v>16</v>
      </c>
      <c r="C10" s="12" t="s">
        <v>13</v>
      </c>
      <c r="D10" s="9" t="s">
        <v>14</v>
      </c>
      <c r="E10" s="10">
        <v>12900</v>
      </c>
      <c r="F10" s="25">
        <v>6</v>
      </c>
    </row>
    <row r="11" spans="2:6" x14ac:dyDescent="0.6">
      <c r="B11" s="11">
        <v>16</v>
      </c>
      <c r="C11" s="12" t="s">
        <v>7</v>
      </c>
      <c r="D11" s="9" t="s">
        <v>8</v>
      </c>
      <c r="E11" s="10">
        <v>12800</v>
      </c>
      <c r="F11" s="25">
        <v>6</v>
      </c>
    </row>
    <row r="12" spans="2:6" x14ac:dyDescent="0.6">
      <c r="B12" s="11">
        <v>51</v>
      </c>
      <c r="C12" s="12" t="s">
        <v>7</v>
      </c>
      <c r="D12" s="9" t="s">
        <v>8</v>
      </c>
      <c r="E12" s="10">
        <v>33000</v>
      </c>
      <c r="F12" s="25">
        <v>6</v>
      </c>
    </row>
    <row r="13" spans="2:6" x14ac:dyDescent="0.6">
      <c r="B13" s="11">
        <v>46</v>
      </c>
      <c r="C13" s="12" t="s">
        <v>7</v>
      </c>
      <c r="D13" s="9" t="s">
        <v>8</v>
      </c>
      <c r="E13" s="10">
        <v>19800</v>
      </c>
      <c r="F13" s="25">
        <v>9</v>
      </c>
    </row>
    <row r="14" spans="2:6" x14ac:dyDescent="0.6">
      <c r="B14" s="11">
        <v>22</v>
      </c>
      <c r="C14" s="12" t="s">
        <v>7</v>
      </c>
      <c r="D14" s="9" t="s">
        <v>8</v>
      </c>
      <c r="E14" s="10">
        <v>13200</v>
      </c>
      <c r="F14" s="25">
        <v>6</v>
      </c>
    </row>
    <row r="15" spans="2:6" x14ac:dyDescent="0.6">
      <c r="B15" s="11">
        <v>6</v>
      </c>
      <c r="C15" s="12" t="s">
        <v>7</v>
      </c>
      <c r="D15" s="9" t="s">
        <v>8</v>
      </c>
      <c r="E15" s="10">
        <v>12800</v>
      </c>
      <c r="F15" s="25">
        <v>9</v>
      </c>
    </row>
    <row r="16" spans="2:6" x14ac:dyDescent="0.6">
      <c r="B16" s="11">
        <v>22</v>
      </c>
      <c r="C16" s="12" t="s">
        <v>9</v>
      </c>
      <c r="D16" s="9" t="s">
        <v>10</v>
      </c>
      <c r="E16" s="10">
        <v>13500</v>
      </c>
      <c r="F16" s="25">
        <v>21</v>
      </c>
    </row>
    <row r="17" spans="2:6" x14ac:dyDescent="0.6">
      <c r="B17" s="11">
        <v>21</v>
      </c>
      <c r="C17" s="12" t="s">
        <v>11</v>
      </c>
      <c r="D17" s="9" t="s">
        <v>12</v>
      </c>
      <c r="E17" s="10">
        <v>13700</v>
      </c>
      <c r="F17" s="25">
        <v>6</v>
      </c>
    </row>
    <row r="18" spans="2:6" x14ac:dyDescent="0.6">
      <c r="B18" s="11">
        <v>13</v>
      </c>
      <c r="C18" s="12" t="s">
        <v>13</v>
      </c>
      <c r="D18" s="9" t="s">
        <v>14</v>
      </c>
      <c r="E18" s="10">
        <v>12900</v>
      </c>
      <c r="F18" s="25">
        <v>9</v>
      </c>
    </row>
    <row r="19" spans="2:6" x14ac:dyDescent="0.6">
      <c r="B19" s="11">
        <v>29</v>
      </c>
      <c r="C19" s="12" t="s">
        <v>7</v>
      </c>
      <c r="D19" s="9" t="s">
        <v>8</v>
      </c>
      <c r="E19" s="10">
        <v>13200</v>
      </c>
      <c r="F19" s="25">
        <v>24</v>
      </c>
    </row>
    <row r="20" spans="2:6" x14ac:dyDescent="0.6">
      <c r="B20" s="11">
        <v>61</v>
      </c>
      <c r="C20" s="12" t="s">
        <v>9</v>
      </c>
      <c r="D20" s="9" t="s">
        <v>10</v>
      </c>
      <c r="E20" s="10">
        <v>32200</v>
      </c>
      <c r="F20" s="25">
        <v>15</v>
      </c>
    </row>
    <row r="21" spans="2:6" x14ac:dyDescent="0.6">
      <c r="B21" s="11">
        <v>12</v>
      </c>
      <c r="C21" s="12" t="s">
        <v>9</v>
      </c>
      <c r="D21" s="9" t="s">
        <v>10</v>
      </c>
      <c r="E21" s="10">
        <v>12600</v>
      </c>
      <c r="F21" s="25">
        <v>12</v>
      </c>
    </row>
    <row r="22" spans="2:6" x14ac:dyDescent="0.6">
      <c r="B22" s="11">
        <v>64</v>
      </c>
      <c r="C22" s="12" t="s">
        <v>13</v>
      </c>
      <c r="D22" s="9" t="s">
        <v>14</v>
      </c>
      <c r="E22" s="10">
        <v>43900</v>
      </c>
      <c r="F22" s="25">
        <v>6</v>
      </c>
    </row>
    <row r="23" spans="2:6" x14ac:dyDescent="0.6">
      <c r="B23" s="11">
        <v>29</v>
      </c>
      <c r="C23" s="12" t="s">
        <v>7</v>
      </c>
      <c r="D23" s="9" t="s">
        <v>8</v>
      </c>
      <c r="E23" s="10">
        <v>13200</v>
      </c>
      <c r="F23" s="25">
        <v>3</v>
      </c>
    </row>
    <row r="24" spans="2:6" x14ac:dyDescent="0.6">
      <c r="B24" s="11">
        <v>17</v>
      </c>
      <c r="C24" s="12" t="s">
        <v>9</v>
      </c>
      <c r="D24" s="9" t="s">
        <v>10</v>
      </c>
      <c r="E24" s="10">
        <v>12600</v>
      </c>
      <c r="F24" s="25">
        <v>12</v>
      </c>
    </row>
    <row r="25" spans="2:6" x14ac:dyDescent="0.6">
      <c r="B25" s="1">
        <v>29</v>
      </c>
      <c r="C25" s="1" t="s">
        <v>11</v>
      </c>
      <c r="D25" s="1" t="s">
        <v>12</v>
      </c>
      <c r="E25" s="23">
        <v>13700</v>
      </c>
      <c r="F25" s="1">
        <v>18</v>
      </c>
    </row>
    <row r="26" spans="2:6" x14ac:dyDescent="0.6">
      <c r="B26" s="1">
        <v>26</v>
      </c>
      <c r="C26" s="1" t="s">
        <v>11</v>
      </c>
      <c r="D26" s="1" t="s">
        <v>12</v>
      </c>
      <c r="E26" s="23">
        <v>13700</v>
      </c>
      <c r="F26" s="1">
        <v>15</v>
      </c>
    </row>
    <row r="27" spans="2:6" x14ac:dyDescent="0.6">
      <c r="B27" s="1">
        <v>59</v>
      </c>
      <c r="C27" s="1" t="s">
        <v>11</v>
      </c>
      <c r="D27" s="1" t="s">
        <v>12</v>
      </c>
      <c r="E27" s="23">
        <v>45000</v>
      </c>
      <c r="F27" s="1">
        <v>6</v>
      </c>
    </row>
    <row r="28" spans="2:6" x14ac:dyDescent="0.6">
      <c r="B28" s="1">
        <v>43</v>
      </c>
      <c r="C28" s="1" t="s">
        <v>9</v>
      </c>
      <c r="D28" s="1" t="s">
        <v>10</v>
      </c>
      <c r="E28" s="23">
        <v>22500</v>
      </c>
      <c r="F28" s="1">
        <v>15</v>
      </c>
    </row>
    <row r="29" spans="2:6" x14ac:dyDescent="0.6">
      <c r="B29" s="1">
        <v>53</v>
      </c>
      <c r="C29" s="1" t="s">
        <v>11</v>
      </c>
      <c r="D29" s="1" t="s">
        <v>12</v>
      </c>
      <c r="E29" s="23">
        <v>45000</v>
      </c>
      <c r="F29" s="1">
        <v>3</v>
      </c>
    </row>
    <row r="30" spans="2:6" x14ac:dyDescent="0.6">
      <c r="B30" s="1">
        <v>29</v>
      </c>
      <c r="C30" s="1" t="s">
        <v>13</v>
      </c>
      <c r="D30" s="1" t="s">
        <v>14</v>
      </c>
      <c r="E30" s="23">
        <v>14200</v>
      </c>
      <c r="F30" s="1">
        <v>18</v>
      </c>
    </row>
    <row r="31" spans="2:6" x14ac:dyDescent="0.6">
      <c r="B31" s="1">
        <v>18</v>
      </c>
      <c r="C31" s="1" t="s">
        <v>7</v>
      </c>
      <c r="D31" s="1" t="s">
        <v>8</v>
      </c>
      <c r="E31" s="23">
        <v>12800</v>
      </c>
      <c r="F31" s="1">
        <v>6</v>
      </c>
    </row>
    <row r="32" spans="2:6" x14ac:dyDescent="0.6">
      <c r="B32" s="1">
        <v>41</v>
      </c>
      <c r="C32" s="1" t="s">
        <v>9</v>
      </c>
      <c r="D32" s="1" t="s">
        <v>10</v>
      </c>
      <c r="E32" s="23">
        <v>22500</v>
      </c>
      <c r="F32" s="1">
        <v>6</v>
      </c>
    </row>
    <row r="33" spans="2:6" x14ac:dyDescent="0.6">
      <c r="B33" s="1">
        <v>8</v>
      </c>
      <c r="C33" s="1" t="s">
        <v>11</v>
      </c>
      <c r="D33" s="1" t="s">
        <v>12</v>
      </c>
      <c r="E33" s="23">
        <v>13100</v>
      </c>
      <c r="F33" s="1">
        <v>9</v>
      </c>
    </row>
    <row r="34" spans="2:6" x14ac:dyDescent="0.6">
      <c r="B34" s="1">
        <v>64</v>
      </c>
      <c r="C34" s="1" t="s">
        <v>13</v>
      </c>
      <c r="D34" s="1" t="s">
        <v>14</v>
      </c>
      <c r="E34" s="23">
        <v>43900</v>
      </c>
      <c r="F34" s="1">
        <v>3</v>
      </c>
    </row>
    <row r="35" spans="2:6" x14ac:dyDescent="0.6">
      <c r="B35" s="1">
        <v>21</v>
      </c>
      <c r="C35" s="1" t="s">
        <v>13</v>
      </c>
      <c r="D35" s="1" t="s">
        <v>14</v>
      </c>
      <c r="E35" s="23">
        <v>14200</v>
      </c>
      <c r="F35" s="1">
        <v>12</v>
      </c>
    </row>
    <row r="36" spans="2:6" x14ac:dyDescent="0.6">
      <c r="B36" s="1">
        <v>25</v>
      </c>
      <c r="C36" s="1" t="s">
        <v>13</v>
      </c>
      <c r="D36" s="1" t="s">
        <v>14</v>
      </c>
      <c r="E36" s="23">
        <v>14200</v>
      </c>
      <c r="F36" s="1">
        <v>6</v>
      </c>
    </row>
    <row r="37" spans="2:6" x14ac:dyDescent="0.6">
      <c r="B37" s="1">
        <v>53</v>
      </c>
      <c r="C37" s="1" t="s">
        <v>13</v>
      </c>
      <c r="D37" s="1" t="s">
        <v>14</v>
      </c>
      <c r="E37" s="23">
        <v>34900</v>
      </c>
      <c r="F37" s="1">
        <v>3</v>
      </c>
    </row>
    <row r="38" spans="2:6" x14ac:dyDescent="0.6">
      <c r="B38" s="1">
        <v>59</v>
      </c>
      <c r="C38" s="1" t="s">
        <v>13</v>
      </c>
      <c r="D38" s="1" t="s">
        <v>14</v>
      </c>
      <c r="E38" s="23">
        <v>34900</v>
      </c>
      <c r="F38" s="1">
        <v>9</v>
      </c>
    </row>
  </sheetData>
  <phoneticPr fontId="3" type="noConversion"/>
  <dataValidations count="1">
    <dataValidation type="custom" allowBlank="1" showInputMessage="1" showErrorMessage="1" errorTitle="3의 배수 입력" error="3의 배수만 입력하세요." promptTitle="3의 배수 입력" prompt="3의 배수를 입력하세요." sqref="F3:F38" xr:uid="{4474B485-C09C-48F4-B064-3FF43586D9FB}">
      <formula1>MOD(F3,3)=0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F42"/>
  <sheetViews>
    <sheetView workbookViewId="0">
      <selection activeCell="D3" sqref="D3:D35"/>
    </sheetView>
  </sheetViews>
  <sheetFormatPr defaultRowHeight="16.899999999999999" x14ac:dyDescent="0.6"/>
  <cols>
    <col min="1" max="1" width="2.625" customWidth="1"/>
    <col min="3" max="3" width="14" customWidth="1"/>
    <col min="4" max="5" width="11.125" bestFit="1" customWidth="1"/>
  </cols>
  <sheetData>
    <row r="1" spans="2:6" x14ac:dyDescent="0.6">
      <c r="B1" t="s">
        <v>181</v>
      </c>
    </row>
    <row r="2" spans="2:6" x14ac:dyDescent="0.6">
      <c r="B2" s="16" t="s">
        <v>166</v>
      </c>
      <c r="C2" s="17" t="s">
        <v>167</v>
      </c>
      <c r="D2" s="17" t="s">
        <v>168</v>
      </c>
      <c r="E2" s="17" t="s">
        <v>169</v>
      </c>
      <c r="F2" s="18" t="s">
        <v>170</v>
      </c>
    </row>
    <row r="3" spans="2:6" x14ac:dyDescent="0.6">
      <c r="B3" s="19" t="s">
        <v>171</v>
      </c>
      <c r="C3" s="20" t="s">
        <v>172</v>
      </c>
      <c r="D3" s="21">
        <v>43854</v>
      </c>
      <c r="E3" s="21">
        <v>43914</v>
      </c>
      <c r="F3" s="22">
        <v>0</v>
      </c>
    </row>
    <row r="4" spans="2:6" ht="19.350000000000001" customHeight="1" x14ac:dyDescent="0.6">
      <c r="B4" s="19" t="s">
        <v>173</v>
      </c>
      <c r="C4" s="20" t="s">
        <v>172</v>
      </c>
      <c r="D4" s="21">
        <v>43891</v>
      </c>
      <c r="E4" s="21">
        <v>43925</v>
      </c>
      <c r="F4" s="22">
        <v>-3</v>
      </c>
    </row>
    <row r="5" spans="2:6" ht="19.350000000000001" customHeight="1" x14ac:dyDescent="0.6">
      <c r="B5" s="19" t="s">
        <v>174</v>
      </c>
      <c r="C5" s="20" t="s">
        <v>172</v>
      </c>
      <c r="D5" s="21">
        <v>43951</v>
      </c>
      <c r="E5" s="21">
        <v>43917</v>
      </c>
      <c r="F5" s="22">
        <v>-1</v>
      </c>
    </row>
    <row r="6" spans="2:6" ht="19.350000000000001" customHeight="1" x14ac:dyDescent="0.6">
      <c r="B6" s="19" t="s">
        <v>171</v>
      </c>
      <c r="C6" s="20" t="s">
        <v>116</v>
      </c>
      <c r="D6" s="21">
        <v>43908</v>
      </c>
      <c r="E6" s="21">
        <v>43912</v>
      </c>
      <c r="F6" s="22">
        <v>-4</v>
      </c>
    </row>
    <row r="7" spans="2:6" ht="19.350000000000001" customHeight="1" x14ac:dyDescent="0.6">
      <c r="B7" s="19" t="s">
        <v>171</v>
      </c>
      <c r="C7" s="20" t="s">
        <v>117</v>
      </c>
      <c r="D7" s="21">
        <v>43905</v>
      </c>
      <c r="E7" s="21">
        <v>43908</v>
      </c>
      <c r="F7" s="22">
        <v>-3</v>
      </c>
    </row>
    <row r="8" spans="2:6" ht="19.350000000000001" customHeight="1" x14ac:dyDescent="0.6">
      <c r="B8" s="19" t="s">
        <v>171</v>
      </c>
      <c r="C8" s="20" t="s">
        <v>175</v>
      </c>
      <c r="D8" s="21">
        <v>43912</v>
      </c>
      <c r="E8" s="21">
        <v>43915</v>
      </c>
      <c r="F8" s="22">
        <v>-3</v>
      </c>
    </row>
    <row r="9" spans="2:6" ht="19.350000000000001" customHeight="1" x14ac:dyDescent="0.6">
      <c r="B9" s="19" t="s">
        <v>171</v>
      </c>
      <c r="C9" s="20" t="s">
        <v>115</v>
      </c>
      <c r="D9" s="21">
        <v>44058</v>
      </c>
      <c r="E9" s="21">
        <v>43906</v>
      </c>
      <c r="F9" s="22">
        <v>-1</v>
      </c>
    </row>
    <row r="10" spans="2:6" ht="19.350000000000001" customHeight="1" x14ac:dyDescent="0.6">
      <c r="B10" s="19" t="s">
        <v>171</v>
      </c>
      <c r="C10" s="20" t="s">
        <v>176</v>
      </c>
      <c r="D10" s="21">
        <v>43904</v>
      </c>
      <c r="E10" s="21">
        <v>43905</v>
      </c>
      <c r="F10" s="22">
        <v>-1</v>
      </c>
    </row>
    <row r="11" spans="2:6" ht="19.350000000000001" customHeight="1" x14ac:dyDescent="0.6">
      <c r="B11" s="19" t="s">
        <v>171</v>
      </c>
      <c r="C11" s="20" t="s">
        <v>114</v>
      </c>
      <c r="D11" s="21">
        <v>43916</v>
      </c>
      <c r="E11" s="21">
        <v>43915</v>
      </c>
      <c r="F11" s="22">
        <v>1</v>
      </c>
    </row>
    <row r="12" spans="2:6" ht="19.350000000000001" customHeight="1" x14ac:dyDescent="0.6">
      <c r="B12" s="19" t="s">
        <v>171</v>
      </c>
      <c r="C12" s="20" t="s">
        <v>177</v>
      </c>
      <c r="D12" s="21">
        <v>43918</v>
      </c>
      <c r="E12" s="21">
        <v>43920</v>
      </c>
      <c r="F12" s="22">
        <v>-2</v>
      </c>
    </row>
    <row r="13" spans="2:6" ht="19.350000000000001" customHeight="1" x14ac:dyDescent="0.6">
      <c r="B13" s="19" t="s">
        <v>171</v>
      </c>
      <c r="C13" s="20" t="s">
        <v>178</v>
      </c>
      <c r="D13" s="21">
        <v>43913</v>
      </c>
      <c r="E13" s="21">
        <v>43912</v>
      </c>
      <c r="F13" s="22">
        <v>1</v>
      </c>
    </row>
    <row r="14" spans="2:6" ht="19.350000000000001" customHeight="1" x14ac:dyDescent="0.6">
      <c r="B14" s="19" t="s">
        <v>171</v>
      </c>
      <c r="C14" s="20" t="s">
        <v>179</v>
      </c>
      <c r="D14" s="21">
        <v>43922</v>
      </c>
      <c r="E14" s="21">
        <v>43922</v>
      </c>
      <c r="F14" s="22">
        <v>0</v>
      </c>
    </row>
    <row r="15" spans="2:6" ht="19.350000000000001" customHeight="1" x14ac:dyDescent="0.6">
      <c r="B15" s="19" t="s">
        <v>171</v>
      </c>
      <c r="C15" s="20" t="s">
        <v>180</v>
      </c>
      <c r="D15" s="21">
        <v>43912</v>
      </c>
      <c r="E15" s="21">
        <v>43915</v>
      </c>
      <c r="F15" s="22">
        <v>-3</v>
      </c>
    </row>
    <row r="16" spans="2:6" ht="19.350000000000001" customHeight="1" x14ac:dyDescent="0.6">
      <c r="B16" s="19" t="s">
        <v>173</v>
      </c>
      <c r="C16" s="20" t="s">
        <v>116</v>
      </c>
      <c r="D16" s="21">
        <v>43918</v>
      </c>
      <c r="E16" s="21">
        <v>43922</v>
      </c>
      <c r="F16" s="22">
        <v>-4</v>
      </c>
    </row>
    <row r="17" spans="2:6" ht="19.350000000000001" customHeight="1" x14ac:dyDescent="0.6">
      <c r="B17" s="19" t="s">
        <v>173</v>
      </c>
      <c r="C17" s="20" t="s">
        <v>117</v>
      </c>
      <c r="D17" s="21">
        <v>43915</v>
      </c>
      <c r="E17" s="21">
        <v>43920</v>
      </c>
      <c r="F17" s="22">
        <v>-5</v>
      </c>
    </row>
    <row r="18" spans="2:6" ht="19.350000000000001" customHeight="1" x14ac:dyDescent="0.6">
      <c r="B18" s="19" t="s">
        <v>173</v>
      </c>
      <c r="C18" s="20" t="s">
        <v>175</v>
      </c>
      <c r="D18" s="21">
        <v>43920</v>
      </c>
      <c r="E18" s="21">
        <v>43925</v>
      </c>
      <c r="F18" s="22">
        <v>-5</v>
      </c>
    </row>
    <row r="19" spans="2:6" ht="19.350000000000001" customHeight="1" x14ac:dyDescent="0.6">
      <c r="B19" s="19" t="s">
        <v>173</v>
      </c>
      <c r="C19" s="20" t="s">
        <v>115</v>
      </c>
      <c r="D19" s="21">
        <v>43915</v>
      </c>
      <c r="E19" s="21">
        <v>43917</v>
      </c>
      <c r="F19" s="22">
        <v>-2</v>
      </c>
    </row>
    <row r="20" spans="2:6" ht="19.350000000000001" customHeight="1" x14ac:dyDescent="0.6">
      <c r="B20" s="19" t="s">
        <v>173</v>
      </c>
      <c r="C20" s="20" t="s">
        <v>176</v>
      </c>
      <c r="D20" s="21">
        <v>43912</v>
      </c>
      <c r="E20" s="21">
        <v>43913</v>
      </c>
      <c r="F20" s="22">
        <v>-1</v>
      </c>
    </row>
    <row r="21" spans="2:6" ht="19.350000000000001" customHeight="1" x14ac:dyDescent="0.6">
      <c r="B21" s="19" t="s">
        <v>173</v>
      </c>
      <c r="C21" s="20" t="s">
        <v>114</v>
      </c>
      <c r="D21" s="21">
        <v>43926</v>
      </c>
      <c r="E21" s="21">
        <v>43930</v>
      </c>
      <c r="F21" s="22">
        <v>-4</v>
      </c>
    </row>
    <row r="22" spans="2:6" ht="19.350000000000001" customHeight="1" x14ac:dyDescent="0.6">
      <c r="B22" s="19" t="s">
        <v>173</v>
      </c>
      <c r="C22" s="20" t="s">
        <v>177</v>
      </c>
      <c r="D22" s="21">
        <v>43927</v>
      </c>
      <c r="E22" s="21">
        <v>43930</v>
      </c>
      <c r="F22" s="22">
        <v>-3</v>
      </c>
    </row>
    <row r="23" spans="2:6" ht="19.350000000000001" customHeight="1" x14ac:dyDescent="0.6">
      <c r="B23" s="19" t="s">
        <v>173</v>
      </c>
      <c r="C23" s="20" t="s">
        <v>178</v>
      </c>
      <c r="D23" s="21">
        <v>43918</v>
      </c>
      <c r="E23" s="21">
        <v>43922</v>
      </c>
      <c r="F23" s="22">
        <v>-4</v>
      </c>
    </row>
    <row r="24" spans="2:6" ht="19.350000000000001" customHeight="1" x14ac:dyDescent="0.6">
      <c r="B24" s="19" t="s">
        <v>173</v>
      </c>
      <c r="C24" s="20" t="s">
        <v>179</v>
      </c>
      <c r="D24" s="21">
        <v>43929</v>
      </c>
      <c r="E24" s="21">
        <v>43933</v>
      </c>
      <c r="F24" s="22">
        <v>-4</v>
      </c>
    </row>
    <row r="25" spans="2:6" ht="19.350000000000001" customHeight="1" x14ac:dyDescent="0.6">
      <c r="B25" s="19" t="s">
        <v>173</v>
      </c>
      <c r="C25" s="20" t="s">
        <v>180</v>
      </c>
      <c r="D25" s="21">
        <v>43920</v>
      </c>
      <c r="E25" s="21">
        <v>43925</v>
      </c>
      <c r="F25" s="22">
        <v>-5</v>
      </c>
    </row>
    <row r="26" spans="2:6" ht="19.350000000000001" customHeight="1" x14ac:dyDescent="0.6">
      <c r="B26" s="19" t="s">
        <v>174</v>
      </c>
      <c r="C26" s="20" t="s">
        <v>116</v>
      </c>
      <c r="D26" s="21">
        <v>43916</v>
      </c>
      <c r="E26" s="21">
        <v>43916</v>
      </c>
      <c r="F26" s="22">
        <v>0</v>
      </c>
    </row>
    <row r="27" spans="2:6" ht="19.350000000000001" customHeight="1" x14ac:dyDescent="0.6">
      <c r="B27" s="19" t="s">
        <v>174</v>
      </c>
      <c r="C27" s="20" t="s">
        <v>117</v>
      </c>
      <c r="D27" s="21">
        <v>43913</v>
      </c>
      <c r="E27" s="21">
        <v>43915</v>
      </c>
      <c r="F27" s="22">
        <v>-2</v>
      </c>
    </row>
    <row r="28" spans="2:6" ht="19.350000000000001" customHeight="1" x14ac:dyDescent="0.6">
      <c r="B28" s="19" t="s">
        <v>174</v>
      </c>
      <c r="C28" s="20" t="s">
        <v>175</v>
      </c>
      <c r="D28" s="21">
        <v>43916</v>
      </c>
      <c r="E28" s="21">
        <v>43918</v>
      </c>
      <c r="F28" s="22">
        <v>-2</v>
      </c>
    </row>
    <row r="29" spans="2:6" ht="19.350000000000001" customHeight="1" x14ac:dyDescent="0.6">
      <c r="B29" s="19" t="s">
        <v>174</v>
      </c>
      <c r="C29" s="20" t="s">
        <v>115</v>
      </c>
      <c r="D29" s="21">
        <v>43907</v>
      </c>
      <c r="E29" s="21">
        <v>43908</v>
      </c>
      <c r="F29" s="22">
        <v>-1</v>
      </c>
    </row>
    <row r="30" spans="2:6" ht="19.350000000000001" customHeight="1" x14ac:dyDescent="0.6">
      <c r="B30" s="19" t="s">
        <v>174</v>
      </c>
      <c r="C30" s="20" t="s">
        <v>176</v>
      </c>
      <c r="D30" s="21">
        <v>43845</v>
      </c>
      <c r="E30" s="21">
        <v>43909</v>
      </c>
      <c r="F30" s="22">
        <v>-4</v>
      </c>
    </row>
    <row r="31" spans="2:6" ht="19.350000000000001" customHeight="1" x14ac:dyDescent="0.6">
      <c r="B31" s="19" t="s">
        <v>174</v>
      </c>
      <c r="C31" s="20" t="s">
        <v>114</v>
      </c>
      <c r="D31" s="21">
        <v>43916</v>
      </c>
      <c r="E31" s="21">
        <v>43918</v>
      </c>
      <c r="F31" s="22">
        <v>-2</v>
      </c>
    </row>
    <row r="32" spans="2:6" ht="19.350000000000001" customHeight="1" x14ac:dyDescent="0.6">
      <c r="B32" s="19" t="s">
        <v>174</v>
      </c>
      <c r="C32" s="20" t="s">
        <v>177</v>
      </c>
      <c r="D32" s="21">
        <v>43919</v>
      </c>
      <c r="E32" s="21">
        <v>43920</v>
      </c>
      <c r="F32" s="22">
        <v>-1</v>
      </c>
    </row>
    <row r="33" spans="2:6" ht="19.350000000000001" customHeight="1" x14ac:dyDescent="0.6">
      <c r="B33" s="19" t="s">
        <v>174</v>
      </c>
      <c r="C33" s="20" t="s">
        <v>178</v>
      </c>
      <c r="D33" s="21">
        <v>43912</v>
      </c>
      <c r="E33" s="21">
        <v>43909</v>
      </c>
      <c r="F33" s="22">
        <v>3</v>
      </c>
    </row>
    <row r="34" spans="2:6" ht="19.350000000000001" customHeight="1" x14ac:dyDescent="0.6">
      <c r="B34" s="19" t="s">
        <v>174</v>
      </c>
      <c r="C34" s="20" t="s">
        <v>179</v>
      </c>
      <c r="D34" s="21">
        <v>43924</v>
      </c>
      <c r="E34" s="21">
        <v>43924</v>
      </c>
      <c r="F34" s="22">
        <v>0</v>
      </c>
    </row>
    <row r="35" spans="2:6" ht="19.350000000000001" customHeight="1" x14ac:dyDescent="0.6">
      <c r="B35" s="19" t="s">
        <v>174</v>
      </c>
      <c r="C35" s="20" t="s">
        <v>180</v>
      </c>
      <c r="D35" s="21">
        <v>44009</v>
      </c>
      <c r="E35" s="21">
        <v>43919</v>
      </c>
      <c r="F35" s="22">
        <v>-2</v>
      </c>
    </row>
    <row r="36" spans="2:6" ht="19.350000000000001" customHeight="1" x14ac:dyDescent="0.6"/>
    <row r="37" spans="2:6" ht="19.350000000000001" customHeight="1" x14ac:dyDescent="0.6"/>
    <row r="38" spans="2:6" ht="19.350000000000001" customHeight="1" x14ac:dyDescent="0.6"/>
    <row r="39" spans="2:6" ht="19.350000000000001" customHeight="1" x14ac:dyDescent="0.6"/>
    <row r="40" spans="2:6" ht="19.350000000000001" customHeight="1" x14ac:dyDescent="0.6"/>
    <row r="41" spans="2:6" ht="19.350000000000001" customHeight="1" x14ac:dyDescent="0.6"/>
    <row r="42" spans="2:6" ht="19.350000000000001" customHeight="1" x14ac:dyDescent="0.6"/>
  </sheetData>
  <phoneticPr fontId="3" type="noConversion"/>
  <dataValidations count="1">
    <dataValidation type="custom" allowBlank="1" showInputMessage="1" showErrorMessage="1" sqref="D3:D35" xr:uid="{9FFA5D17-024E-4F26-A9D5-456F68B6356C}">
      <formula1>MONTH(D3) &lt;= 6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J25"/>
  <sheetViews>
    <sheetView topLeftCell="A2" workbookViewId="0">
      <selection activeCell="K2" sqref="K2"/>
    </sheetView>
  </sheetViews>
  <sheetFormatPr defaultRowHeight="16.899999999999999" x14ac:dyDescent="0.6"/>
  <cols>
    <col min="1" max="1" width="2.625" customWidth="1"/>
    <col min="3" max="3" width="12" bestFit="1" customWidth="1"/>
    <col min="6" max="6" width="9.75" bestFit="1" customWidth="1"/>
  </cols>
  <sheetData>
    <row r="2" spans="2:10" x14ac:dyDescent="0.6">
      <c r="B2" t="s">
        <v>165</v>
      </c>
    </row>
    <row r="3" spans="2:10" x14ac:dyDescent="0.6">
      <c r="B3" s="13" t="s">
        <v>17</v>
      </c>
      <c r="C3" s="13" t="s">
        <v>18</v>
      </c>
      <c r="D3" s="13" t="s">
        <v>19</v>
      </c>
      <c r="E3" s="13" t="s">
        <v>20</v>
      </c>
      <c r="F3" s="13" t="s">
        <v>21</v>
      </c>
      <c r="G3" s="13" t="s">
        <v>22</v>
      </c>
      <c r="H3" s="13" t="s">
        <v>23</v>
      </c>
      <c r="I3" s="13" t="s">
        <v>24</v>
      </c>
      <c r="J3" s="13" t="s">
        <v>25</v>
      </c>
    </row>
    <row r="4" spans="2:10" x14ac:dyDescent="0.6">
      <c r="B4" s="1" t="s">
        <v>26</v>
      </c>
      <c r="C4" s="1" t="s">
        <v>27</v>
      </c>
      <c r="D4" s="1" t="s">
        <v>28</v>
      </c>
      <c r="E4" s="1" t="s">
        <v>29</v>
      </c>
      <c r="F4" s="1" t="s">
        <v>30</v>
      </c>
      <c r="G4" s="1">
        <v>1000</v>
      </c>
      <c r="H4" s="1" t="s">
        <v>31</v>
      </c>
      <c r="I4" s="1" t="s">
        <v>32</v>
      </c>
      <c r="J4" s="3">
        <v>45000</v>
      </c>
    </row>
    <row r="5" spans="2:10" x14ac:dyDescent="0.6">
      <c r="B5" s="1" t="s">
        <v>33</v>
      </c>
      <c r="C5" s="1" t="s">
        <v>34</v>
      </c>
      <c r="D5" s="1" t="s">
        <v>28</v>
      </c>
      <c r="E5" s="1" t="s">
        <v>29</v>
      </c>
      <c r="F5" s="1" t="s">
        <v>35</v>
      </c>
      <c r="G5" s="1">
        <v>1000</v>
      </c>
      <c r="H5" s="1" t="s">
        <v>36</v>
      </c>
      <c r="I5" s="1" t="s">
        <v>37</v>
      </c>
      <c r="J5" s="3">
        <v>25000</v>
      </c>
    </row>
    <row r="6" spans="2:10" x14ac:dyDescent="0.6">
      <c r="B6" s="1" t="s">
        <v>38</v>
      </c>
      <c r="C6" s="1" t="s">
        <v>39</v>
      </c>
      <c r="D6" s="1" t="s">
        <v>40</v>
      </c>
      <c r="E6" s="1" t="s">
        <v>29</v>
      </c>
      <c r="F6" s="1" t="s">
        <v>41</v>
      </c>
      <c r="G6" s="1">
        <v>1000</v>
      </c>
      <c r="H6" s="1" t="s">
        <v>31</v>
      </c>
      <c r="I6" s="1" t="s">
        <v>42</v>
      </c>
      <c r="J6" s="3">
        <v>90000</v>
      </c>
    </row>
    <row r="7" spans="2:10" x14ac:dyDescent="0.6">
      <c r="B7" s="1" t="s">
        <v>43</v>
      </c>
      <c r="C7" s="1" t="s">
        <v>44</v>
      </c>
      <c r="D7" s="1" t="s">
        <v>45</v>
      </c>
      <c r="E7" s="1" t="s">
        <v>29</v>
      </c>
      <c r="F7" s="1" t="s">
        <v>46</v>
      </c>
      <c r="G7" s="1">
        <v>1000</v>
      </c>
      <c r="H7" s="1" t="s">
        <v>47</v>
      </c>
      <c r="I7" s="1" t="s">
        <v>42</v>
      </c>
      <c r="J7" s="3">
        <v>10000</v>
      </c>
    </row>
    <row r="8" spans="2:10" x14ac:dyDescent="0.6">
      <c r="B8" s="1" t="s">
        <v>48</v>
      </c>
      <c r="C8" s="1" t="s">
        <v>49</v>
      </c>
      <c r="D8" s="1" t="s">
        <v>45</v>
      </c>
      <c r="E8" s="1" t="s">
        <v>29</v>
      </c>
      <c r="F8" s="1" t="s">
        <v>50</v>
      </c>
      <c r="G8" s="1">
        <v>100</v>
      </c>
      <c r="H8" s="1" t="s">
        <v>47</v>
      </c>
      <c r="I8" s="1" t="s">
        <v>32</v>
      </c>
      <c r="J8" s="3">
        <v>8000</v>
      </c>
    </row>
    <row r="9" spans="2:10" x14ac:dyDescent="0.6">
      <c r="B9" s="1" t="s">
        <v>51</v>
      </c>
      <c r="C9" s="1" t="s">
        <v>52</v>
      </c>
      <c r="D9" s="1" t="s">
        <v>40</v>
      </c>
      <c r="E9" s="1" t="s">
        <v>29</v>
      </c>
      <c r="F9" s="1" t="s">
        <v>53</v>
      </c>
      <c r="G9" s="1">
        <v>100</v>
      </c>
      <c r="H9" s="1" t="s">
        <v>31</v>
      </c>
      <c r="I9" s="1" t="s">
        <v>42</v>
      </c>
      <c r="J9" s="3">
        <v>5000</v>
      </c>
    </row>
    <row r="10" spans="2:10" x14ac:dyDescent="0.6">
      <c r="B10" s="1" t="s">
        <v>54</v>
      </c>
      <c r="C10" s="1" t="s">
        <v>55</v>
      </c>
      <c r="D10" s="1" t="s">
        <v>40</v>
      </c>
      <c r="E10" s="1" t="s">
        <v>29</v>
      </c>
      <c r="F10" s="1" t="s">
        <v>56</v>
      </c>
      <c r="G10" s="1">
        <v>100</v>
      </c>
      <c r="H10" s="1" t="s">
        <v>31</v>
      </c>
      <c r="I10" s="1" t="s">
        <v>37</v>
      </c>
      <c r="J10" s="3">
        <v>5500</v>
      </c>
    </row>
    <row r="11" spans="2:10" x14ac:dyDescent="0.6">
      <c r="B11" s="1" t="s">
        <v>57</v>
      </c>
      <c r="C11" s="1" t="s">
        <v>58</v>
      </c>
      <c r="D11" s="1" t="s">
        <v>40</v>
      </c>
      <c r="E11" s="1" t="s">
        <v>29</v>
      </c>
      <c r="F11" s="1" t="s">
        <v>59</v>
      </c>
      <c r="G11" s="1">
        <v>1000</v>
      </c>
      <c r="H11" s="1" t="s">
        <v>31</v>
      </c>
      <c r="I11" s="1" t="s">
        <v>60</v>
      </c>
      <c r="J11" s="3">
        <v>60000</v>
      </c>
    </row>
    <row r="12" spans="2:10" x14ac:dyDescent="0.6">
      <c r="B12" s="1" t="s">
        <v>61</v>
      </c>
      <c r="C12" s="1" t="s">
        <v>62</v>
      </c>
      <c r="D12" s="1" t="s">
        <v>40</v>
      </c>
      <c r="E12" s="1" t="s">
        <v>63</v>
      </c>
      <c r="F12" s="1" t="s">
        <v>64</v>
      </c>
      <c r="G12" s="1">
        <v>5</v>
      </c>
      <c r="H12" s="1" t="s">
        <v>65</v>
      </c>
      <c r="I12" s="1" t="s">
        <v>36</v>
      </c>
      <c r="J12" s="3">
        <v>6800</v>
      </c>
    </row>
    <row r="13" spans="2:10" x14ac:dyDescent="0.6">
      <c r="B13" s="1" t="s">
        <v>66</v>
      </c>
      <c r="C13" s="1" t="s">
        <v>67</v>
      </c>
      <c r="D13" s="1" t="s">
        <v>45</v>
      </c>
      <c r="E13" s="1" t="s">
        <v>63</v>
      </c>
      <c r="F13" s="1" t="s">
        <v>68</v>
      </c>
      <c r="G13" s="1">
        <v>200</v>
      </c>
      <c r="H13" s="1" t="s">
        <v>69</v>
      </c>
      <c r="I13" s="1" t="s">
        <v>36</v>
      </c>
      <c r="J13" s="3">
        <v>50000</v>
      </c>
    </row>
    <row r="14" spans="2:10" x14ac:dyDescent="0.6">
      <c r="B14" s="1" t="s">
        <v>70</v>
      </c>
      <c r="C14" s="1" t="s">
        <v>71</v>
      </c>
      <c r="D14" s="1" t="s">
        <v>40</v>
      </c>
      <c r="E14" s="1" t="s">
        <v>63</v>
      </c>
      <c r="F14" s="1" t="s">
        <v>72</v>
      </c>
      <c r="G14" s="1">
        <v>100</v>
      </c>
      <c r="H14" s="1" t="s">
        <v>65</v>
      </c>
      <c r="I14" s="1" t="s">
        <v>73</v>
      </c>
      <c r="J14" s="3">
        <v>4000</v>
      </c>
    </row>
    <row r="15" spans="2:10" x14ac:dyDescent="0.6">
      <c r="B15" s="1" t="s">
        <v>74</v>
      </c>
      <c r="C15" s="1" t="s">
        <v>75</v>
      </c>
      <c r="D15" s="1" t="s">
        <v>40</v>
      </c>
      <c r="E15" s="1" t="s">
        <v>63</v>
      </c>
      <c r="F15" s="1" t="s">
        <v>76</v>
      </c>
      <c r="G15" s="1">
        <v>1000</v>
      </c>
      <c r="H15" s="1" t="s">
        <v>77</v>
      </c>
      <c r="I15" s="1" t="s">
        <v>47</v>
      </c>
      <c r="J15" s="3">
        <v>15000</v>
      </c>
    </row>
    <row r="16" spans="2:10" x14ac:dyDescent="0.6">
      <c r="B16" s="1" t="s">
        <v>78</v>
      </c>
      <c r="C16" s="1" t="s">
        <v>79</v>
      </c>
      <c r="D16" s="1" t="s">
        <v>45</v>
      </c>
      <c r="E16" s="1" t="s">
        <v>63</v>
      </c>
      <c r="F16" s="1" t="s">
        <v>80</v>
      </c>
      <c r="G16" s="1">
        <v>1000</v>
      </c>
      <c r="H16" s="1" t="s">
        <v>65</v>
      </c>
      <c r="I16" s="1" t="s">
        <v>81</v>
      </c>
      <c r="J16" s="3">
        <v>8000</v>
      </c>
    </row>
    <row r="17" spans="2:10" x14ac:dyDescent="0.6">
      <c r="B17" s="1" t="s">
        <v>82</v>
      </c>
      <c r="C17" s="1" t="s">
        <v>83</v>
      </c>
      <c r="D17" s="1" t="s">
        <v>40</v>
      </c>
      <c r="E17" s="1" t="s">
        <v>63</v>
      </c>
      <c r="F17" s="1" t="s">
        <v>84</v>
      </c>
      <c r="G17" s="1">
        <v>100</v>
      </c>
      <c r="H17" s="1" t="s">
        <v>85</v>
      </c>
      <c r="I17" s="1" t="s">
        <v>42</v>
      </c>
      <c r="J17" s="3">
        <v>1500</v>
      </c>
    </row>
    <row r="18" spans="2:10" x14ac:dyDescent="0.6">
      <c r="B18" s="1" t="s">
        <v>86</v>
      </c>
      <c r="C18" s="1" t="s">
        <v>87</v>
      </c>
      <c r="D18" s="1" t="s">
        <v>28</v>
      </c>
      <c r="E18" s="1" t="s">
        <v>63</v>
      </c>
      <c r="F18" s="1" t="s">
        <v>88</v>
      </c>
      <c r="G18" s="1">
        <v>100</v>
      </c>
      <c r="H18" s="1" t="s">
        <v>31</v>
      </c>
      <c r="I18" s="1" t="s">
        <v>89</v>
      </c>
      <c r="J18" s="3">
        <v>4500</v>
      </c>
    </row>
    <row r="19" spans="2:10" x14ac:dyDescent="0.6">
      <c r="B19" s="1" t="s">
        <v>90</v>
      </c>
      <c r="C19" s="1" t="s">
        <v>91</v>
      </c>
      <c r="D19" s="1" t="s">
        <v>40</v>
      </c>
      <c r="E19" s="1" t="s">
        <v>63</v>
      </c>
      <c r="F19" s="1" t="s">
        <v>30</v>
      </c>
      <c r="G19" s="1">
        <v>100</v>
      </c>
      <c r="H19" s="1" t="s">
        <v>47</v>
      </c>
      <c r="I19" s="1" t="s">
        <v>92</v>
      </c>
      <c r="J19" s="3">
        <v>4000</v>
      </c>
    </row>
    <row r="20" spans="2:10" x14ac:dyDescent="0.6">
      <c r="B20" s="1" t="s">
        <v>93</v>
      </c>
      <c r="C20" s="1" t="s">
        <v>94</v>
      </c>
      <c r="D20" s="1" t="s">
        <v>95</v>
      </c>
      <c r="E20" s="1" t="s">
        <v>63</v>
      </c>
      <c r="F20" s="1" t="s">
        <v>96</v>
      </c>
      <c r="G20" s="1">
        <v>1000</v>
      </c>
      <c r="H20" s="1" t="s">
        <v>65</v>
      </c>
      <c r="I20" s="1" t="s">
        <v>47</v>
      </c>
      <c r="J20" s="3">
        <v>4500</v>
      </c>
    </row>
    <row r="21" spans="2:10" x14ac:dyDescent="0.6">
      <c r="B21" s="1" t="s">
        <v>97</v>
      </c>
      <c r="C21" s="1" t="s">
        <v>98</v>
      </c>
      <c r="D21" s="1" t="s">
        <v>28</v>
      </c>
      <c r="E21" s="1" t="s">
        <v>99</v>
      </c>
      <c r="F21" s="1" t="s">
        <v>100</v>
      </c>
      <c r="G21" s="1">
        <v>100</v>
      </c>
      <c r="H21" s="1" t="s">
        <v>31</v>
      </c>
      <c r="I21" s="1" t="s">
        <v>42</v>
      </c>
      <c r="J21" s="3">
        <v>6500</v>
      </c>
    </row>
    <row r="22" spans="2:10" x14ac:dyDescent="0.6">
      <c r="B22" s="1" t="s">
        <v>101</v>
      </c>
      <c r="C22" s="1" t="s">
        <v>102</v>
      </c>
      <c r="D22" s="1" t="s">
        <v>45</v>
      </c>
      <c r="E22" s="1" t="s">
        <v>99</v>
      </c>
      <c r="F22" s="1" t="s">
        <v>103</v>
      </c>
      <c r="G22" s="1">
        <v>100</v>
      </c>
      <c r="H22" s="1" t="s">
        <v>81</v>
      </c>
      <c r="I22" s="1" t="s">
        <v>77</v>
      </c>
      <c r="J22" s="3">
        <v>16000</v>
      </c>
    </row>
    <row r="23" spans="2:10" x14ac:dyDescent="0.6">
      <c r="B23" s="1" t="s">
        <v>104</v>
      </c>
      <c r="C23" s="1" t="s">
        <v>105</v>
      </c>
      <c r="D23" s="1" t="s">
        <v>28</v>
      </c>
      <c r="E23" s="1" t="s">
        <v>99</v>
      </c>
      <c r="F23" s="1" t="s">
        <v>106</v>
      </c>
      <c r="G23" s="1">
        <v>10</v>
      </c>
      <c r="H23" s="1" t="s">
        <v>31</v>
      </c>
      <c r="I23" s="1" t="s">
        <v>107</v>
      </c>
      <c r="J23" s="3">
        <v>1300</v>
      </c>
    </row>
    <row r="24" spans="2:10" x14ac:dyDescent="0.6">
      <c r="B24" s="1" t="s">
        <v>108</v>
      </c>
      <c r="C24" s="1" t="s">
        <v>109</v>
      </c>
      <c r="D24" s="1" t="s">
        <v>40</v>
      </c>
      <c r="E24" s="1" t="s">
        <v>99</v>
      </c>
      <c r="F24" s="1" t="s">
        <v>110</v>
      </c>
      <c r="G24" s="1">
        <v>100</v>
      </c>
      <c r="H24" s="1" t="s">
        <v>31</v>
      </c>
      <c r="I24" s="1" t="s">
        <v>42</v>
      </c>
      <c r="J24" s="3">
        <v>4800</v>
      </c>
    </row>
    <row r="25" spans="2:10" x14ac:dyDescent="0.6">
      <c r="B25" s="1" t="s">
        <v>111</v>
      </c>
      <c r="C25" s="1" t="s">
        <v>112</v>
      </c>
      <c r="D25" s="1" t="s">
        <v>28</v>
      </c>
      <c r="E25" s="1" t="s">
        <v>99</v>
      </c>
      <c r="F25" s="1" t="s">
        <v>113</v>
      </c>
      <c r="G25" s="1">
        <v>10</v>
      </c>
      <c r="H25" s="1" t="s">
        <v>31</v>
      </c>
      <c r="I25" s="1" t="s">
        <v>69</v>
      </c>
      <c r="J25" s="3">
        <v>4500</v>
      </c>
    </row>
  </sheetData>
  <phoneticPr fontId="3" type="noConversion"/>
  <dataValidations count="1">
    <dataValidation type="custom" allowBlank="1" showInputMessage="1" showErrorMessage="1" sqref="C4:C25" xr:uid="{9486DCB5-68BA-4A46-A628-1BED2CF2B664}">
      <formula1>COUNTIF($C$4:$C$25,C4)=1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B2:I21"/>
  <sheetViews>
    <sheetView zoomScaleNormal="100" workbookViewId="0">
      <selection activeCell="J2" sqref="J2"/>
    </sheetView>
  </sheetViews>
  <sheetFormatPr defaultRowHeight="16.899999999999999" x14ac:dyDescent="0.6"/>
  <cols>
    <col min="1" max="1" width="2.625" customWidth="1"/>
    <col min="2" max="2" width="10" bestFit="1" customWidth="1"/>
    <col min="4" max="4" width="20.5" bestFit="1" customWidth="1"/>
    <col min="5" max="5" width="14" bestFit="1" customWidth="1"/>
    <col min="6" max="6" width="10.125" bestFit="1" customWidth="1"/>
    <col min="7" max="8" width="10.625" bestFit="1" customWidth="1"/>
    <col min="12" max="12" width="14" bestFit="1" customWidth="1"/>
    <col min="14" max="15" width="10.625" bestFit="1" customWidth="1"/>
  </cols>
  <sheetData>
    <row r="2" spans="2:9" x14ac:dyDescent="0.6">
      <c r="B2" t="s">
        <v>165</v>
      </c>
    </row>
    <row r="3" spans="2:9" x14ac:dyDescent="0.6">
      <c r="B3" s="13" t="s">
        <v>15</v>
      </c>
      <c r="C3" s="13" t="s">
        <v>1</v>
      </c>
      <c r="D3" s="26" t="s">
        <v>182</v>
      </c>
      <c r="E3" s="13" t="s">
        <v>16</v>
      </c>
      <c r="F3" s="13" t="s">
        <v>120</v>
      </c>
      <c r="G3" s="13" t="s">
        <v>121</v>
      </c>
      <c r="H3" s="13" t="s">
        <v>122</v>
      </c>
      <c r="I3" s="13" t="s">
        <v>123</v>
      </c>
    </row>
    <row r="4" spans="2:9" x14ac:dyDescent="0.6">
      <c r="B4" s="1" t="s">
        <v>124</v>
      </c>
      <c r="C4" s="1" t="s">
        <v>125</v>
      </c>
      <c r="D4" s="84" t="s">
        <v>183</v>
      </c>
      <c r="E4" s="1" t="s">
        <v>126</v>
      </c>
      <c r="F4" s="1" t="s">
        <v>127</v>
      </c>
      <c r="G4" s="2">
        <v>44390</v>
      </c>
      <c r="H4" s="2">
        <v>44408</v>
      </c>
      <c r="I4" s="1">
        <v>936</v>
      </c>
    </row>
    <row r="5" spans="2:9" x14ac:dyDescent="0.6">
      <c r="B5" s="1" t="s">
        <v>131</v>
      </c>
      <c r="C5" s="1" t="s">
        <v>132</v>
      </c>
      <c r="D5" s="27" t="s">
        <v>184</v>
      </c>
      <c r="E5" s="1" t="s">
        <v>126</v>
      </c>
      <c r="F5" s="1" t="s">
        <v>127</v>
      </c>
      <c r="G5" s="2">
        <v>44392</v>
      </c>
      <c r="H5" s="2">
        <v>44408</v>
      </c>
      <c r="I5" s="1">
        <v>893</v>
      </c>
    </row>
    <row r="6" spans="2:9" x14ac:dyDescent="0.6">
      <c r="B6" s="1" t="s">
        <v>133</v>
      </c>
      <c r="C6" s="1" t="s">
        <v>134</v>
      </c>
      <c r="D6" s="27" t="s">
        <v>185</v>
      </c>
      <c r="E6" s="1" t="s">
        <v>126</v>
      </c>
      <c r="F6" s="1" t="s">
        <v>129</v>
      </c>
      <c r="G6" s="2">
        <v>44393.390810185199</v>
      </c>
      <c r="H6" s="2">
        <v>44399.644444444399</v>
      </c>
      <c r="I6" s="1">
        <v>975</v>
      </c>
    </row>
    <row r="7" spans="2:9" x14ac:dyDescent="0.6">
      <c r="B7" s="1" t="s">
        <v>135</v>
      </c>
      <c r="C7" s="1" t="s">
        <v>118</v>
      </c>
      <c r="D7" s="27" t="s">
        <v>186</v>
      </c>
      <c r="E7" s="1" t="s">
        <v>136</v>
      </c>
      <c r="F7" s="1" t="s">
        <v>129</v>
      </c>
      <c r="G7" s="2">
        <v>44389.565798611096</v>
      </c>
      <c r="H7" s="2">
        <v>44399.644444444399</v>
      </c>
      <c r="I7" s="1">
        <v>979</v>
      </c>
    </row>
    <row r="8" spans="2:9" x14ac:dyDescent="0.6">
      <c r="B8" s="1" t="s">
        <v>137</v>
      </c>
      <c r="C8" s="1" t="s">
        <v>138</v>
      </c>
      <c r="D8" s="27" t="s">
        <v>187</v>
      </c>
      <c r="E8" s="1" t="s">
        <v>139</v>
      </c>
      <c r="F8" s="1" t="s">
        <v>129</v>
      </c>
      <c r="G8" s="2">
        <v>44389.5624537037</v>
      </c>
      <c r="H8" s="2">
        <v>44399.644444444399</v>
      </c>
      <c r="I8" s="1">
        <v>893</v>
      </c>
    </row>
    <row r="9" spans="2:9" x14ac:dyDescent="0.6">
      <c r="B9" s="1" t="s">
        <v>140</v>
      </c>
      <c r="C9" s="1" t="s">
        <v>141</v>
      </c>
      <c r="D9" s="27" t="s">
        <v>188</v>
      </c>
      <c r="E9" s="1" t="s">
        <v>139</v>
      </c>
      <c r="F9" s="1" t="s">
        <v>130</v>
      </c>
      <c r="G9" s="2">
        <v>44386.666400463</v>
      </c>
      <c r="H9" s="2">
        <v>44404.715972222199</v>
      </c>
      <c r="I9" s="1">
        <v>908</v>
      </c>
    </row>
    <row r="10" spans="2:9" x14ac:dyDescent="0.6">
      <c r="B10" s="1" t="s">
        <v>142</v>
      </c>
      <c r="C10" s="1" t="s">
        <v>143</v>
      </c>
      <c r="D10" s="27" t="s">
        <v>189</v>
      </c>
      <c r="E10" s="1" t="s">
        <v>139</v>
      </c>
      <c r="F10" s="1" t="s">
        <v>129</v>
      </c>
      <c r="G10" s="2">
        <v>44389.562384259298</v>
      </c>
      <c r="H10" s="2">
        <v>44399.672222222202</v>
      </c>
      <c r="I10" s="1">
        <v>662</v>
      </c>
    </row>
    <row r="11" spans="2:9" x14ac:dyDescent="0.6">
      <c r="B11" s="1" t="s">
        <v>144</v>
      </c>
      <c r="C11" s="1" t="s">
        <v>145</v>
      </c>
      <c r="D11" s="27" t="s">
        <v>190</v>
      </c>
      <c r="E11" s="1" t="s">
        <v>136</v>
      </c>
      <c r="F11" s="1" t="s">
        <v>127</v>
      </c>
      <c r="G11" s="2">
        <v>44386</v>
      </c>
      <c r="H11" s="2">
        <v>44408</v>
      </c>
      <c r="I11" s="1">
        <v>925</v>
      </c>
    </row>
    <row r="12" spans="2:9" x14ac:dyDescent="0.6">
      <c r="B12" s="1" t="s">
        <v>146</v>
      </c>
      <c r="C12" s="1" t="s">
        <v>147</v>
      </c>
      <c r="D12" s="27" t="s">
        <v>191</v>
      </c>
      <c r="E12" s="1" t="s">
        <v>126</v>
      </c>
      <c r="F12" s="1" t="s">
        <v>127</v>
      </c>
      <c r="G12" s="2">
        <v>44390</v>
      </c>
      <c r="H12" s="2">
        <v>44408</v>
      </c>
      <c r="I12" s="1">
        <v>567</v>
      </c>
    </row>
    <row r="13" spans="2:9" x14ac:dyDescent="0.6">
      <c r="B13" s="1" t="s">
        <v>148</v>
      </c>
      <c r="C13" s="1" t="s">
        <v>0</v>
      </c>
      <c r="D13" s="27" t="s">
        <v>192</v>
      </c>
      <c r="E13" s="1" t="s">
        <v>136</v>
      </c>
      <c r="F13" s="1" t="s">
        <v>129</v>
      </c>
      <c r="G13" s="2">
        <v>44390.412962962997</v>
      </c>
      <c r="H13" s="2">
        <v>44399.644444444399</v>
      </c>
      <c r="I13" s="1">
        <v>567</v>
      </c>
    </row>
    <row r="14" spans="2:9" x14ac:dyDescent="0.6">
      <c r="B14" s="1" t="s">
        <v>149</v>
      </c>
      <c r="C14" s="1" t="s">
        <v>150</v>
      </c>
      <c r="D14" s="27" t="s">
        <v>193</v>
      </c>
      <c r="E14" s="1" t="s">
        <v>139</v>
      </c>
      <c r="F14" s="1" t="s">
        <v>130</v>
      </c>
      <c r="G14" s="2">
        <v>44390.558564814797</v>
      </c>
      <c r="H14" s="2">
        <v>44404.770138888904</v>
      </c>
      <c r="I14" s="1">
        <v>838</v>
      </c>
    </row>
    <row r="15" spans="2:9" x14ac:dyDescent="0.6">
      <c r="B15" s="1" t="s">
        <v>151</v>
      </c>
      <c r="C15" s="1" t="s">
        <v>152</v>
      </c>
      <c r="D15" s="27" t="s">
        <v>194</v>
      </c>
      <c r="E15" s="1" t="s">
        <v>126</v>
      </c>
      <c r="F15" s="1" t="s">
        <v>127</v>
      </c>
      <c r="G15" s="2">
        <v>44386</v>
      </c>
      <c r="H15" s="2">
        <v>44408</v>
      </c>
      <c r="I15" s="1">
        <v>975</v>
      </c>
    </row>
    <row r="16" spans="2:9" x14ac:dyDescent="0.6">
      <c r="B16" s="1" t="s">
        <v>153</v>
      </c>
      <c r="C16" s="1" t="s">
        <v>154</v>
      </c>
      <c r="D16" s="27" t="s">
        <v>195</v>
      </c>
      <c r="E16" s="1" t="s">
        <v>136</v>
      </c>
      <c r="F16" s="1" t="s">
        <v>128</v>
      </c>
      <c r="G16" s="2">
        <v>44391</v>
      </c>
      <c r="H16" s="2">
        <v>44407</v>
      </c>
      <c r="I16" s="1">
        <v>838</v>
      </c>
    </row>
    <row r="17" spans="2:9" x14ac:dyDescent="0.6">
      <c r="B17" s="1" t="s">
        <v>155</v>
      </c>
      <c r="C17" s="1" t="s">
        <v>156</v>
      </c>
      <c r="D17" s="27" t="s">
        <v>196</v>
      </c>
      <c r="E17" s="1" t="s">
        <v>139</v>
      </c>
      <c r="F17" s="1" t="s">
        <v>130</v>
      </c>
      <c r="G17" s="2">
        <v>44392.8386805556</v>
      </c>
      <c r="H17" s="2">
        <v>44406.668055555601</v>
      </c>
      <c r="I17" s="1">
        <v>642</v>
      </c>
    </row>
    <row r="18" spans="2:9" x14ac:dyDescent="0.6">
      <c r="B18" s="1" t="s">
        <v>157</v>
      </c>
      <c r="C18" s="1" t="s">
        <v>158</v>
      </c>
      <c r="D18" s="27" t="s">
        <v>197</v>
      </c>
      <c r="E18" s="1" t="s">
        <v>136</v>
      </c>
      <c r="F18" s="1" t="s">
        <v>127</v>
      </c>
      <c r="G18" s="2">
        <v>44389</v>
      </c>
      <c r="H18" s="2">
        <v>44408</v>
      </c>
      <c r="I18" s="1">
        <v>345</v>
      </c>
    </row>
    <row r="19" spans="2:9" x14ac:dyDescent="0.6">
      <c r="B19" s="1" t="s">
        <v>159</v>
      </c>
      <c r="C19" s="1" t="s">
        <v>119</v>
      </c>
      <c r="D19" s="27" t="s">
        <v>198</v>
      </c>
      <c r="E19" s="1" t="s">
        <v>126</v>
      </c>
      <c r="F19" s="1" t="s">
        <v>129</v>
      </c>
      <c r="G19" s="2">
        <v>44390.552060185197</v>
      </c>
      <c r="H19" s="2">
        <v>44399.644444444399</v>
      </c>
      <c r="I19" s="1">
        <v>871</v>
      </c>
    </row>
    <row r="20" spans="2:9" x14ac:dyDescent="0.6">
      <c r="B20" s="1" t="s">
        <v>160</v>
      </c>
      <c r="C20" s="1" t="s">
        <v>161</v>
      </c>
      <c r="D20" s="27" t="s">
        <v>199</v>
      </c>
      <c r="E20" s="1" t="s">
        <v>126</v>
      </c>
      <c r="F20" s="1" t="s">
        <v>129</v>
      </c>
      <c r="G20" s="2">
        <v>44386.810543981497</v>
      </c>
      <c r="H20" s="2">
        <v>44399.661805555603</v>
      </c>
      <c r="I20" s="1">
        <v>914</v>
      </c>
    </row>
    <row r="21" spans="2:9" x14ac:dyDescent="0.6">
      <c r="B21" s="1" t="s">
        <v>162</v>
      </c>
      <c r="C21" s="1" t="s">
        <v>163</v>
      </c>
      <c r="D21" s="27" t="s">
        <v>200</v>
      </c>
      <c r="E21" s="1" t="s">
        <v>136</v>
      </c>
      <c r="F21" s="1" t="s">
        <v>129</v>
      </c>
      <c r="G21" s="2">
        <v>44390.594143518501</v>
      </c>
      <c r="H21" s="2">
        <v>44399.665972222203</v>
      </c>
      <c r="I21" s="1">
        <v>975</v>
      </c>
    </row>
  </sheetData>
  <phoneticPr fontId="3" type="noConversion"/>
  <dataValidations count="1">
    <dataValidation type="custom" allowBlank="1" showInputMessage="1" showErrorMessage="1" sqref="D4:D21" xr:uid="{3F0626AB-9892-4A98-A6AE-426DCE2EDCD5}">
      <formula1>SEARCH("@",D4)&gt;1</formula1>
    </dataValidation>
  </dataValidations>
  <hyperlinks>
    <hyperlink ref="D4" r:id="rId1" xr:uid="{A05A0D3F-32D7-4086-8264-45C949E8DB70}"/>
  </hyperlinks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4:G47"/>
  <sheetViews>
    <sheetView workbookViewId="0">
      <selection activeCell="G3" sqref="G3:H3"/>
    </sheetView>
  </sheetViews>
  <sheetFormatPr defaultRowHeight="16.899999999999999" outlineLevelRow="3" x14ac:dyDescent="0.6"/>
  <cols>
    <col min="1" max="1" width="2.625" customWidth="1"/>
    <col min="2" max="2" width="7.125" bestFit="1" customWidth="1"/>
    <col min="3" max="3" width="8.875" customWidth="1"/>
    <col min="4" max="4" width="7" customWidth="1"/>
    <col min="5" max="5" width="13.25" customWidth="1"/>
    <col min="6" max="6" width="17.25" customWidth="1"/>
    <col min="7" max="7" width="10.625" customWidth="1"/>
  </cols>
  <sheetData>
    <row r="4" spans="2:7" x14ac:dyDescent="0.6">
      <c r="B4" t="s">
        <v>253</v>
      </c>
    </row>
    <row r="5" spans="2:7" x14ac:dyDescent="0.6">
      <c r="B5" s="28" t="s">
        <v>201</v>
      </c>
      <c r="C5" s="28" t="s">
        <v>202</v>
      </c>
      <c r="D5" s="28" t="s">
        <v>203</v>
      </c>
      <c r="E5" s="28" t="s">
        <v>204</v>
      </c>
      <c r="F5" s="28" t="s">
        <v>205</v>
      </c>
      <c r="G5" s="28" t="s">
        <v>254</v>
      </c>
    </row>
    <row r="6" spans="2:7" outlineLevel="3" x14ac:dyDescent="0.6">
      <c r="B6" s="28" t="s">
        <v>206</v>
      </c>
      <c r="C6" s="28" t="s">
        <v>207</v>
      </c>
      <c r="D6" s="28" t="s">
        <v>208</v>
      </c>
      <c r="E6" s="29">
        <v>39121</v>
      </c>
      <c r="F6" s="28" t="s">
        <v>209</v>
      </c>
      <c r="G6" s="28">
        <v>15</v>
      </c>
    </row>
    <row r="7" spans="2:7" outlineLevel="2" x14ac:dyDescent="0.6">
      <c r="B7" s="28"/>
      <c r="C7" s="28">
        <f>SUBTOTAL(3,C6:C6)</f>
        <v>1</v>
      </c>
      <c r="D7" s="85" t="s">
        <v>354</v>
      </c>
      <c r="E7" s="29"/>
      <c r="F7" s="28"/>
      <c r="G7" s="28"/>
    </row>
    <row r="8" spans="2:7" outlineLevel="3" x14ac:dyDescent="0.6">
      <c r="B8" s="28" t="s">
        <v>206</v>
      </c>
      <c r="C8" s="28" t="s">
        <v>210</v>
      </c>
      <c r="D8" s="28" t="s">
        <v>211</v>
      </c>
      <c r="E8" s="29">
        <v>39223</v>
      </c>
      <c r="F8" s="28" t="s">
        <v>212</v>
      </c>
      <c r="G8" s="28">
        <v>13</v>
      </c>
    </row>
    <row r="9" spans="2:7" outlineLevel="3" x14ac:dyDescent="0.6">
      <c r="B9" s="28" t="s">
        <v>206</v>
      </c>
      <c r="C9" s="28" t="s">
        <v>210</v>
      </c>
      <c r="D9" s="28" t="s">
        <v>211</v>
      </c>
      <c r="E9" s="29">
        <v>39304</v>
      </c>
      <c r="F9" s="28" t="s">
        <v>212</v>
      </c>
      <c r="G9" s="28">
        <v>12</v>
      </c>
    </row>
    <row r="10" spans="2:7" outlineLevel="3" x14ac:dyDescent="0.6">
      <c r="B10" s="28" t="s">
        <v>206</v>
      </c>
      <c r="C10" s="28" t="s">
        <v>213</v>
      </c>
      <c r="D10" s="28" t="s">
        <v>211</v>
      </c>
      <c r="E10" s="29">
        <v>39262</v>
      </c>
      <c r="F10" s="28" t="s">
        <v>214</v>
      </c>
      <c r="G10" s="28">
        <v>15</v>
      </c>
    </row>
    <row r="11" spans="2:7" outlineLevel="3" x14ac:dyDescent="0.6">
      <c r="B11" s="28" t="s">
        <v>206</v>
      </c>
      <c r="C11" s="28" t="s">
        <v>215</v>
      </c>
      <c r="D11" s="28" t="s">
        <v>211</v>
      </c>
      <c r="E11" s="29">
        <v>39137</v>
      </c>
      <c r="F11" s="28" t="s">
        <v>216</v>
      </c>
      <c r="G11" s="28">
        <v>14</v>
      </c>
    </row>
    <row r="12" spans="2:7" outlineLevel="3" x14ac:dyDescent="0.6">
      <c r="B12" s="28" t="s">
        <v>206</v>
      </c>
      <c r="C12" s="28" t="s">
        <v>217</v>
      </c>
      <c r="D12" s="28" t="s">
        <v>211</v>
      </c>
      <c r="E12" s="29">
        <v>39336</v>
      </c>
      <c r="F12" s="28" t="s">
        <v>218</v>
      </c>
      <c r="G12" s="28">
        <v>13</v>
      </c>
    </row>
    <row r="13" spans="2:7" outlineLevel="3" x14ac:dyDescent="0.6">
      <c r="B13" s="28" t="s">
        <v>206</v>
      </c>
      <c r="C13" s="28" t="s">
        <v>217</v>
      </c>
      <c r="D13" s="28" t="s">
        <v>211</v>
      </c>
      <c r="E13" s="29">
        <v>39336</v>
      </c>
      <c r="F13" s="28" t="s">
        <v>219</v>
      </c>
      <c r="G13" s="28">
        <v>11</v>
      </c>
    </row>
    <row r="14" spans="2:7" outlineLevel="2" x14ac:dyDescent="0.6">
      <c r="B14" s="28"/>
      <c r="C14" s="28">
        <f>SUBTOTAL(3,C8:C13)</f>
        <v>6</v>
      </c>
      <c r="D14" s="85" t="s">
        <v>355</v>
      </c>
      <c r="E14" s="29"/>
      <c r="F14" s="28"/>
      <c r="G14" s="28"/>
    </row>
    <row r="15" spans="2:7" outlineLevel="3" x14ac:dyDescent="0.6">
      <c r="B15" s="28" t="s">
        <v>206</v>
      </c>
      <c r="C15" s="28" t="s">
        <v>220</v>
      </c>
      <c r="D15" s="28" t="s">
        <v>208</v>
      </c>
      <c r="E15" s="29">
        <v>39143</v>
      </c>
      <c r="F15" s="28"/>
      <c r="G15" s="28">
        <v>15</v>
      </c>
    </row>
    <row r="16" spans="2:7" outlineLevel="2" x14ac:dyDescent="0.6">
      <c r="B16" s="28"/>
      <c r="C16" s="28">
        <f>SUBTOTAL(3,C15:C15)</f>
        <v>1</v>
      </c>
      <c r="D16" s="85" t="s">
        <v>354</v>
      </c>
      <c r="E16" s="29"/>
      <c r="F16" s="28"/>
      <c r="G16" s="28"/>
    </row>
    <row r="17" spans="2:7" outlineLevel="3" x14ac:dyDescent="0.6">
      <c r="B17" s="28" t="s">
        <v>206</v>
      </c>
      <c r="C17" s="28" t="s">
        <v>221</v>
      </c>
      <c r="D17" s="28" t="s">
        <v>211</v>
      </c>
      <c r="E17" s="29">
        <v>39346</v>
      </c>
      <c r="F17" s="28" t="s">
        <v>222</v>
      </c>
      <c r="G17" s="28">
        <v>15</v>
      </c>
    </row>
    <row r="18" spans="2:7" outlineLevel="2" x14ac:dyDescent="0.6">
      <c r="B18" s="28"/>
      <c r="C18" s="28">
        <f>SUBTOTAL(3,C17:C17)</f>
        <v>1</v>
      </c>
      <c r="D18" s="85" t="s">
        <v>355</v>
      </c>
      <c r="E18" s="29"/>
      <c r="F18" s="28"/>
      <c r="G18" s="28"/>
    </row>
    <row r="19" spans="2:7" outlineLevel="1" x14ac:dyDescent="0.6">
      <c r="B19" s="85" t="s">
        <v>350</v>
      </c>
      <c r="C19" s="28"/>
      <c r="D19" s="28"/>
      <c r="E19" s="29"/>
      <c r="F19" s="28"/>
      <c r="G19" s="28">
        <f>SUBTOTAL(1,G6:G17)</f>
        <v>13.666666666666666</v>
      </c>
    </row>
    <row r="20" spans="2:7" outlineLevel="3" x14ac:dyDescent="0.6">
      <c r="B20" s="28" t="s">
        <v>223</v>
      </c>
      <c r="C20" s="28" t="s">
        <v>224</v>
      </c>
      <c r="D20" s="28" t="s">
        <v>211</v>
      </c>
      <c r="E20" s="29">
        <v>39116</v>
      </c>
      <c r="F20" s="28" t="s">
        <v>225</v>
      </c>
      <c r="G20" s="28">
        <v>10</v>
      </c>
    </row>
    <row r="21" spans="2:7" outlineLevel="2" x14ac:dyDescent="0.6">
      <c r="B21" s="28"/>
      <c r="C21" s="28">
        <f>SUBTOTAL(3,C20:C20)</f>
        <v>1</v>
      </c>
      <c r="D21" s="85" t="s">
        <v>355</v>
      </c>
      <c r="E21" s="29"/>
      <c r="F21" s="28"/>
      <c r="G21" s="28"/>
    </row>
    <row r="22" spans="2:7" outlineLevel="3" x14ac:dyDescent="0.6">
      <c r="B22" s="28" t="s">
        <v>223</v>
      </c>
      <c r="C22" s="28" t="s">
        <v>226</v>
      </c>
      <c r="D22" s="28" t="s">
        <v>208</v>
      </c>
      <c r="E22" s="29">
        <v>39189</v>
      </c>
      <c r="F22" s="28" t="s">
        <v>227</v>
      </c>
      <c r="G22" s="28">
        <v>15</v>
      </c>
    </row>
    <row r="23" spans="2:7" outlineLevel="3" x14ac:dyDescent="0.6">
      <c r="B23" s="28" t="s">
        <v>223</v>
      </c>
      <c r="C23" s="28" t="s">
        <v>228</v>
      </c>
      <c r="D23" s="28" t="s">
        <v>208</v>
      </c>
      <c r="E23" s="29">
        <v>39426</v>
      </c>
      <c r="F23" s="28" t="s">
        <v>229</v>
      </c>
      <c r="G23" s="28">
        <v>13</v>
      </c>
    </row>
    <row r="24" spans="2:7" outlineLevel="3" x14ac:dyDescent="0.6">
      <c r="B24" s="28" t="s">
        <v>223</v>
      </c>
      <c r="C24" s="28" t="s">
        <v>230</v>
      </c>
      <c r="D24" s="28" t="s">
        <v>208</v>
      </c>
      <c r="E24" s="29">
        <v>39121</v>
      </c>
      <c r="F24" s="28"/>
      <c r="G24" s="28">
        <v>15</v>
      </c>
    </row>
    <row r="25" spans="2:7" outlineLevel="3" x14ac:dyDescent="0.6">
      <c r="B25" s="28" t="s">
        <v>223</v>
      </c>
      <c r="C25" s="28" t="s">
        <v>231</v>
      </c>
      <c r="D25" s="28" t="s">
        <v>208</v>
      </c>
      <c r="E25" s="29">
        <v>39303</v>
      </c>
      <c r="F25" s="28" t="s">
        <v>232</v>
      </c>
      <c r="G25" s="28">
        <v>14</v>
      </c>
    </row>
    <row r="26" spans="2:7" outlineLevel="3" x14ac:dyDescent="0.6">
      <c r="B26" s="28" t="s">
        <v>223</v>
      </c>
      <c r="C26" s="28" t="s">
        <v>233</v>
      </c>
      <c r="D26" s="28" t="s">
        <v>208</v>
      </c>
      <c r="E26" s="29">
        <v>39341</v>
      </c>
      <c r="F26" s="28" t="s">
        <v>234</v>
      </c>
      <c r="G26" s="28">
        <v>13</v>
      </c>
    </row>
    <row r="27" spans="2:7" outlineLevel="2" x14ac:dyDescent="0.6">
      <c r="B27" s="28"/>
      <c r="C27" s="28">
        <f>SUBTOTAL(3,C22:C26)</f>
        <v>5</v>
      </c>
      <c r="D27" s="85" t="s">
        <v>354</v>
      </c>
      <c r="E27" s="29"/>
      <c r="F27" s="28"/>
      <c r="G27" s="28"/>
    </row>
    <row r="28" spans="2:7" outlineLevel="3" x14ac:dyDescent="0.6">
      <c r="B28" s="28" t="s">
        <v>223</v>
      </c>
      <c r="C28" s="28" t="s">
        <v>235</v>
      </c>
      <c r="D28" s="28" t="s">
        <v>211</v>
      </c>
      <c r="E28" s="29">
        <v>39085</v>
      </c>
      <c r="F28" s="28" t="s">
        <v>236</v>
      </c>
      <c r="G28" s="28">
        <v>12</v>
      </c>
    </row>
    <row r="29" spans="2:7" outlineLevel="3" x14ac:dyDescent="0.6">
      <c r="B29" s="28" t="s">
        <v>223</v>
      </c>
      <c r="C29" s="28" t="s">
        <v>237</v>
      </c>
      <c r="D29" s="28" t="s">
        <v>211</v>
      </c>
      <c r="E29" s="29">
        <v>39423</v>
      </c>
      <c r="F29" s="28" t="s">
        <v>238</v>
      </c>
      <c r="G29" s="28">
        <v>15</v>
      </c>
    </row>
    <row r="30" spans="2:7" outlineLevel="2" x14ac:dyDescent="0.6">
      <c r="B30" s="28"/>
      <c r="C30" s="28">
        <f>SUBTOTAL(3,C28:C29)</f>
        <v>2</v>
      </c>
      <c r="D30" s="85" t="s">
        <v>355</v>
      </c>
      <c r="E30" s="29"/>
      <c r="F30" s="28"/>
      <c r="G30" s="28"/>
    </row>
    <row r="31" spans="2:7" outlineLevel="3" x14ac:dyDescent="0.6">
      <c r="B31" s="28" t="s">
        <v>223</v>
      </c>
      <c r="C31" s="28" t="s">
        <v>239</v>
      </c>
      <c r="D31" s="28" t="s">
        <v>208</v>
      </c>
      <c r="E31" s="29">
        <v>39202</v>
      </c>
      <c r="F31" s="28" t="s">
        <v>240</v>
      </c>
      <c r="G31" s="28">
        <v>15</v>
      </c>
    </row>
    <row r="32" spans="2:7" outlineLevel="2" x14ac:dyDescent="0.6">
      <c r="B32" s="28"/>
      <c r="C32" s="28">
        <f>SUBTOTAL(3,C31:C31)</f>
        <v>1</v>
      </c>
      <c r="D32" s="85" t="s">
        <v>354</v>
      </c>
      <c r="E32" s="29"/>
      <c r="F32" s="28"/>
      <c r="G32" s="28"/>
    </row>
    <row r="33" spans="2:7" outlineLevel="1" x14ac:dyDescent="0.6">
      <c r="B33" s="85" t="s">
        <v>351</v>
      </c>
      <c r="C33" s="28"/>
      <c r="D33" s="28"/>
      <c r="E33" s="29"/>
      <c r="F33" s="28"/>
      <c r="G33" s="28">
        <f>SUBTOTAL(1,G20:G31)</f>
        <v>13.555555555555555</v>
      </c>
    </row>
    <row r="34" spans="2:7" outlineLevel="3" x14ac:dyDescent="0.6">
      <c r="B34" s="28" t="s">
        <v>241</v>
      </c>
      <c r="C34" s="28" t="s">
        <v>242</v>
      </c>
      <c r="D34" s="28" t="s">
        <v>208</v>
      </c>
      <c r="E34" s="29">
        <v>39084</v>
      </c>
      <c r="F34" s="28" t="s">
        <v>243</v>
      </c>
      <c r="G34" s="28">
        <v>14</v>
      </c>
    </row>
    <row r="35" spans="2:7" outlineLevel="3" x14ac:dyDescent="0.6">
      <c r="B35" s="28" t="s">
        <v>241</v>
      </c>
      <c r="C35" s="28" t="s">
        <v>244</v>
      </c>
      <c r="D35" s="28" t="s">
        <v>208</v>
      </c>
      <c r="E35" s="29">
        <v>39331</v>
      </c>
      <c r="F35" s="28" t="s">
        <v>245</v>
      </c>
      <c r="G35" s="28">
        <v>12</v>
      </c>
    </row>
    <row r="36" spans="2:7" outlineLevel="2" x14ac:dyDescent="0.6">
      <c r="B36" s="28"/>
      <c r="C36" s="28">
        <f>SUBTOTAL(3,C34:C35)</f>
        <v>2</v>
      </c>
      <c r="D36" s="85" t="s">
        <v>354</v>
      </c>
      <c r="E36" s="29"/>
      <c r="F36" s="28"/>
      <c r="G36" s="28"/>
    </row>
    <row r="37" spans="2:7" outlineLevel="3" x14ac:dyDescent="0.6">
      <c r="B37" s="28" t="s">
        <v>241</v>
      </c>
      <c r="C37" s="28" t="s">
        <v>246</v>
      </c>
      <c r="D37" s="28" t="s">
        <v>211</v>
      </c>
      <c r="E37" s="29">
        <v>39440</v>
      </c>
      <c r="F37" s="28" t="s">
        <v>247</v>
      </c>
      <c r="G37" s="28">
        <v>9</v>
      </c>
    </row>
    <row r="38" spans="2:7" outlineLevel="3" x14ac:dyDescent="0.6">
      <c r="B38" s="28" t="s">
        <v>241</v>
      </c>
      <c r="C38" s="28" t="s">
        <v>248</v>
      </c>
      <c r="D38" s="28" t="s">
        <v>211</v>
      </c>
      <c r="E38" s="29">
        <v>39365</v>
      </c>
      <c r="F38" s="28" t="s">
        <v>225</v>
      </c>
      <c r="G38" s="28">
        <v>15</v>
      </c>
    </row>
    <row r="39" spans="2:7" outlineLevel="2" x14ac:dyDescent="0.6">
      <c r="B39" s="28"/>
      <c r="C39" s="28">
        <f>SUBTOTAL(3,C37:C38)</f>
        <v>2</v>
      </c>
      <c r="D39" s="85" t="s">
        <v>355</v>
      </c>
      <c r="E39" s="29"/>
      <c r="F39" s="28"/>
      <c r="G39" s="28"/>
    </row>
    <row r="40" spans="2:7" outlineLevel="3" x14ac:dyDescent="0.6">
      <c r="B40" s="28" t="s">
        <v>241</v>
      </c>
      <c r="C40" s="28" t="s">
        <v>249</v>
      </c>
      <c r="D40" s="28" t="s">
        <v>208</v>
      </c>
      <c r="E40" s="29">
        <v>39334</v>
      </c>
      <c r="F40" s="28" t="s">
        <v>216</v>
      </c>
      <c r="G40" s="28">
        <v>15</v>
      </c>
    </row>
    <row r="41" spans="2:7" outlineLevel="3" x14ac:dyDescent="0.6">
      <c r="B41" s="28" t="s">
        <v>241</v>
      </c>
      <c r="C41" s="28" t="s">
        <v>250</v>
      </c>
      <c r="D41" s="28" t="s">
        <v>208</v>
      </c>
      <c r="E41" s="29">
        <v>39251</v>
      </c>
      <c r="F41" s="28"/>
      <c r="G41" s="28">
        <v>15</v>
      </c>
    </row>
    <row r="42" spans="2:7" outlineLevel="2" x14ac:dyDescent="0.6">
      <c r="B42" s="28"/>
      <c r="C42" s="28">
        <f>SUBTOTAL(3,C40:C41)</f>
        <v>2</v>
      </c>
      <c r="D42" s="85" t="s">
        <v>354</v>
      </c>
      <c r="E42" s="29"/>
      <c r="F42" s="28"/>
      <c r="G42" s="28"/>
    </row>
    <row r="43" spans="2:7" outlineLevel="3" x14ac:dyDescent="0.6">
      <c r="B43" s="28" t="s">
        <v>241</v>
      </c>
      <c r="C43" s="28" t="s">
        <v>251</v>
      </c>
      <c r="D43" s="28" t="s">
        <v>211</v>
      </c>
      <c r="E43" s="29">
        <v>39321</v>
      </c>
      <c r="F43" s="28" t="s">
        <v>252</v>
      </c>
      <c r="G43" s="28">
        <v>14</v>
      </c>
    </row>
    <row r="44" spans="2:7" outlineLevel="2" x14ac:dyDescent="0.6">
      <c r="B44" s="86"/>
      <c r="C44" s="86">
        <f>SUBTOTAL(3,C43:C43)</f>
        <v>1</v>
      </c>
      <c r="D44" s="88" t="s">
        <v>355</v>
      </c>
      <c r="E44" s="87"/>
      <c r="F44" s="86"/>
      <c r="G44" s="86"/>
    </row>
    <row r="45" spans="2:7" outlineLevel="1" x14ac:dyDescent="0.6">
      <c r="B45" s="88" t="s">
        <v>352</v>
      </c>
      <c r="C45" s="86"/>
      <c r="D45" s="86"/>
      <c r="E45" s="87"/>
      <c r="F45" s="86"/>
      <c r="G45" s="86">
        <f>SUBTOTAL(1,G34:G43)</f>
        <v>13.428571428571429</v>
      </c>
    </row>
    <row r="46" spans="2:7" x14ac:dyDescent="0.6">
      <c r="B46" s="88"/>
      <c r="C46" s="86">
        <f>SUBTOTAL(3,C6:C43)</f>
        <v>25</v>
      </c>
      <c r="D46" s="88" t="s">
        <v>356</v>
      </c>
      <c r="E46" s="87"/>
      <c r="F46" s="86"/>
      <c r="G46" s="86"/>
    </row>
    <row r="47" spans="2:7" x14ac:dyDescent="0.6">
      <c r="B47" s="88" t="s">
        <v>353</v>
      </c>
      <c r="C47" s="86"/>
      <c r="D47" s="86"/>
      <c r="E47" s="87"/>
      <c r="F47" s="86"/>
      <c r="G47" s="86">
        <f>SUBTOTAL(1,G6:G43)</f>
        <v>13.56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2:L20"/>
  <sheetViews>
    <sheetView workbookViewId="0">
      <selection activeCell="G1" sqref="G1"/>
    </sheetView>
  </sheetViews>
  <sheetFormatPr defaultRowHeight="16.899999999999999" x14ac:dyDescent="0.6"/>
  <cols>
    <col min="1" max="1" width="2.625" customWidth="1"/>
  </cols>
  <sheetData>
    <row r="2" spans="2:12" ht="20.65" x14ac:dyDescent="0.6">
      <c r="B2" s="71" t="s">
        <v>255</v>
      </c>
      <c r="C2" s="71"/>
      <c r="D2" s="71"/>
      <c r="E2" s="71"/>
      <c r="F2" s="71"/>
      <c r="G2" s="30"/>
      <c r="H2" s="71" t="s">
        <v>256</v>
      </c>
      <c r="I2" s="71"/>
      <c r="J2" s="71"/>
      <c r="K2" s="71"/>
      <c r="L2" s="71"/>
    </row>
    <row r="3" spans="2:12" x14ac:dyDescent="0.6">
      <c r="B3" s="15" t="s">
        <v>257</v>
      </c>
      <c r="C3" s="15" t="s">
        <v>258</v>
      </c>
      <c r="D3" s="15" t="s">
        <v>259</v>
      </c>
      <c r="E3" s="15" t="s">
        <v>260</v>
      </c>
      <c r="F3" s="15" t="s">
        <v>261</v>
      </c>
      <c r="H3" s="15" t="s">
        <v>257</v>
      </c>
      <c r="I3" s="15" t="s">
        <v>262</v>
      </c>
      <c r="J3" s="15" t="s">
        <v>259</v>
      </c>
      <c r="K3" s="15" t="s">
        <v>260</v>
      </c>
      <c r="L3" s="15" t="s">
        <v>263</v>
      </c>
    </row>
    <row r="4" spans="2:12" x14ac:dyDescent="0.6">
      <c r="B4" s="15" t="s">
        <v>264</v>
      </c>
      <c r="C4" s="15">
        <v>82</v>
      </c>
      <c r="D4" s="15">
        <v>94</v>
      </c>
      <c r="E4" s="15">
        <v>88</v>
      </c>
      <c r="F4" s="15">
        <f t="shared" ref="F4:F10" si="0">SUM(C4:E4)</f>
        <v>264</v>
      </c>
      <c r="G4" s="31"/>
      <c r="H4" s="15" t="s">
        <v>264</v>
      </c>
      <c r="I4" s="15">
        <v>166</v>
      </c>
      <c r="J4" s="15">
        <v>192</v>
      </c>
      <c r="K4" s="15">
        <v>172</v>
      </c>
      <c r="L4" s="15">
        <v>530</v>
      </c>
    </row>
    <row r="5" spans="2:12" x14ac:dyDescent="0.6">
      <c r="B5" s="15" t="s">
        <v>265</v>
      </c>
      <c r="C5" s="15">
        <v>98</v>
      </c>
      <c r="D5" s="15">
        <v>87</v>
      </c>
      <c r="E5" s="15">
        <v>88</v>
      </c>
      <c r="F5" s="15">
        <f t="shared" si="0"/>
        <v>273</v>
      </c>
      <c r="G5" s="31"/>
      <c r="H5" s="15" t="s">
        <v>266</v>
      </c>
      <c r="I5" s="15">
        <v>194</v>
      </c>
      <c r="J5" s="15">
        <v>171</v>
      </c>
      <c r="K5" s="15">
        <v>180</v>
      </c>
      <c r="L5" s="15">
        <v>545</v>
      </c>
    </row>
    <row r="6" spans="2:12" x14ac:dyDescent="0.6">
      <c r="B6" s="15" t="s">
        <v>267</v>
      </c>
      <c r="C6" s="15">
        <v>78</v>
      </c>
      <c r="D6" s="15">
        <v>76</v>
      </c>
      <c r="E6" s="15">
        <v>81</v>
      </c>
      <c r="F6" s="15">
        <f t="shared" si="0"/>
        <v>235</v>
      </c>
      <c r="G6" s="31"/>
      <c r="H6" s="15" t="s">
        <v>268</v>
      </c>
      <c r="I6" s="15">
        <v>160</v>
      </c>
      <c r="J6" s="15">
        <v>149</v>
      </c>
      <c r="K6" s="15">
        <v>156</v>
      </c>
      <c r="L6" s="15">
        <v>465</v>
      </c>
    </row>
    <row r="7" spans="2:12" x14ac:dyDescent="0.6">
      <c r="B7" s="15" t="s">
        <v>269</v>
      </c>
      <c r="C7" s="15">
        <v>86</v>
      </c>
      <c r="D7" s="15">
        <v>64</v>
      </c>
      <c r="E7" s="15">
        <v>87</v>
      </c>
      <c r="F7" s="15">
        <f t="shared" si="0"/>
        <v>237</v>
      </c>
      <c r="G7" s="31"/>
      <c r="H7" s="15" t="s">
        <v>269</v>
      </c>
      <c r="I7" s="15">
        <v>171</v>
      </c>
      <c r="J7" s="15">
        <v>134</v>
      </c>
      <c r="K7" s="15">
        <v>178</v>
      </c>
      <c r="L7" s="15">
        <v>483</v>
      </c>
    </row>
    <row r="8" spans="2:12" x14ac:dyDescent="0.6">
      <c r="B8" s="15" t="s">
        <v>270</v>
      </c>
      <c r="C8" s="15">
        <v>98</v>
      </c>
      <c r="D8" s="15">
        <v>60</v>
      </c>
      <c r="E8" s="15">
        <v>77</v>
      </c>
      <c r="F8" s="15">
        <f t="shared" si="0"/>
        <v>235</v>
      </c>
      <c r="G8" s="31"/>
      <c r="H8" s="15" t="s">
        <v>271</v>
      </c>
      <c r="I8" s="15">
        <v>191</v>
      </c>
      <c r="J8" s="15">
        <v>119</v>
      </c>
      <c r="K8" s="15">
        <v>151</v>
      </c>
      <c r="L8" s="15">
        <v>461</v>
      </c>
    </row>
    <row r="9" spans="2:12" x14ac:dyDescent="0.6">
      <c r="B9" s="15" t="s">
        <v>272</v>
      </c>
      <c r="C9" s="15">
        <v>88</v>
      </c>
      <c r="D9" s="15">
        <v>81</v>
      </c>
      <c r="E9" s="15">
        <v>83</v>
      </c>
      <c r="F9" s="15">
        <f t="shared" si="0"/>
        <v>252</v>
      </c>
      <c r="G9" s="31"/>
      <c r="H9" s="15" t="s">
        <v>272</v>
      </c>
      <c r="I9" s="15">
        <v>169</v>
      </c>
      <c r="J9" s="15">
        <v>155</v>
      </c>
      <c r="K9" s="15">
        <v>169</v>
      </c>
      <c r="L9" s="15">
        <v>493</v>
      </c>
    </row>
    <row r="10" spans="2:12" x14ac:dyDescent="0.6">
      <c r="B10" s="15" t="s">
        <v>273</v>
      </c>
      <c r="C10" s="15">
        <v>87</v>
      </c>
      <c r="D10" s="15">
        <v>97</v>
      </c>
      <c r="E10" s="15">
        <v>84</v>
      </c>
      <c r="F10" s="15">
        <f t="shared" si="0"/>
        <v>268</v>
      </c>
      <c r="G10" s="31"/>
      <c r="H10" s="15" t="s">
        <v>274</v>
      </c>
      <c r="I10" s="15">
        <v>170</v>
      </c>
      <c r="J10" s="15">
        <v>193</v>
      </c>
      <c r="K10" s="15">
        <v>158</v>
      </c>
      <c r="L10" s="15">
        <v>521</v>
      </c>
    </row>
    <row r="12" spans="2:12" ht="20.65" x14ac:dyDescent="0.6">
      <c r="B12" s="71" t="s">
        <v>275</v>
      </c>
      <c r="C12" s="71"/>
      <c r="D12" s="71"/>
      <c r="E12" s="71"/>
      <c r="F12" s="71"/>
      <c r="G12" s="30"/>
    </row>
    <row r="13" spans="2:12" x14ac:dyDescent="0.6">
      <c r="B13" t="s">
        <v>202</v>
      </c>
      <c r="C13" t="s">
        <v>129</v>
      </c>
      <c r="D13" t="s">
        <v>130</v>
      </c>
      <c r="E13" t="s">
        <v>127</v>
      </c>
      <c r="F13" t="s">
        <v>357</v>
      </c>
    </row>
    <row r="14" spans="2:12" x14ac:dyDescent="0.6">
      <c r="B14" t="s">
        <v>358</v>
      </c>
      <c r="C14">
        <v>84</v>
      </c>
      <c r="D14">
        <v>98</v>
      </c>
      <c r="E14">
        <v>84</v>
      </c>
      <c r="F14">
        <v>266</v>
      </c>
    </row>
    <row r="15" spans="2:12" x14ac:dyDescent="0.6">
      <c r="B15" t="s">
        <v>359</v>
      </c>
      <c r="C15">
        <v>96</v>
      </c>
      <c r="D15">
        <v>84</v>
      </c>
      <c r="E15">
        <v>92</v>
      </c>
      <c r="F15">
        <v>272</v>
      </c>
    </row>
    <row r="16" spans="2:12" x14ac:dyDescent="0.6">
      <c r="B16" t="s">
        <v>360</v>
      </c>
      <c r="C16">
        <v>82</v>
      </c>
      <c r="D16">
        <v>73</v>
      </c>
      <c r="E16">
        <v>75</v>
      </c>
      <c r="F16">
        <v>230</v>
      </c>
    </row>
    <row r="17" spans="2:6" x14ac:dyDescent="0.6">
      <c r="B17" t="s">
        <v>361</v>
      </c>
      <c r="C17">
        <v>85</v>
      </c>
      <c r="D17">
        <v>70</v>
      </c>
      <c r="E17">
        <v>91</v>
      </c>
      <c r="F17">
        <v>246</v>
      </c>
    </row>
    <row r="18" spans="2:6" x14ac:dyDescent="0.6">
      <c r="B18" t="s">
        <v>362</v>
      </c>
      <c r="C18">
        <v>93</v>
      </c>
      <c r="D18">
        <v>59</v>
      </c>
      <c r="E18">
        <v>74</v>
      </c>
      <c r="F18">
        <v>226</v>
      </c>
    </row>
    <row r="19" spans="2:6" x14ac:dyDescent="0.6">
      <c r="B19" t="s">
        <v>363</v>
      </c>
      <c r="C19">
        <v>81</v>
      </c>
      <c r="D19">
        <v>74</v>
      </c>
      <c r="E19">
        <v>86</v>
      </c>
      <c r="F19">
        <v>241</v>
      </c>
    </row>
    <row r="20" spans="2:6" x14ac:dyDescent="0.6">
      <c r="B20" t="s">
        <v>364</v>
      </c>
      <c r="C20">
        <v>83</v>
      </c>
      <c r="D20">
        <v>96</v>
      </c>
      <c r="E20">
        <v>74</v>
      </c>
      <c r="F20">
        <v>253</v>
      </c>
    </row>
  </sheetData>
  <dataConsolidate leftLabels="1" topLabels="1">
    <dataRefs count="2">
      <dataRef ref="B3:F10" sheet="통합-텍스트 나누기"/>
      <dataRef ref="B13:F20" sheet="통합-텍스트 나누기"/>
    </dataRefs>
  </dataConsolidate>
  <mergeCells count="3">
    <mergeCell ref="B2:F2"/>
    <mergeCell ref="H2:L2"/>
    <mergeCell ref="B12:F12"/>
  </mergeCells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59CE1-382F-47B9-92F7-B1EE0C8C48CA}">
  <sheetPr>
    <outlinePr summaryBelow="0"/>
  </sheetPr>
  <dimension ref="B1:F13"/>
  <sheetViews>
    <sheetView showGridLines="0" workbookViewId="0"/>
  </sheetViews>
  <sheetFormatPr defaultRowHeight="16.899999999999999" outlineLevelRow="1" outlineLevelCol="1" x14ac:dyDescent="0.6"/>
  <cols>
    <col min="3" max="3" width="7.4375" bestFit="1" customWidth="1"/>
    <col min="4" max="6" width="10.3125" bestFit="1" customWidth="1" outlineLevel="1"/>
  </cols>
  <sheetData>
    <row r="1" spans="2:6" ht="17.25" thickBot="1" x14ac:dyDescent="0.65"/>
    <row r="2" spans="2:6" x14ac:dyDescent="0.6">
      <c r="B2" s="91" t="s">
        <v>368</v>
      </c>
      <c r="C2" s="92"/>
      <c r="D2" s="97"/>
      <c r="E2" s="97"/>
      <c r="F2" s="97"/>
    </row>
    <row r="3" spans="2:6" collapsed="1" x14ac:dyDescent="0.6">
      <c r="B3" s="90"/>
      <c r="C3" s="90"/>
      <c r="D3" s="98" t="s">
        <v>370</v>
      </c>
      <c r="E3" s="98" t="s">
        <v>365</v>
      </c>
      <c r="F3" s="98" t="s">
        <v>367</v>
      </c>
    </row>
    <row r="4" spans="2:6" ht="63" hidden="1" outlineLevel="1" x14ac:dyDescent="0.6">
      <c r="B4" s="94"/>
      <c r="C4" s="94"/>
      <c r="D4" s="89"/>
      <c r="E4" s="99" t="s">
        <v>366</v>
      </c>
      <c r="F4" s="99" t="s">
        <v>366</v>
      </c>
    </row>
    <row r="5" spans="2:6" x14ac:dyDescent="0.6">
      <c r="B5" s="95" t="s">
        <v>369</v>
      </c>
      <c r="C5" s="96"/>
      <c r="D5" s="93"/>
      <c r="E5" s="93"/>
      <c r="F5" s="93"/>
    </row>
    <row r="6" spans="2:6" outlineLevel="1" x14ac:dyDescent="0.6">
      <c r="B6" s="94"/>
      <c r="C6" s="94" t="s">
        <v>374</v>
      </c>
      <c r="D6" s="100">
        <v>0.13</v>
      </c>
      <c r="E6" s="104">
        <v>1.6</v>
      </c>
      <c r="F6" s="104">
        <v>1</v>
      </c>
    </row>
    <row r="7" spans="2:6" x14ac:dyDescent="0.6">
      <c r="B7" s="95" t="s">
        <v>378</v>
      </c>
      <c r="C7" s="96"/>
      <c r="D7" s="93"/>
      <c r="E7" s="93"/>
      <c r="F7" s="93"/>
    </row>
    <row r="8" spans="2:6" outlineLevel="1" x14ac:dyDescent="0.6">
      <c r="B8" s="94"/>
      <c r="C8" s="94" t="s">
        <v>375</v>
      </c>
      <c r="D8" s="101">
        <v>284700</v>
      </c>
      <c r="E8" s="101">
        <v>3504000</v>
      </c>
      <c r="F8" s="101">
        <v>2190000</v>
      </c>
    </row>
    <row r="9" spans="2:6" outlineLevel="1" x14ac:dyDescent="0.6">
      <c r="B9" s="94"/>
      <c r="C9" s="94" t="s">
        <v>376</v>
      </c>
      <c r="D9" s="101">
        <v>325000</v>
      </c>
      <c r="E9" s="101">
        <v>4000000</v>
      </c>
      <c r="F9" s="101">
        <v>2500000</v>
      </c>
    </row>
    <row r="10" spans="2:6" ht="17.25" outlineLevel="1" thickBot="1" x14ac:dyDescent="0.65">
      <c r="B10" s="103"/>
      <c r="C10" s="103" t="s">
        <v>377</v>
      </c>
      <c r="D10" s="102">
        <v>475800</v>
      </c>
      <c r="E10" s="102">
        <v>5856000</v>
      </c>
      <c r="F10" s="102">
        <v>3660000</v>
      </c>
    </row>
    <row r="11" spans="2:6" x14ac:dyDescent="0.6">
      <c r="B11" t="s">
        <v>371</v>
      </c>
    </row>
    <row r="12" spans="2:6" x14ac:dyDescent="0.6">
      <c r="B12" t="s">
        <v>372</v>
      </c>
    </row>
    <row r="13" spans="2:6" x14ac:dyDescent="0.6">
      <c r="B13" t="s">
        <v>373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G21"/>
  <sheetViews>
    <sheetView zoomScale="115" zoomScaleNormal="115" workbookViewId="0">
      <selection activeCell="H1" sqref="H1"/>
    </sheetView>
  </sheetViews>
  <sheetFormatPr defaultRowHeight="16.899999999999999" x14ac:dyDescent="0.6"/>
  <cols>
    <col min="3" max="4" width="11.125" bestFit="1" customWidth="1"/>
    <col min="5" max="7" width="10.875" bestFit="1" customWidth="1"/>
  </cols>
  <sheetData>
    <row r="1" spans="1:7" ht="20.65" x14ac:dyDescent="0.6">
      <c r="A1" s="71" t="s">
        <v>276</v>
      </c>
      <c r="B1" s="71"/>
      <c r="C1" s="71"/>
      <c r="D1" s="71"/>
      <c r="E1" s="71"/>
      <c r="F1" s="71"/>
      <c r="G1" s="71"/>
    </row>
    <row r="3" spans="1:7" x14ac:dyDescent="0.6">
      <c r="A3" s="15" t="s">
        <v>277</v>
      </c>
      <c r="B3" s="15" t="s">
        <v>278</v>
      </c>
      <c r="C3" s="15" t="s">
        <v>279</v>
      </c>
      <c r="D3" s="15" t="s">
        <v>280</v>
      </c>
      <c r="E3" s="15" t="s">
        <v>281</v>
      </c>
      <c r="F3" s="15" t="s">
        <v>282</v>
      </c>
      <c r="G3" s="15" t="s">
        <v>283</v>
      </c>
    </row>
    <row r="4" spans="1:7" x14ac:dyDescent="0.6">
      <c r="A4" s="32">
        <v>4</v>
      </c>
      <c r="B4" s="15">
        <v>202</v>
      </c>
      <c r="C4" s="33">
        <v>44293</v>
      </c>
      <c r="D4" s="33">
        <f>C4+3</f>
        <v>44296</v>
      </c>
      <c r="E4" s="34">
        <v>400000</v>
      </c>
      <c r="F4" s="34">
        <v>450000</v>
      </c>
      <c r="G4" s="34">
        <f>F4*$B$21</f>
        <v>58500</v>
      </c>
    </row>
    <row r="5" spans="1:7" x14ac:dyDescent="0.6">
      <c r="A5" s="32">
        <v>4</v>
      </c>
      <c r="B5" s="15">
        <v>203</v>
      </c>
      <c r="C5" s="33">
        <v>44301</v>
      </c>
      <c r="D5" s="33">
        <f>C5+3</f>
        <v>44304</v>
      </c>
      <c r="E5" s="34">
        <v>1000000</v>
      </c>
      <c r="F5" s="34">
        <v>1070000</v>
      </c>
      <c r="G5" s="34">
        <f>F5*$B$21</f>
        <v>139100</v>
      </c>
    </row>
    <row r="6" spans="1:7" x14ac:dyDescent="0.6">
      <c r="A6" s="32">
        <v>4</v>
      </c>
      <c r="B6" s="15">
        <v>201</v>
      </c>
      <c r="C6" s="33">
        <v>44303</v>
      </c>
      <c r="D6" s="33">
        <f>C6+3</f>
        <v>44306</v>
      </c>
      <c r="E6" s="34">
        <v>500000</v>
      </c>
      <c r="F6" s="34">
        <f>550000</f>
        <v>550000</v>
      </c>
      <c r="G6" s="34">
        <f>F6*$B$21</f>
        <v>71500</v>
      </c>
    </row>
    <row r="7" spans="1:7" x14ac:dyDescent="0.6">
      <c r="A7" s="32">
        <v>4</v>
      </c>
      <c r="B7" s="15">
        <v>204</v>
      </c>
      <c r="C7" s="33">
        <v>44309</v>
      </c>
      <c r="D7" s="33">
        <f>C7+3</f>
        <v>44312</v>
      </c>
      <c r="E7" s="34">
        <v>100000</v>
      </c>
      <c r="F7" s="34">
        <v>120000</v>
      </c>
      <c r="G7" s="34">
        <f>F7*$B$21</f>
        <v>15600</v>
      </c>
    </row>
    <row r="8" spans="1:7" x14ac:dyDescent="0.6">
      <c r="A8" s="72" t="s">
        <v>284</v>
      </c>
      <c r="B8" s="73"/>
      <c r="C8" s="73"/>
      <c r="D8" s="74"/>
      <c r="E8" s="34">
        <f>SUM(E4:E7)</f>
        <v>2000000</v>
      </c>
      <c r="F8" s="34">
        <f>SUM(F4:F7)</f>
        <v>2190000</v>
      </c>
      <c r="G8" s="34">
        <f>SUM(G4:G7)</f>
        <v>284700</v>
      </c>
    </row>
    <row r="9" spans="1:7" x14ac:dyDescent="0.6">
      <c r="A9" s="32">
        <v>5</v>
      </c>
      <c r="B9" s="15">
        <v>202</v>
      </c>
      <c r="C9" s="33">
        <v>44322</v>
      </c>
      <c r="D9" s="33">
        <f>C9+4</f>
        <v>44326</v>
      </c>
      <c r="E9" s="34">
        <v>400000</v>
      </c>
      <c r="F9" s="34">
        <v>450000</v>
      </c>
      <c r="G9" s="34">
        <f>F9*$B$21</f>
        <v>58500</v>
      </c>
    </row>
    <row r="10" spans="1:7" x14ac:dyDescent="0.6">
      <c r="A10" s="32">
        <v>5</v>
      </c>
      <c r="B10" s="15">
        <v>203</v>
      </c>
      <c r="C10" s="33">
        <v>44326</v>
      </c>
      <c r="D10" s="33">
        <f>C10+4</f>
        <v>44330</v>
      </c>
      <c r="E10" s="34">
        <v>1000000</v>
      </c>
      <c r="F10" s="34">
        <v>480000</v>
      </c>
      <c r="G10" s="34">
        <f>F10*$B$21</f>
        <v>62400</v>
      </c>
    </row>
    <row r="11" spans="1:7" x14ac:dyDescent="0.6">
      <c r="A11" s="32">
        <v>5</v>
      </c>
      <c r="B11" s="15">
        <v>204</v>
      </c>
      <c r="C11" s="33">
        <v>44332</v>
      </c>
      <c r="D11" s="33">
        <f>C11+4</f>
        <v>44336</v>
      </c>
      <c r="E11" s="34">
        <v>450000</v>
      </c>
      <c r="F11" s="34">
        <v>480000</v>
      </c>
      <c r="G11" s="34">
        <f>F11*$B$21</f>
        <v>62400</v>
      </c>
    </row>
    <row r="12" spans="1:7" x14ac:dyDescent="0.6">
      <c r="A12" s="32">
        <v>5</v>
      </c>
      <c r="B12" s="15">
        <v>201</v>
      </c>
      <c r="C12" s="33">
        <v>44336</v>
      </c>
      <c r="D12" s="33">
        <f>C12+4</f>
        <v>44340</v>
      </c>
      <c r="E12" s="34">
        <v>500000</v>
      </c>
      <c r="F12" s="34">
        <f>550000</f>
        <v>550000</v>
      </c>
      <c r="G12" s="34">
        <f>F12*$B$21</f>
        <v>71500</v>
      </c>
    </row>
    <row r="13" spans="1:7" x14ac:dyDescent="0.6">
      <c r="A13" s="32">
        <v>5</v>
      </c>
      <c r="B13" s="15">
        <v>202</v>
      </c>
      <c r="C13" s="33">
        <v>44340</v>
      </c>
      <c r="D13" s="33">
        <f>C13+4</f>
        <v>44344</v>
      </c>
      <c r="E13" s="34">
        <v>400000</v>
      </c>
      <c r="F13" s="34">
        <v>540000</v>
      </c>
      <c r="G13" s="34">
        <f>F13*$B$21</f>
        <v>70200</v>
      </c>
    </row>
    <row r="14" spans="1:7" x14ac:dyDescent="0.6">
      <c r="A14" s="72" t="s">
        <v>284</v>
      </c>
      <c r="B14" s="73"/>
      <c r="C14" s="73"/>
      <c r="D14" s="74"/>
      <c r="E14" s="34">
        <f>SUM(E9:E13)</f>
        <v>2750000</v>
      </c>
      <c r="F14" s="34">
        <f>SUM(F9:F13)</f>
        <v>2500000</v>
      </c>
      <c r="G14" s="34">
        <f>SUM(G9:G13)</f>
        <v>325000</v>
      </c>
    </row>
    <row r="15" spans="1:7" x14ac:dyDescent="0.6">
      <c r="A15" s="32">
        <v>6</v>
      </c>
      <c r="B15" s="15">
        <v>203</v>
      </c>
      <c r="C15" s="33">
        <v>44352</v>
      </c>
      <c r="D15" s="33">
        <f>C15+3</f>
        <v>44355</v>
      </c>
      <c r="E15" s="34">
        <v>1000000</v>
      </c>
      <c r="F15" s="34">
        <v>1100000</v>
      </c>
      <c r="G15" s="34">
        <f>F15*$B$21</f>
        <v>143000</v>
      </c>
    </row>
    <row r="16" spans="1:7" x14ac:dyDescent="0.6">
      <c r="A16" s="32">
        <v>6</v>
      </c>
      <c r="B16" s="15">
        <v>202</v>
      </c>
      <c r="C16" s="33">
        <v>44360</v>
      </c>
      <c r="D16" s="33">
        <f>C16+3</f>
        <v>44363</v>
      </c>
      <c r="E16" s="34">
        <v>400000</v>
      </c>
      <c r="F16" s="34">
        <v>450000</v>
      </c>
      <c r="G16" s="34">
        <f>F16*$B$21</f>
        <v>58500</v>
      </c>
    </row>
    <row r="17" spans="1:7" x14ac:dyDescent="0.6">
      <c r="A17" s="32">
        <v>6</v>
      </c>
      <c r="B17" s="15">
        <v>201</v>
      </c>
      <c r="C17" s="33">
        <v>44364</v>
      </c>
      <c r="D17" s="33">
        <f>C17+3</f>
        <v>44367</v>
      </c>
      <c r="E17" s="34">
        <v>500000</v>
      </c>
      <c r="F17" s="34">
        <f>550000</f>
        <v>550000</v>
      </c>
      <c r="G17" s="34">
        <f>F17*$B$21</f>
        <v>71500</v>
      </c>
    </row>
    <row r="18" spans="1:7" x14ac:dyDescent="0.6">
      <c r="A18" s="32">
        <v>6</v>
      </c>
      <c r="B18" s="15">
        <v>204</v>
      </c>
      <c r="C18" s="33">
        <v>44370</v>
      </c>
      <c r="D18" s="33">
        <f>C18+3</f>
        <v>44373</v>
      </c>
      <c r="E18" s="34">
        <v>450000</v>
      </c>
      <c r="F18" s="34">
        <v>1560000</v>
      </c>
      <c r="G18" s="34">
        <f>F18*$B$21</f>
        <v>202800</v>
      </c>
    </row>
    <row r="19" spans="1:7" x14ac:dyDescent="0.6">
      <c r="A19" s="72" t="s">
        <v>285</v>
      </c>
      <c r="B19" s="73"/>
      <c r="C19" s="73"/>
      <c r="D19" s="74"/>
      <c r="E19" s="34">
        <f>SUM(E15:E18)</f>
        <v>2350000</v>
      </c>
      <c r="F19" s="34">
        <f>SUM(F15:F18)</f>
        <v>3660000</v>
      </c>
      <c r="G19" s="34">
        <f>SUM(G15:G18)</f>
        <v>475800</v>
      </c>
    </row>
    <row r="21" spans="1:7" x14ac:dyDescent="0.6">
      <c r="A21" s="15" t="s">
        <v>286</v>
      </c>
      <c r="B21" s="35">
        <v>0.13</v>
      </c>
    </row>
  </sheetData>
  <scenarios current="0" sqref="G8 G14 G19">
    <scenario name="세율인상" locked="1" count="1" user="Jieun Park" comment="만든 사람 Jieun Park 날짜 2023-07-16">
      <inputCells r="B21" val="1.6" numFmtId="9"/>
    </scenario>
    <scenario name="세율인하" locked="1" count="1" user="Jieun Park" comment="만든 사람 Jieun Park 날짜 2023-07-16">
      <inputCells r="B21" val="1" numFmtId="9"/>
    </scenario>
  </scenarios>
  <mergeCells count="4">
    <mergeCell ref="A1:G1"/>
    <mergeCell ref="A8:D8"/>
    <mergeCell ref="A14:D14"/>
    <mergeCell ref="A19:D19"/>
  </mergeCells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979C0-FC98-4594-B59A-99CEF4C4C588}">
  <sheetPr>
    <outlinePr summaryBelow="0"/>
  </sheetPr>
  <dimension ref="B1:F13"/>
  <sheetViews>
    <sheetView showGridLines="0" workbookViewId="0"/>
  </sheetViews>
  <sheetFormatPr defaultRowHeight="16.899999999999999" outlineLevelRow="1" outlineLevelCol="1" x14ac:dyDescent="0.6"/>
  <cols>
    <col min="3" max="3" width="12" bestFit="1" customWidth="1"/>
    <col min="4" max="6" width="10.3125" bestFit="1" customWidth="1" outlineLevel="1"/>
  </cols>
  <sheetData>
    <row r="1" spans="2:6" ht="17.25" thickBot="1" x14ac:dyDescent="0.65"/>
    <row r="2" spans="2:6" x14ac:dyDescent="0.6">
      <c r="B2" s="91" t="s">
        <v>368</v>
      </c>
      <c r="C2" s="92"/>
      <c r="D2" s="97"/>
      <c r="E2" s="97"/>
      <c r="F2" s="97"/>
    </row>
    <row r="3" spans="2:6" collapsed="1" x14ac:dyDescent="0.6">
      <c r="B3" s="90"/>
      <c r="C3" s="90"/>
      <c r="D3" s="98" t="s">
        <v>370</v>
      </c>
      <c r="E3" s="98" t="s">
        <v>383</v>
      </c>
      <c r="F3" s="98" t="s">
        <v>384</v>
      </c>
    </row>
    <row r="4" spans="2:6" ht="63" hidden="1" outlineLevel="1" x14ac:dyDescent="0.6">
      <c r="B4" s="94"/>
      <c r="C4" s="94"/>
      <c r="D4" s="89"/>
      <c r="E4" s="99" t="s">
        <v>366</v>
      </c>
      <c r="F4" s="99" t="s">
        <v>366</v>
      </c>
    </row>
    <row r="5" spans="2:6" x14ac:dyDescent="0.6">
      <c r="B5" s="95" t="s">
        <v>369</v>
      </c>
      <c r="C5" s="96"/>
      <c r="D5" s="93"/>
      <c r="E5" s="93"/>
      <c r="F5" s="93"/>
    </row>
    <row r="6" spans="2:6" outlineLevel="1" x14ac:dyDescent="0.6">
      <c r="B6" s="94"/>
      <c r="C6" s="94" t="s">
        <v>379</v>
      </c>
      <c r="D6" s="100">
        <v>0.15</v>
      </c>
      <c r="E6" s="104">
        <v>1.7</v>
      </c>
      <c r="F6" s="104">
        <v>1.2</v>
      </c>
    </row>
    <row r="7" spans="2:6" outlineLevel="1" x14ac:dyDescent="0.6">
      <c r="B7" s="94"/>
      <c r="C7" s="94" t="s">
        <v>380</v>
      </c>
      <c r="D7" s="100">
        <v>0.1</v>
      </c>
      <c r="E7" s="104">
        <v>1.2</v>
      </c>
      <c r="F7" s="104">
        <v>0.7</v>
      </c>
    </row>
    <row r="8" spans="2:6" outlineLevel="1" x14ac:dyDescent="0.6">
      <c r="B8" s="94"/>
      <c r="C8" s="94" t="s">
        <v>381</v>
      </c>
      <c r="D8" s="100">
        <v>0.05</v>
      </c>
      <c r="E8" s="104">
        <v>0.7</v>
      </c>
      <c r="F8" s="104">
        <v>0.2</v>
      </c>
    </row>
    <row r="9" spans="2:6" x14ac:dyDescent="0.6">
      <c r="B9" s="95" t="s">
        <v>378</v>
      </c>
      <c r="C9" s="96"/>
      <c r="D9" s="93"/>
      <c r="E9" s="93"/>
      <c r="F9" s="93"/>
    </row>
    <row r="10" spans="2:6" ht="17.25" outlineLevel="1" thickBot="1" x14ac:dyDescent="0.65">
      <c r="B10" s="103"/>
      <c r="C10" s="103" t="s">
        <v>382</v>
      </c>
      <c r="D10" s="102">
        <v>1282750</v>
      </c>
      <c r="E10" s="102">
        <v>-558500</v>
      </c>
      <c r="F10" s="102">
        <v>169000</v>
      </c>
    </row>
    <row r="11" spans="2:6" x14ac:dyDescent="0.6">
      <c r="B11" t="s">
        <v>371</v>
      </c>
    </row>
    <row r="12" spans="2:6" x14ac:dyDescent="0.6">
      <c r="B12" t="s">
        <v>372</v>
      </c>
    </row>
    <row r="13" spans="2:6" x14ac:dyDescent="0.6">
      <c r="B13" t="s">
        <v>373</v>
      </c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19"/>
  <sheetViews>
    <sheetView workbookViewId="0">
      <selection activeCell="E2" sqref="E2"/>
    </sheetView>
  </sheetViews>
  <sheetFormatPr defaultRowHeight="16.899999999999999" x14ac:dyDescent="0.6"/>
  <cols>
    <col min="2" max="3" width="10.875" customWidth="1"/>
    <col min="4" max="4" width="11.5" customWidth="1"/>
  </cols>
  <sheetData>
    <row r="1" spans="1:4" x14ac:dyDescent="0.6">
      <c r="A1" s="75" t="s">
        <v>315</v>
      </c>
      <c r="B1" s="75"/>
      <c r="C1" s="75"/>
      <c r="D1" s="75"/>
    </row>
    <row r="3" spans="1:4" x14ac:dyDescent="0.6">
      <c r="A3" s="15" t="s">
        <v>316</v>
      </c>
      <c r="B3" s="15" t="s">
        <v>317</v>
      </c>
      <c r="C3" s="15" t="s">
        <v>318</v>
      </c>
      <c r="D3" s="15" t="s">
        <v>319</v>
      </c>
    </row>
    <row r="4" spans="1:4" x14ac:dyDescent="0.6">
      <c r="A4" s="15" t="s">
        <v>320</v>
      </c>
      <c r="B4" s="15" t="s">
        <v>321</v>
      </c>
      <c r="C4" s="38">
        <v>120000</v>
      </c>
      <c r="D4" s="38">
        <f t="shared" ref="D4:D14" si="0">C4*(1-HLOOKUP(B4,$B$18:$D$19,2,0))</f>
        <v>108000</v>
      </c>
    </row>
    <row r="5" spans="1:4" x14ac:dyDescent="0.6">
      <c r="A5" s="15" t="s">
        <v>322</v>
      </c>
      <c r="B5" s="15" t="s">
        <v>321</v>
      </c>
      <c r="C5" s="38">
        <v>50000</v>
      </c>
      <c r="D5" s="38">
        <f t="shared" si="0"/>
        <v>45000</v>
      </c>
    </row>
    <row r="6" spans="1:4" x14ac:dyDescent="0.6">
      <c r="A6" s="15" t="s">
        <v>323</v>
      </c>
      <c r="B6" s="15" t="s">
        <v>311</v>
      </c>
      <c r="C6" s="38">
        <v>200000</v>
      </c>
      <c r="D6" s="38">
        <f t="shared" si="0"/>
        <v>180000</v>
      </c>
    </row>
    <row r="7" spans="1:4" x14ac:dyDescent="0.6">
      <c r="A7" s="15" t="s">
        <v>324</v>
      </c>
      <c r="B7" s="15" t="s">
        <v>312</v>
      </c>
      <c r="C7" s="38">
        <v>15000</v>
      </c>
      <c r="D7" s="38">
        <f t="shared" si="0"/>
        <v>14250</v>
      </c>
    </row>
    <row r="8" spans="1:4" x14ac:dyDescent="0.6">
      <c r="A8" s="15" t="s">
        <v>325</v>
      </c>
      <c r="B8" s="15" t="s">
        <v>326</v>
      </c>
      <c r="C8" s="38">
        <v>50000</v>
      </c>
      <c r="D8" s="38">
        <f t="shared" si="0"/>
        <v>42500</v>
      </c>
    </row>
    <row r="9" spans="1:4" x14ac:dyDescent="0.6">
      <c r="A9" s="15" t="s">
        <v>327</v>
      </c>
      <c r="B9" s="15" t="s">
        <v>326</v>
      </c>
      <c r="C9" s="38">
        <v>120000</v>
      </c>
      <c r="D9" s="38">
        <f t="shared" si="0"/>
        <v>102000</v>
      </c>
    </row>
    <row r="10" spans="1:4" x14ac:dyDescent="0.6">
      <c r="A10" s="15" t="s">
        <v>328</v>
      </c>
      <c r="B10" s="15" t="s">
        <v>329</v>
      </c>
      <c r="C10" s="38">
        <v>30000</v>
      </c>
      <c r="D10" s="38">
        <f t="shared" si="0"/>
        <v>27000</v>
      </c>
    </row>
    <row r="11" spans="1:4" x14ac:dyDescent="0.6">
      <c r="A11" s="15" t="s">
        <v>313</v>
      </c>
      <c r="B11" s="15" t="s">
        <v>330</v>
      </c>
      <c r="C11" s="38">
        <v>170000</v>
      </c>
      <c r="D11" s="38">
        <f t="shared" si="0"/>
        <v>161500</v>
      </c>
    </row>
    <row r="12" spans="1:4" x14ac:dyDescent="0.6">
      <c r="A12" s="15" t="s">
        <v>314</v>
      </c>
      <c r="B12" s="15" t="s">
        <v>331</v>
      </c>
      <c r="C12" s="38">
        <v>250000</v>
      </c>
      <c r="D12" s="38">
        <f t="shared" si="0"/>
        <v>212500</v>
      </c>
    </row>
    <row r="13" spans="1:4" x14ac:dyDescent="0.6">
      <c r="A13" s="15" t="s">
        <v>332</v>
      </c>
      <c r="B13" s="15" t="s">
        <v>321</v>
      </c>
      <c r="C13" s="38">
        <v>150000</v>
      </c>
      <c r="D13" s="38">
        <f t="shared" si="0"/>
        <v>135000</v>
      </c>
    </row>
    <row r="14" spans="1:4" x14ac:dyDescent="0.6">
      <c r="A14" s="15" t="s">
        <v>333</v>
      </c>
      <c r="B14" s="15" t="s">
        <v>326</v>
      </c>
      <c r="C14" s="38">
        <v>300000</v>
      </c>
      <c r="D14" s="38">
        <f t="shared" si="0"/>
        <v>255000</v>
      </c>
    </row>
    <row r="15" spans="1:4" x14ac:dyDescent="0.6">
      <c r="A15" s="76" t="s">
        <v>334</v>
      </c>
      <c r="B15" s="76"/>
      <c r="C15" s="76"/>
      <c r="D15" s="37">
        <f>SUM(D4:D14)</f>
        <v>1282750</v>
      </c>
    </row>
    <row r="17" spans="2:4" x14ac:dyDescent="0.6">
      <c r="B17" s="75" t="s">
        <v>335</v>
      </c>
      <c r="C17" s="75"/>
      <c r="D17" s="75"/>
    </row>
    <row r="18" spans="2:4" x14ac:dyDescent="0.6">
      <c r="B18" s="15" t="s">
        <v>326</v>
      </c>
      <c r="C18" s="15" t="s">
        <v>321</v>
      </c>
      <c r="D18" s="15" t="s">
        <v>336</v>
      </c>
    </row>
    <row r="19" spans="2:4" x14ac:dyDescent="0.6">
      <c r="B19" s="35">
        <v>0.15</v>
      </c>
      <c r="C19" s="35">
        <v>0.1</v>
      </c>
      <c r="D19" s="35">
        <v>0.05</v>
      </c>
    </row>
  </sheetData>
  <scenarios current="0" sqref="D15">
    <scenario name="할인율인상" locked="1" count="3" user="Jieun Park" comment="만든 사람 Jieun Park 날짜 2023-07-16">
      <inputCells r="B19" val="1.7" numFmtId="9"/>
      <inputCells r="C19" val="1.2" numFmtId="9"/>
      <inputCells r="D19" val="0.7" numFmtId="9"/>
    </scenario>
    <scenario name="할인율인하" locked="1" count="3" user="Jieun Park" comment="만든 사람 Jieun Park 날짜 2023-07-16">
      <inputCells r="B19" val="1.2" numFmtId="9"/>
      <inputCells r="C19" val="0.7" numFmtId="9"/>
      <inputCells r="D19" val="0.2" numFmtId="9"/>
    </scenario>
  </scenarios>
  <mergeCells count="3">
    <mergeCell ref="A1:D1"/>
    <mergeCell ref="A15:C15"/>
    <mergeCell ref="B17:D17"/>
  </mergeCells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G22"/>
  <sheetViews>
    <sheetView workbookViewId="0">
      <selection activeCell="H2" sqref="H2"/>
    </sheetView>
  </sheetViews>
  <sheetFormatPr defaultRowHeight="16.899999999999999" x14ac:dyDescent="0.6"/>
  <cols>
    <col min="3" max="4" width="11.125" bestFit="1" customWidth="1"/>
    <col min="5" max="7" width="10.875" bestFit="1" customWidth="1"/>
  </cols>
  <sheetData>
    <row r="1" spans="1:7" ht="20.65" x14ac:dyDescent="0.6">
      <c r="A1" s="71" t="s">
        <v>287</v>
      </c>
      <c r="B1" s="71"/>
      <c r="C1" s="71"/>
      <c r="D1" s="71"/>
      <c r="E1" s="71"/>
      <c r="F1" s="71"/>
      <c r="G1" s="71"/>
    </row>
    <row r="3" spans="1:7" x14ac:dyDescent="0.6">
      <c r="A3" s="15" t="s">
        <v>289</v>
      </c>
      <c r="B3" s="15" t="s">
        <v>290</v>
      </c>
      <c r="C3" s="15" t="s">
        <v>291</v>
      </c>
      <c r="D3" s="15" t="s">
        <v>292</v>
      </c>
      <c r="E3" s="15" t="s">
        <v>293</v>
      </c>
      <c r="F3" s="15" t="s">
        <v>294</v>
      </c>
      <c r="G3" s="15" t="s">
        <v>295</v>
      </c>
    </row>
    <row r="4" spans="1:7" x14ac:dyDescent="0.6">
      <c r="A4" s="32">
        <v>4</v>
      </c>
      <c r="B4" s="15" t="s">
        <v>296</v>
      </c>
      <c r="C4" s="33">
        <v>44293</v>
      </c>
      <c r="D4" s="33">
        <f>C4+3</f>
        <v>44296</v>
      </c>
      <c r="E4" s="34">
        <v>400000</v>
      </c>
      <c r="F4" s="34">
        <v>450000</v>
      </c>
      <c r="G4" s="34">
        <f>F4*$B$22</f>
        <v>58500</v>
      </c>
    </row>
    <row r="5" spans="1:7" x14ac:dyDescent="0.6">
      <c r="A5" s="32">
        <v>4</v>
      </c>
      <c r="B5" s="15" t="s">
        <v>297</v>
      </c>
      <c r="C5" s="33">
        <v>44301</v>
      </c>
      <c r="D5" s="33">
        <f>C5+3</f>
        <v>44304</v>
      </c>
      <c r="E5" s="34">
        <v>1000000</v>
      </c>
      <c r="F5" s="34">
        <v>1070000</v>
      </c>
      <c r="G5" s="34">
        <f>F5*$B$22</f>
        <v>139100</v>
      </c>
    </row>
    <row r="6" spans="1:7" x14ac:dyDescent="0.6">
      <c r="A6" s="32">
        <v>4</v>
      </c>
      <c r="B6" s="15" t="s">
        <v>298</v>
      </c>
      <c r="C6" s="33">
        <v>44303</v>
      </c>
      <c r="D6" s="33">
        <f>C6+3</f>
        <v>44306</v>
      </c>
      <c r="E6" s="34">
        <v>500000</v>
      </c>
      <c r="F6" s="34">
        <f>550000</f>
        <v>550000</v>
      </c>
      <c r="G6" s="34">
        <f>F6*$B$22</f>
        <v>71500</v>
      </c>
    </row>
    <row r="7" spans="1:7" x14ac:dyDescent="0.6">
      <c r="A7" s="32">
        <v>4</v>
      </c>
      <c r="B7" s="15" t="s">
        <v>299</v>
      </c>
      <c r="C7" s="33">
        <v>44309</v>
      </c>
      <c r="D7" s="33">
        <f>C7+3</f>
        <v>44312</v>
      </c>
      <c r="E7" s="34">
        <v>100000</v>
      </c>
      <c r="F7" s="36">
        <v>430000</v>
      </c>
      <c r="G7" s="34">
        <f>F7*$B$22</f>
        <v>55900</v>
      </c>
    </row>
    <row r="8" spans="1:7" x14ac:dyDescent="0.6">
      <c r="A8" s="72" t="s">
        <v>300</v>
      </c>
      <c r="B8" s="73"/>
      <c r="C8" s="73"/>
      <c r="D8" s="74"/>
      <c r="E8" s="34">
        <f>SUM(E4:E7)</f>
        <v>2000000</v>
      </c>
      <c r="F8" s="36">
        <f>SUM(F4:F7)</f>
        <v>2500000</v>
      </c>
      <c r="G8" s="34">
        <f>SUM(G4:G7)</f>
        <v>325000</v>
      </c>
    </row>
    <row r="9" spans="1:7" x14ac:dyDescent="0.6">
      <c r="A9" s="32">
        <v>5</v>
      </c>
      <c r="B9" s="15" t="s">
        <v>288</v>
      </c>
      <c r="C9" s="33">
        <v>44322</v>
      </c>
      <c r="D9" s="33">
        <f>C9+4</f>
        <v>44326</v>
      </c>
      <c r="E9" s="34">
        <v>400000</v>
      </c>
      <c r="F9" s="34">
        <v>450000</v>
      </c>
      <c r="G9" s="34">
        <f>F9*$B$22</f>
        <v>58500</v>
      </c>
    </row>
    <row r="10" spans="1:7" x14ac:dyDescent="0.6">
      <c r="A10" s="32">
        <v>5</v>
      </c>
      <c r="B10" s="15" t="s">
        <v>297</v>
      </c>
      <c r="C10" s="33">
        <v>44326</v>
      </c>
      <c r="D10" s="33">
        <f>C10+4</f>
        <v>44330</v>
      </c>
      <c r="E10" s="34">
        <v>1000000</v>
      </c>
      <c r="F10" s="34">
        <v>480000</v>
      </c>
      <c r="G10" s="34">
        <f>F10*$B$22</f>
        <v>62400</v>
      </c>
    </row>
    <row r="11" spans="1:7" x14ac:dyDescent="0.6">
      <c r="A11" s="32">
        <v>5</v>
      </c>
      <c r="B11" s="15" t="s">
        <v>301</v>
      </c>
      <c r="C11" s="33">
        <v>44332</v>
      </c>
      <c r="D11" s="33">
        <f>C11+4</f>
        <v>44336</v>
      </c>
      <c r="E11" s="34">
        <v>450000</v>
      </c>
      <c r="F11" s="34">
        <v>480000</v>
      </c>
      <c r="G11" s="34">
        <f>F11*$B$22</f>
        <v>62400</v>
      </c>
    </row>
    <row r="12" spans="1:7" x14ac:dyDescent="0.6">
      <c r="A12" s="32">
        <v>5</v>
      </c>
      <c r="B12" s="15" t="s">
        <v>302</v>
      </c>
      <c r="C12" s="33">
        <v>44336</v>
      </c>
      <c r="D12" s="33">
        <f>C12+4</f>
        <v>44340</v>
      </c>
      <c r="E12" s="34">
        <v>500000</v>
      </c>
      <c r="F12" s="34">
        <f>550000</f>
        <v>550000</v>
      </c>
      <c r="G12" s="34">
        <f>F12*$B$22</f>
        <v>71500</v>
      </c>
    </row>
    <row r="13" spans="1:7" x14ac:dyDescent="0.6">
      <c r="A13" s="32">
        <v>5</v>
      </c>
      <c r="B13" s="15" t="s">
        <v>303</v>
      </c>
      <c r="C13" s="33">
        <v>44340</v>
      </c>
      <c r="D13" s="33">
        <f>C13+4</f>
        <v>44344</v>
      </c>
      <c r="E13" s="34">
        <v>400000</v>
      </c>
      <c r="F13" s="34">
        <v>540000</v>
      </c>
      <c r="G13" s="34">
        <f>F13*$B$22</f>
        <v>70200</v>
      </c>
    </row>
    <row r="14" spans="1:7" x14ac:dyDescent="0.6">
      <c r="A14" s="72" t="s">
        <v>304</v>
      </c>
      <c r="B14" s="73"/>
      <c r="C14" s="73"/>
      <c r="D14" s="74"/>
      <c r="E14" s="34">
        <f>SUM(E9:E13)</f>
        <v>2750000</v>
      </c>
      <c r="F14" s="34">
        <f>SUM(F9:F13)</f>
        <v>2500000</v>
      </c>
      <c r="G14" s="34">
        <f>SUM(G9:G13)</f>
        <v>325000</v>
      </c>
    </row>
    <row r="15" spans="1:7" x14ac:dyDescent="0.6">
      <c r="A15" s="32">
        <v>6</v>
      </c>
      <c r="B15" s="15" t="s">
        <v>296</v>
      </c>
      <c r="C15" s="33">
        <v>44352</v>
      </c>
      <c r="D15" s="33">
        <f>C15+3</f>
        <v>44355</v>
      </c>
      <c r="E15" s="34">
        <v>1000000</v>
      </c>
      <c r="F15" s="34">
        <v>1100000</v>
      </c>
      <c r="G15" s="34">
        <f>F15*$B$22</f>
        <v>143000</v>
      </c>
    </row>
    <row r="16" spans="1:7" x14ac:dyDescent="0.6">
      <c r="A16" s="32">
        <v>6</v>
      </c>
      <c r="B16" s="15" t="s">
        <v>305</v>
      </c>
      <c r="C16" s="33">
        <v>44360</v>
      </c>
      <c r="D16" s="33">
        <f>C16+3</f>
        <v>44363</v>
      </c>
      <c r="E16" s="34">
        <v>400000</v>
      </c>
      <c r="F16" s="34">
        <v>450000</v>
      </c>
      <c r="G16" s="34">
        <f>F16*$B$22</f>
        <v>58500</v>
      </c>
    </row>
    <row r="17" spans="1:7" x14ac:dyDescent="0.6">
      <c r="A17" s="32">
        <v>6</v>
      </c>
      <c r="B17" s="15" t="s">
        <v>306</v>
      </c>
      <c r="C17" s="33">
        <v>44364</v>
      </c>
      <c r="D17" s="33">
        <f>C17+3</f>
        <v>44367</v>
      </c>
      <c r="E17" s="34">
        <v>500000</v>
      </c>
      <c r="F17" s="34">
        <f>550000</f>
        <v>550000</v>
      </c>
      <c r="G17" s="34">
        <f>F17*$B$22</f>
        <v>71500</v>
      </c>
    </row>
    <row r="18" spans="1:7" x14ac:dyDescent="0.6">
      <c r="A18" s="32">
        <v>6</v>
      </c>
      <c r="B18" s="15" t="s">
        <v>307</v>
      </c>
      <c r="C18" s="33">
        <v>44370</v>
      </c>
      <c r="D18" s="33">
        <f>C18+3</f>
        <v>44373</v>
      </c>
      <c r="E18" s="34">
        <v>450000</v>
      </c>
      <c r="F18" s="34">
        <v>1560000</v>
      </c>
      <c r="G18" s="34">
        <f>F18*$B$22</f>
        <v>202800</v>
      </c>
    </row>
    <row r="19" spans="1:7" x14ac:dyDescent="0.6">
      <c r="A19" s="72" t="s">
        <v>308</v>
      </c>
      <c r="B19" s="73"/>
      <c r="C19" s="73"/>
      <c r="D19" s="74"/>
      <c r="E19" s="34">
        <f>SUM(E15:E18)</f>
        <v>2350000</v>
      </c>
      <c r="F19" s="34">
        <f>SUM(F15:F18)</f>
        <v>3660000</v>
      </c>
      <c r="G19" s="34">
        <f>SUM(G15:G18)</f>
        <v>475800</v>
      </c>
    </row>
    <row r="20" spans="1:7" x14ac:dyDescent="0.6">
      <c r="A20" s="76" t="s">
        <v>309</v>
      </c>
      <c r="B20" s="76"/>
      <c r="C20" s="76"/>
      <c r="D20" s="76"/>
      <c r="E20" s="76"/>
      <c r="F20" s="76"/>
      <c r="G20" s="37">
        <f>SUM(G8,G14,G19)</f>
        <v>1125800</v>
      </c>
    </row>
    <row r="22" spans="1:7" x14ac:dyDescent="0.6">
      <c r="A22" s="15" t="s">
        <v>310</v>
      </c>
      <c r="B22" s="35">
        <v>0.13</v>
      </c>
    </row>
  </sheetData>
  <mergeCells count="5">
    <mergeCell ref="A1:G1"/>
    <mergeCell ref="A8:D8"/>
    <mergeCell ref="A14:D14"/>
    <mergeCell ref="A19:D19"/>
    <mergeCell ref="A20:F20"/>
  </mergeCells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K22"/>
  <sheetViews>
    <sheetView workbookViewId="0">
      <selection activeCell="D2" sqref="D2"/>
    </sheetView>
  </sheetViews>
  <sheetFormatPr defaultRowHeight="16.899999999999999" x14ac:dyDescent="0.6"/>
  <cols>
    <col min="2" max="2" width="11.375" bestFit="1" customWidth="1"/>
    <col min="5" max="5" width="11.75" customWidth="1"/>
    <col min="6" max="8" width="12.375" bestFit="1" customWidth="1"/>
    <col min="9" max="11" width="11.75" customWidth="1"/>
  </cols>
  <sheetData>
    <row r="1" spans="1:11" ht="19.5" thickBot="1" x14ac:dyDescent="0.65">
      <c r="A1" s="77" t="s">
        <v>339</v>
      </c>
      <c r="B1" s="77"/>
    </row>
    <row r="2" spans="1:11" ht="17.25" thickTop="1" x14ac:dyDescent="0.6">
      <c r="A2" s="40" t="s">
        <v>340</v>
      </c>
      <c r="B2" s="41">
        <v>30000000</v>
      </c>
    </row>
    <row r="3" spans="1:11" x14ac:dyDescent="0.6">
      <c r="A3" s="42" t="s">
        <v>341</v>
      </c>
      <c r="B3" s="43">
        <v>3.5000000000000003E-2</v>
      </c>
    </row>
    <row r="4" spans="1:11" ht="17.25" thickBot="1" x14ac:dyDescent="0.65">
      <c r="A4" s="44" t="s">
        <v>342</v>
      </c>
      <c r="B4" s="45">
        <v>3</v>
      </c>
    </row>
    <row r="5" spans="1:11" ht="17.649999999999999" thickTop="1" thickBot="1" x14ac:dyDescent="0.65">
      <c r="F5" s="78" t="s">
        <v>338</v>
      </c>
      <c r="G5" s="79"/>
      <c r="H5" s="79"/>
      <c r="I5" s="79"/>
      <c r="J5" s="79"/>
      <c r="K5" s="80"/>
    </row>
    <row r="6" spans="1:11" ht="17.25" thickBot="1" x14ac:dyDescent="0.65">
      <c r="A6" s="46" t="s">
        <v>343</v>
      </c>
      <c r="B6" s="47">
        <f>PMT(B3/12,B4*12,-B2)</f>
        <v>879062.39180732425</v>
      </c>
      <c r="E6" s="48">
        <f>B6</f>
        <v>879062.39180732425</v>
      </c>
      <c r="F6" s="49">
        <v>0.02</v>
      </c>
      <c r="G6" s="49">
        <v>2.5000000000000001E-2</v>
      </c>
      <c r="H6" s="49">
        <v>0.03</v>
      </c>
      <c r="I6" s="49">
        <v>3.5000000000000003E-2</v>
      </c>
      <c r="J6" s="49">
        <v>0.04</v>
      </c>
      <c r="K6" s="50">
        <v>4.4999999999999998E-2</v>
      </c>
    </row>
    <row r="7" spans="1:11" x14ac:dyDescent="0.6">
      <c r="D7" s="81" t="s">
        <v>337</v>
      </c>
      <c r="E7" s="51">
        <v>1</v>
      </c>
      <c r="F7" s="38">
        <f t="dataTable" ref="F7:K13" dt2D="1" dtr="1" r1="B4" r2="B3"/>
        <v>131392861.34516954</v>
      </c>
      <c r="G7" s="38">
        <v>105366090.00867416</v>
      </c>
      <c r="H7" s="38">
        <v>88015242.609600946</v>
      </c>
      <c r="I7" s="38">
        <v>75622066.024659663</v>
      </c>
      <c r="J7" s="38">
        <v>66327433.691051751</v>
      </c>
      <c r="K7" s="52">
        <v>59098497.517308302</v>
      </c>
    </row>
    <row r="8" spans="1:11" x14ac:dyDescent="0.6">
      <c r="D8" s="82"/>
      <c r="E8" s="51">
        <v>2</v>
      </c>
      <c r="F8" s="38">
        <v>137664564.60449004</v>
      </c>
      <c r="G8" s="38">
        <v>110638588.05871648</v>
      </c>
      <c r="H8" s="38">
        <v>92622554.674012959</v>
      </c>
      <c r="I8" s="38">
        <v>79755060.134914517</v>
      </c>
      <c r="J8" s="38">
        <v>70105402.267223597</v>
      </c>
      <c r="K8" s="52">
        <v>62600968.737311572</v>
      </c>
    </row>
    <row r="9" spans="1:11" x14ac:dyDescent="0.6">
      <c r="D9" s="82"/>
      <c r="E9" s="51">
        <v>3</v>
      </c>
      <c r="F9" s="38">
        <v>143827848.61171505</v>
      </c>
      <c r="G9" s="38">
        <v>115827339.2343507</v>
      </c>
      <c r="H9" s="38">
        <v>97163121.019192263</v>
      </c>
      <c r="I9" s="38">
        <v>83833925.854182348</v>
      </c>
      <c r="J9" s="38">
        <v>73839119.60846737</v>
      </c>
      <c r="K9" s="52">
        <v>66067238.809561864</v>
      </c>
    </row>
    <row r="10" spans="1:11" x14ac:dyDescent="0.6">
      <c r="D10" s="82"/>
      <c r="E10" s="51">
        <v>4</v>
      </c>
      <c r="F10" s="38">
        <v>149893344.20963547</v>
      </c>
      <c r="G10" s="38">
        <v>120940561.48411798</v>
      </c>
      <c r="H10" s="38">
        <v>101643497.44149067</v>
      </c>
      <c r="I10" s="38">
        <v>87863985.586522818</v>
      </c>
      <c r="J10" s="38">
        <v>77532942.45814684</v>
      </c>
      <c r="K10" s="52">
        <v>69500877.055185765</v>
      </c>
    </row>
    <row r="11" spans="1:11" x14ac:dyDescent="0.6">
      <c r="D11" s="82"/>
      <c r="E11" s="51">
        <v>5</v>
      </c>
      <c r="F11" s="38">
        <v>155870033.28538036</v>
      </c>
      <c r="G11" s="38">
        <v>125985199.44093831</v>
      </c>
      <c r="H11" s="38">
        <v>106069225.29702735</v>
      </c>
      <c r="I11" s="38">
        <v>91849739.427291438</v>
      </c>
      <c r="J11" s="38">
        <v>81190555.645864621</v>
      </c>
      <c r="K11" s="52">
        <v>72904903.430174112</v>
      </c>
    </row>
    <row r="12" spans="1:11" x14ac:dyDescent="0.6">
      <c r="D12" s="82"/>
      <c r="E12" s="51">
        <v>6</v>
      </c>
      <c r="F12" s="38">
        <v>161765586.73742113</v>
      </c>
      <c r="G12" s="38">
        <v>130967185.05173515</v>
      </c>
      <c r="H12" s="38">
        <v>110445038.80438821</v>
      </c>
      <c r="I12" s="38">
        <v>95795032.877630979</v>
      </c>
      <c r="J12" s="38">
        <v>84815108.819582149</v>
      </c>
      <c r="K12" s="52">
        <v>76281900.032041967</v>
      </c>
    </row>
    <row r="13" spans="1:11" ht="17.25" thickBot="1" x14ac:dyDescent="0.65">
      <c r="D13" s="83"/>
      <c r="E13" s="53">
        <v>7</v>
      </c>
      <c r="F13" s="54">
        <v>167586618.24876711</v>
      </c>
      <c r="G13" s="54">
        <v>135891633.36421689</v>
      </c>
      <c r="H13" s="54">
        <v>114775020.8547333</v>
      </c>
      <c r="I13" s="54">
        <v>99703182.979577214</v>
      </c>
      <c r="J13" s="54">
        <v>88409319.355034813</v>
      </c>
      <c r="K13" s="55">
        <v>79634095.0941616</v>
      </c>
    </row>
    <row r="14" spans="1:11" ht="17.25" thickBot="1" x14ac:dyDescent="0.65"/>
    <row r="15" spans="1:11" ht="17.25" thickBot="1" x14ac:dyDescent="0.65">
      <c r="F15" s="48">
        <f>B6</f>
        <v>879062.39180732425</v>
      </c>
    </row>
    <row r="16" spans="1:11" x14ac:dyDescent="0.6">
      <c r="D16" s="81" t="s">
        <v>337</v>
      </c>
      <c r="E16" s="51">
        <v>1</v>
      </c>
      <c r="F16" s="56"/>
    </row>
    <row r="17" spans="4:6" x14ac:dyDescent="0.6">
      <c r="D17" s="82"/>
      <c r="E17" s="51">
        <v>2</v>
      </c>
      <c r="F17" s="56"/>
    </row>
    <row r="18" spans="4:6" x14ac:dyDescent="0.6">
      <c r="D18" s="82"/>
      <c r="E18" s="51">
        <v>3</v>
      </c>
      <c r="F18" s="56"/>
    </row>
    <row r="19" spans="4:6" x14ac:dyDescent="0.6">
      <c r="D19" s="82"/>
      <c r="E19" s="51">
        <v>4</v>
      </c>
      <c r="F19" s="56"/>
    </row>
    <row r="20" spans="4:6" x14ac:dyDescent="0.6">
      <c r="D20" s="82"/>
      <c r="E20" s="51">
        <v>5</v>
      </c>
      <c r="F20" s="56"/>
    </row>
    <row r="21" spans="4:6" x14ac:dyDescent="0.6">
      <c r="D21" s="82"/>
      <c r="E21" s="51">
        <v>6</v>
      </c>
      <c r="F21" s="56"/>
    </row>
    <row r="22" spans="4:6" ht="17.25" thickBot="1" x14ac:dyDescent="0.65">
      <c r="D22" s="83"/>
      <c r="E22" s="53">
        <v>7</v>
      </c>
      <c r="F22" s="56"/>
    </row>
  </sheetData>
  <mergeCells count="4">
    <mergeCell ref="A1:B1"/>
    <mergeCell ref="F5:K5"/>
    <mergeCell ref="D7:D13"/>
    <mergeCell ref="D16:D22"/>
  </mergeCells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J12"/>
  <sheetViews>
    <sheetView tabSelected="1" workbookViewId="0">
      <selection activeCell="D1" sqref="D1"/>
    </sheetView>
  </sheetViews>
  <sheetFormatPr defaultRowHeight="16.899999999999999" x14ac:dyDescent="0.6"/>
  <cols>
    <col min="2" max="2" width="12.375" customWidth="1"/>
    <col min="5" max="10" width="14" customWidth="1"/>
  </cols>
  <sheetData>
    <row r="1" spans="1:10" ht="19.5" thickBot="1" x14ac:dyDescent="0.65">
      <c r="A1" s="77" t="s">
        <v>344</v>
      </c>
      <c r="B1" s="77"/>
    </row>
    <row r="2" spans="1:10" x14ac:dyDescent="0.6">
      <c r="A2" s="57" t="s">
        <v>345</v>
      </c>
      <c r="B2" s="58">
        <v>10</v>
      </c>
    </row>
    <row r="3" spans="1:10" ht="17.25" thickBot="1" x14ac:dyDescent="0.65">
      <c r="A3" s="51" t="s">
        <v>346</v>
      </c>
      <c r="B3" s="52">
        <v>1250000</v>
      </c>
    </row>
    <row r="4" spans="1:10" ht="17.25" thickBot="1" x14ac:dyDescent="0.65">
      <c r="A4" s="51" t="s">
        <v>347</v>
      </c>
      <c r="B4" s="59">
        <f>B2*B3</f>
        <v>12500000</v>
      </c>
      <c r="F4" s="78" t="s">
        <v>346</v>
      </c>
      <c r="G4" s="79"/>
      <c r="H4" s="79"/>
      <c r="I4" s="79"/>
      <c r="J4" s="80"/>
    </row>
    <row r="5" spans="1:10" ht="17.649999999999999" thickTop="1" thickBot="1" x14ac:dyDescent="0.65">
      <c r="A5" s="53" t="s">
        <v>348</v>
      </c>
      <c r="B5" s="60">
        <v>0.15</v>
      </c>
      <c r="E5" s="61">
        <f>B7</f>
        <v>1875000</v>
      </c>
      <c r="F5" s="62">
        <v>1250000</v>
      </c>
      <c r="G5" s="62">
        <v>1300000</v>
      </c>
      <c r="H5" s="62">
        <v>1350000</v>
      </c>
      <c r="I5" s="62">
        <v>1400000</v>
      </c>
      <c r="J5" s="63">
        <v>1450000</v>
      </c>
    </row>
    <row r="6" spans="1:10" ht="17.25" thickBot="1" x14ac:dyDescent="0.65">
      <c r="A6" s="39"/>
      <c r="D6" s="81" t="s">
        <v>345</v>
      </c>
      <c r="E6" s="64">
        <v>5</v>
      </c>
      <c r="F6" s="38">
        <f t="dataTable" ref="F6:J12" dt2D="1" dtr="1" r1="B2" r2="B3"/>
        <v>937500</v>
      </c>
      <c r="G6" s="38">
        <v>975000</v>
      </c>
      <c r="H6" s="38">
        <v>1012500</v>
      </c>
      <c r="I6" s="38">
        <v>1050000</v>
      </c>
      <c r="J6" s="65">
        <v>1087500</v>
      </c>
    </row>
    <row r="7" spans="1:10" ht="17.25" thickBot="1" x14ac:dyDescent="0.65">
      <c r="A7" s="66" t="s">
        <v>349</v>
      </c>
      <c r="B7" s="67">
        <f>B4*B5</f>
        <v>1875000</v>
      </c>
      <c r="D7" s="82"/>
      <c r="E7" s="64">
        <v>10</v>
      </c>
      <c r="F7" s="38">
        <v>1875000</v>
      </c>
      <c r="G7" s="38">
        <v>1950000</v>
      </c>
      <c r="H7" s="38">
        <v>2025000</v>
      </c>
      <c r="I7" s="38">
        <v>2100000</v>
      </c>
      <c r="J7" s="65">
        <v>2175000</v>
      </c>
    </row>
    <row r="8" spans="1:10" x14ac:dyDescent="0.6">
      <c r="D8" s="82"/>
      <c r="E8" s="64">
        <v>15</v>
      </c>
      <c r="F8" s="38">
        <v>2812500</v>
      </c>
      <c r="G8" s="38">
        <v>2925000</v>
      </c>
      <c r="H8" s="38">
        <v>3037500</v>
      </c>
      <c r="I8" s="38">
        <v>3150000</v>
      </c>
      <c r="J8" s="65">
        <v>3262500</v>
      </c>
    </row>
    <row r="9" spans="1:10" x14ac:dyDescent="0.6">
      <c r="D9" s="82"/>
      <c r="E9" s="64">
        <v>20</v>
      </c>
      <c r="F9" s="38">
        <v>3750000</v>
      </c>
      <c r="G9" s="38">
        <v>3900000</v>
      </c>
      <c r="H9" s="38">
        <v>4050000</v>
      </c>
      <c r="I9" s="38">
        <v>4200000</v>
      </c>
      <c r="J9" s="65">
        <v>4350000</v>
      </c>
    </row>
    <row r="10" spans="1:10" x14ac:dyDescent="0.6">
      <c r="D10" s="82"/>
      <c r="E10" s="64">
        <v>25</v>
      </c>
      <c r="F10" s="38">
        <v>4687500</v>
      </c>
      <c r="G10" s="38">
        <v>4875000</v>
      </c>
      <c r="H10" s="38">
        <v>5062500</v>
      </c>
      <c r="I10" s="38">
        <v>5250000</v>
      </c>
      <c r="J10" s="65">
        <v>5437500</v>
      </c>
    </row>
    <row r="11" spans="1:10" x14ac:dyDescent="0.6">
      <c r="D11" s="82"/>
      <c r="E11" s="64">
        <v>30</v>
      </c>
      <c r="F11" s="38">
        <v>5625000</v>
      </c>
      <c r="G11" s="38">
        <v>5850000</v>
      </c>
      <c r="H11" s="38">
        <v>6075000</v>
      </c>
      <c r="I11" s="38">
        <v>6300000</v>
      </c>
      <c r="J11" s="65">
        <v>6525000</v>
      </c>
    </row>
    <row r="12" spans="1:10" ht="17.25" thickBot="1" x14ac:dyDescent="0.65">
      <c r="D12" s="83"/>
      <c r="E12" s="68">
        <v>35</v>
      </c>
      <c r="F12" s="69">
        <v>6562500</v>
      </c>
      <c r="G12" s="69">
        <v>6825000</v>
      </c>
      <c r="H12" s="69">
        <v>7087500</v>
      </c>
      <c r="I12" s="69">
        <v>7350000</v>
      </c>
      <c r="J12" s="70">
        <v>7612500</v>
      </c>
    </row>
  </sheetData>
  <mergeCells count="3">
    <mergeCell ref="A1:B1"/>
    <mergeCell ref="F4:J4"/>
    <mergeCell ref="D6:D12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8</vt:i4>
      </vt:variant>
    </vt:vector>
  </HeadingPairs>
  <TitlesOfParts>
    <vt:vector size="24" baseType="lpstr">
      <vt:lpstr>홈</vt:lpstr>
      <vt:lpstr>유효성 검사 규칙1</vt:lpstr>
      <vt:lpstr>유효성 검사 규칙2</vt:lpstr>
      <vt:lpstr>유효성 검사 규칙3</vt:lpstr>
      <vt:lpstr>유효성 검사 규칙4</vt:lpstr>
      <vt:lpstr>유효성 검사 규칙5</vt:lpstr>
      <vt:lpstr>유효성 검사 규칙6</vt:lpstr>
      <vt:lpstr>부분합</vt:lpstr>
      <vt:lpstr>통합-텍스트 나누기</vt:lpstr>
      <vt:lpstr>시나리오 요약</vt:lpstr>
      <vt:lpstr>시나리오1</vt:lpstr>
      <vt:lpstr>시나리오 요약 2</vt:lpstr>
      <vt:lpstr>시나리오2</vt:lpstr>
      <vt:lpstr>목표값찾기</vt:lpstr>
      <vt:lpstr>데이터 표1</vt:lpstr>
      <vt:lpstr>데이터표 2</vt:lpstr>
      <vt:lpstr>골드회원</vt:lpstr>
      <vt:lpstr>브론즈회원</vt:lpstr>
      <vt:lpstr>세율</vt:lpstr>
      <vt:lpstr>소계4월</vt:lpstr>
      <vt:lpstr>소계5월</vt:lpstr>
      <vt:lpstr>소계6월</vt:lpstr>
      <vt:lpstr>실매출액합계</vt:lpstr>
      <vt:lpstr>실버회원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Jieun Park</cp:lastModifiedBy>
  <dcterms:created xsi:type="dcterms:W3CDTF">2022-01-11T01:03:54Z</dcterms:created>
  <dcterms:modified xsi:type="dcterms:W3CDTF">2023-07-15T17:36:21Z</dcterms:modified>
</cp:coreProperties>
</file>