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Craftsman_Information_Processing\Spreadsheet&amp;Access3.0\04_사용자정의함수,피벗테이블\"/>
    </mc:Choice>
  </mc:AlternateContent>
  <xr:revisionPtr revIDLastSave="0" documentId="13_ncr:1_{A80C49B2-5514-45D6-B16A-C6AF9971966C}" xr6:coauthVersionLast="47" xr6:coauthVersionMax="47" xr10:uidLastSave="{00000000-0000-0000-0000-000000000000}"/>
  <bookViews>
    <workbookView xWindow="-98" yWindow="-98" windowWidth="21795" windowHeight="12975" tabRatio="888" firstSheet="3" activeTab="10" xr2:uid="{00000000-000D-0000-FFFF-FFFF00000000}"/>
  </bookViews>
  <sheets>
    <sheet name="홈" sheetId="45" r:id="rId1"/>
    <sheet name="사용자정의함수1" sheetId="32" r:id="rId2"/>
    <sheet name="사용자정의함수2" sheetId="33" r:id="rId3"/>
    <sheet name="사용자정의함수3" sheetId="39" r:id="rId4"/>
    <sheet name="사용자정의함수4" sheetId="66" r:id="rId5"/>
    <sheet name="사용자정의함수5" sheetId="36" r:id="rId6"/>
    <sheet name="사용자정의함수6" sheetId="38" r:id="rId7"/>
    <sheet name="사용자정의함수7" sheetId="40" r:id="rId8"/>
    <sheet name="사용자정의함수8" sheetId="67" r:id="rId9"/>
    <sheet name="사용자정의함수9" sheetId="37" r:id="rId10"/>
    <sheet name="사용자정의함수10" sheetId="68" r:id="rId11"/>
    <sheet name="피벗테이블1" sheetId="81" r:id="rId12"/>
    <sheet name="피벗테이블2" sheetId="80" r:id="rId13"/>
    <sheet name="피벗테이블3" sheetId="79" r:id="rId14"/>
    <sheet name="피벗테이블4" sheetId="78" r:id="rId15"/>
    <sheet name="피벗테이블5" sheetId="77" r:id="rId16"/>
  </sheets>
  <functionGroups builtInGroupCount="19"/>
  <externalReferences>
    <externalReference r:id="rId17"/>
    <externalReference r:id="rId18"/>
    <externalReference r:id="rId19"/>
  </externalReferences>
  <definedNames>
    <definedName name="_xlnm._FilterDatabase" localSheetId="1" hidden="1">사용자정의함수1!#REF!</definedName>
    <definedName name="_xlnm._FilterDatabase" localSheetId="10" hidden="1">사용자정의함수10!$B$3:$J$25</definedName>
    <definedName name="_xlnm._FilterDatabase" localSheetId="2" hidden="1">사용자정의함수2!#REF!</definedName>
    <definedName name="_xlnm._FilterDatabase" localSheetId="3" hidden="1">사용자정의함수3!#REF!</definedName>
    <definedName name="_xlnm._FilterDatabase" localSheetId="4" hidden="1">사용자정의함수4!#REF!</definedName>
    <definedName name="_xlnm._FilterDatabase" localSheetId="5" hidden="1">사용자정의함수5!$B$2:$H$32</definedName>
    <definedName name="_xlnm._FilterDatabase" localSheetId="6" hidden="1">사용자정의함수6!$B$3:$I$40</definedName>
    <definedName name="_xlnm._FilterDatabase" localSheetId="7" hidden="1">사용자정의함수7!$B$3:$I$40</definedName>
    <definedName name="_xlnm._FilterDatabase" localSheetId="8" hidden="1">사용자정의함수8!$B$3:$I$40</definedName>
    <definedName name="_xlnm._FilterDatabase" localSheetId="9" hidden="1">사용자정의함수9!$B$3:$J$25</definedName>
    <definedName name="AAA" localSheetId="10">'[1]6.기타함수'!#REF!</definedName>
    <definedName name="AAA" localSheetId="4">'[1]6.기타함수'!#REF!</definedName>
    <definedName name="AAA" localSheetId="8">'[1]6.기타함수'!#REF!</definedName>
    <definedName name="AAA">'[1]6.기타함수'!#REF!</definedName>
    <definedName name="_xlnm.Criteria" localSheetId="1">사용자정의함수1!#REF!</definedName>
    <definedName name="_xlnm.Criteria" localSheetId="10">사용자정의함수10!#REF!</definedName>
    <definedName name="_xlnm.Criteria" localSheetId="2">사용자정의함수2!#REF!</definedName>
    <definedName name="_xlnm.Criteria" localSheetId="3">사용자정의함수3!#REF!</definedName>
    <definedName name="_xlnm.Criteria" localSheetId="4">사용자정의함수4!#REF!</definedName>
    <definedName name="_xlnm.Criteria" localSheetId="5">사용자정의함수5!#REF!</definedName>
    <definedName name="_xlnm.Criteria" localSheetId="6">사용자정의함수6!#REF!</definedName>
    <definedName name="_xlnm.Criteria" localSheetId="7">사용자정의함수7!#REF!</definedName>
    <definedName name="_xlnm.Criteria" localSheetId="8">사용자정의함수8!#REF!</definedName>
    <definedName name="_xlnm.Criteria" localSheetId="9">사용자정의함수9!#REF!</definedName>
    <definedName name="_xlnm.Extract" localSheetId="1">사용자정의함수1!#REF!</definedName>
    <definedName name="_xlnm.Extract" localSheetId="10">사용자정의함수10!#REF!</definedName>
    <definedName name="_xlnm.Extract" localSheetId="2">사용자정의함수2!#REF!</definedName>
    <definedName name="_xlnm.Extract" localSheetId="3">사용자정의함수3!#REF!</definedName>
    <definedName name="_xlnm.Extract" localSheetId="4">사용자정의함수4!#REF!</definedName>
    <definedName name="_xlnm.Extract" localSheetId="5">사용자정의함수5!#REF!</definedName>
    <definedName name="_xlnm.Extract" localSheetId="6">사용자정의함수6!#REF!</definedName>
    <definedName name="_xlnm.Extract" localSheetId="7">사용자정의함수7!#REF!</definedName>
    <definedName name="_xlnm.Extract" localSheetId="8">사용자정의함수8!#REF!</definedName>
    <definedName name="_xlnm.Extract" localSheetId="9">사용자정의함수9!#REF!</definedName>
    <definedName name="삼학년">'[2]3학년입력'!$E$1:$E$65536</definedName>
    <definedName name="생산량">'[1]시나리오1(예제)'!$B$3</definedName>
    <definedName name="이학년">'[2]2학년입력'!$E$1:$E$65536</definedName>
    <definedName name="일학년">'[2]1학년입력'!$E$1:$E$65536</definedName>
    <definedName name="재고단가">'[1]시나리오1(예제)'!$B$6</definedName>
    <definedName name="재고량">'[1]시나리오1(예제)'!$B$9</definedName>
    <definedName name="재고비용">'[1]시나리오1(예제)'!$B$10</definedName>
    <definedName name="제품명" localSheetId="1">'[1]6.기타함수'!#REF!</definedName>
    <definedName name="제품명" localSheetId="10">'[1]6.기타함수'!#REF!</definedName>
    <definedName name="제품명" localSheetId="2">'[1]6.기타함수'!#REF!</definedName>
    <definedName name="제품명" localSheetId="3">'[1]6.기타함수'!#REF!</definedName>
    <definedName name="제품명" localSheetId="4">'[1]6.기타함수'!#REF!</definedName>
    <definedName name="제품명" localSheetId="5">'[1]6.기타함수'!#REF!</definedName>
    <definedName name="제품명" localSheetId="6">'[1]6.기타함수'!#REF!</definedName>
    <definedName name="제품명" localSheetId="7">'[1]6.기타함수'!#REF!</definedName>
    <definedName name="제품명" localSheetId="8">'[1]6.기타함수'!#REF!</definedName>
    <definedName name="제품명" localSheetId="9">'[1]6.기타함수'!#REF!</definedName>
    <definedName name="제품명">'[1]6.기타함수'!#REF!</definedName>
    <definedName name="주문처" localSheetId="1">'[1]6.기타함수'!#REF!</definedName>
    <definedName name="주문처" localSheetId="10">'[1]6.기타함수'!#REF!</definedName>
    <definedName name="주문처" localSheetId="2">'[1]6.기타함수'!#REF!</definedName>
    <definedName name="주문처" localSheetId="3">'[1]6.기타함수'!#REF!</definedName>
    <definedName name="주문처" localSheetId="4">'[1]6.기타함수'!#REF!</definedName>
    <definedName name="주문처" localSheetId="5">'[1]6.기타함수'!#REF!</definedName>
    <definedName name="주문처" localSheetId="6">'[1]6.기타함수'!#REF!</definedName>
    <definedName name="주문처" localSheetId="7">'[1]6.기타함수'!#REF!</definedName>
    <definedName name="주문처" localSheetId="8">'[1]6.기타함수'!#REF!</definedName>
    <definedName name="주문처" localSheetId="9">'[1]6.기타함수'!#REF!</definedName>
    <definedName name="주문처">'[1]6.기타함수'!#REF!</definedName>
    <definedName name="판매가격" localSheetId="1">[1]문서1_기초!#REF!</definedName>
    <definedName name="판매가격" localSheetId="10">[1]문서1_기초!#REF!</definedName>
    <definedName name="판매가격" localSheetId="2">[1]문서1_기초!#REF!</definedName>
    <definedName name="판매가격" localSheetId="3">[1]문서1_기초!#REF!</definedName>
    <definedName name="판매가격" localSheetId="4">[1]문서1_기초!#REF!</definedName>
    <definedName name="판매가격" localSheetId="5">[1]문서1_기초!#REF!</definedName>
    <definedName name="판매가격" localSheetId="6">[1]문서1_기초!#REF!</definedName>
    <definedName name="판매가격" localSheetId="7">[1]문서1_기초!#REF!</definedName>
    <definedName name="판매가격" localSheetId="8">[1]문서1_기초!#REF!</definedName>
    <definedName name="판매가격" localSheetId="9">[1]문서1_기초!#REF!</definedName>
    <definedName name="판매가격">[1]문서1_기초!#REF!</definedName>
    <definedName name="판매단가">'[1]시나리오1(예제)'!$B$5</definedName>
    <definedName name="판매량">'[1]시나리오1(예제)'!$B$4</definedName>
    <definedName name="판매액">'[1]시나리오1(예제)'!$B$8</definedName>
    <definedName name="학생수">'[3]서식(결과)'!$G$5:$H$19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68" l="1" a="1"/>
  <c r="K13" i="68" a="1"/>
  <c r="K21" i="68" a="1"/>
  <c r="K6" i="68" a="1"/>
  <c r="K14" i="68" a="1"/>
  <c r="K22" i="68" a="1"/>
  <c r="K7" i="68" a="1"/>
  <c r="K15" i="68" a="1"/>
  <c r="K23" i="68" a="1"/>
  <c r="K8" i="68" a="1"/>
  <c r="K16" i="68" a="1"/>
  <c r="K24" i="68" a="1"/>
  <c r="K9" i="68" a="1"/>
  <c r="K17" i="68" a="1"/>
  <c r="K25" i="68" a="1"/>
  <c r="K10" i="68" a="1"/>
  <c r="K18" i="68" a="1"/>
  <c r="K11" i="68" a="1"/>
  <c r="K19" i="68" a="1"/>
  <c r="K12" i="68" a="1"/>
  <c r="K20" i="68" a="1"/>
  <c r="K4" i="68" a="1"/>
  <c r="K5" i="37" a="1"/>
  <c r="K13" i="37" a="1"/>
  <c r="K21" i="37" a="1"/>
  <c r="K6" i="37" a="1"/>
  <c r="K22" i="37" a="1"/>
  <c r="K15" i="37" a="1"/>
  <c r="K10" i="37" a="1"/>
  <c r="K20" i="37" a="1"/>
  <c r="K14" i="37" a="1"/>
  <c r="K7" i="37" a="1"/>
  <c r="K23" i="37" a="1"/>
  <c r="K19" i="37" a="1"/>
  <c r="K8" i="37" a="1"/>
  <c r="K16" i="37" a="1"/>
  <c r="K24" i="37" a="1"/>
  <c r="K9" i="37" a="1"/>
  <c r="K17" i="37" a="1"/>
  <c r="K25" i="37" a="1"/>
  <c r="K18" i="37" a="1"/>
  <c r="K11" i="37" a="1"/>
  <c r="K12" i="37" a="1"/>
  <c r="K4" i="37" a="1"/>
  <c r="I5" i="67" a="1"/>
  <c r="I13" i="67" a="1"/>
  <c r="I21" i="67" a="1"/>
  <c r="I29" i="67" a="1"/>
  <c r="I37" i="67" a="1"/>
  <c r="I6" i="67" a="1"/>
  <c r="I14" i="67" a="1"/>
  <c r="I22" i="67" a="1"/>
  <c r="I30" i="67" a="1"/>
  <c r="I38" i="67" a="1"/>
  <c r="I7" i="67" a="1"/>
  <c r="I15" i="67" a="1"/>
  <c r="I23" i="67" a="1"/>
  <c r="I31" i="67" a="1"/>
  <c r="I39" i="67" a="1"/>
  <c r="I8" i="67" a="1"/>
  <c r="I16" i="67" a="1"/>
  <c r="I24" i="67" a="1"/>
  <c r="I32" i="67" a="1"/>
  <c r="I40" i="67" a="1"/>
  <c r="I9" i="67" a="1"/>
  <c r="I17" i="67" a="1"/>
  <c r="I25" i="67" a="1"/>
  <c r="I33" i="67" a="1"/>
  <c r="I10" i="67" a="1"/>
  <c r="I18" i="67" a="1"/>
  <c r="I26" i="67" a="1"/>
  <c r="I34" i="67" a="1"/>
  <c r="I11" i="67" a="1"/>
  <c r="I19" i="67" a="1"/>
  <c r="I27" i="67" a="1"/>
  <c r="I35" i="67" a="1"/>
  <c r="I12" i="67" a="1"/>
  <c r="I20" i="67" a="1"/>
  <c r="I28" i="67" a="1"/>
  <c r="I36" i="67" a="1"/>
  <c r="I4" i="67" a="1"/>
  <c r="I5" i="40" a="1"/>
  <c r="I6" i="40" a="1"/>
  <c r="I14" i="40" a="1"/>
  <c r="I22" i="40" a="1"/>
  <c r="I30" i="40" a="1"/>
  <c r="I38" i="40" a="1"/>
  <c r="I10" i="40" a="1"/>
  <c r="I11" i="40" a="1"/>
  <c r="I35" i="40" a="1"/>
  <c r="I12" i="40" a="1"/>
  <c r="I28" i="40" a="1"/>
  <c r="I13" i="40" a="1"/>
  <c r="I7" i="40" a="1"/>
  <c r="I15" i="40" a="1"/>
  <c r="I23" i="40" a="1"/>
  <c r="I31" i="40" a="1"/>
  <c r="I39" i="40" a="1"/>
  <c r="I26" i="40" a="1"/>
  <c r="I34" i="40" a="1"/>
  <c r="I19" i="40" a="1"/>
  <c r="I21" i="40" a="1"/>
  <c r="I37" i="40" a="1"/>
  <c r="I20" i="40" a="1"/>
  <c r="I8" i="40" a="1"/>
  <c r="I16" i="40" a="1"/>
  <c r="I24" i="40" a="1"/>
  <c r="I32" i="40" a="1"/>
  <c r="I40" i="40" a="1"/>
  <c r="I9" i="40" a="1"/>
  <c r="I17" i="40" a="1"/>
  <c r="I25" i="40" a="1"/>
  <c r="I33" i="40" a="1"/>
  <c r="I18" i="40" a="1"/>
  <c r="I27" i="40" a="1"/>
  <c r="I36" i="40" a="1"/>
  <c r="I29" i="40" a="1"/>
  <c r="I4" i="40" a="1"/>
  <c r="J5" i="38" a="1"/>
  <c r="J13" i="38" a="1"/>
  <c r="J21" i="38" a="1"/>
  <c r="J29" i="38" a="1"/>
  <c r="J37" i="38" a="1"/>
  <c r="J6" i="38" a="1"/>
  <c r="J14" i="38" a="1"/>
  <c r="J22" i="38" a="1"/>
  <c r="J30" i="38" a="1"/>
  <c r="J38" i="38" a="1"/>
  <c r="J7" i="38" a="1"/>
  <c r="J15" i="38" a="1"/>
  <c r="J23" i="38" a="1"/>
  <c r="J31" i="38" a="1"/>
  <c r="J39" i="38" a="1"/>
  <c r="J8" i="38" a="1"/>
  <c r="J16" i="38" a="1"/>
  <c r="J24" i="38" a="1"/>
  <c r="J32" i="38" a="1"/>
  <c r="J40" i="38" a="1"/>
  <c r="J9" i="38" a="1"/>
  <c r="J17" i="38" a="1"/>
  <c r="J25" i="38" a="1"/>
  <c r="J33" i="38" a="1"/>
  <c r="J10" i="38" a="1"/>
  <c r="J18" i="38" a="1"/>
  <c r="J26" i="38" a="1"/>
  <c r="J34" i="38" a="1"/>
  <c r="J11" i="38" a="1"/>
  <c r="J19" i="38" a="1"/>
  <c r="J27" i="38" a="1"/>
  <c r="J35" i="38" a="1"/>
  <c r="J12" i="38" a="1"/>
  <c r="J20" i="38" a="1"/>
  <c r="J28" i="38" a="1"/>
  <c r="J36" i="38" a="1"/>
  <c r="J4" i="38" a="1"/>
  <c r="I5" i="36" a="1"/>
  <c r="I13" i="36" a="1"/>
  <c r="I21" i="36" a="1"/>
  <c r="I29" i="36" a="1"/>
  <c r="I24" i="36" a="1"/>
  <c r="I32" i="36" a="1"/>
  <c r="I17" i="36" a="1"/>
  <c r="I33" i="36" a="1"/>
  <c r="I18" i="36" a="1"/>
  <c r="I12" i="36" a="1"/>
  <c r="I6" i="36" a="1"/>
  <c r="I14" i="36" a="1"/>
  <c r="I22" i="36" a="1"/>
  <c r="I30" i="36" a="1"/>
  <c r="I15" i="36" a="1"/>
  <c r="I23" i="36" a="1"/>
  <c r="I31" i="36" a="1"/>
  <c r="I16" i="36" a="1"/>
  <c r="I9" i="36" a="1"/>
  <c r="I10" i="36" a="1"/>
  <c r="I11" i="36" a="1"/>
  <c r="I25" i="36" a="1"/>
  <c r="I20" i="36" a="1"/>
  <c r="I7" i="36" a="1"/>
  <c r="I19" i="36" a="1"/>
  <c r="I28" i="36" a="1"/>
  <c r="I8" i="36" a="1"/>
  <c r="I26" i="36" a="1"/>
  <c r="I27" i="36" a="1"/>
  <c r="I4" i="36" a="1"/>
  <c r="K5" i="66" a="1"/>
  <c r="K13" i="66" a="1"/>
  <c r="K21" i="66" a="1"/>
  <c r="K29" i="66" a="1"/>
  <c r="K6" i="66" a="1"/>
  <c r="K14" i="66" a="1"/>
  <c r="K22" i="66" a="1"/>
  <c r="K30" i="66" a="1"/>
  <c r="K7" i="66" a="1"/>
  <c r="K23" i="66" a="1"/>
  <c r="K31" i="66" a="1"/>
  <c r="K16" i="66" a="1"/>
  <c r="K24" i="66" a="1"/>
  <c r="K17" i="66" a="1"/>
  <c r="K33" i="66" a="1"/>
  <c r="K10" i="66" a="1"/>
  <c r="K26" i="66" a="1"/>
  <c r="K19" i="66" a="1"/>
  <c r="K20" i="66" a="1"/>
  <c r="K15" i="66" a="1"/>
  <c r="K8" i="66" a="1"/>
  <c r="K32" i="66" a="1"/>
  <c r="K9" i="66" a="1"/>
  <c r="K25" i="66" a="1"/>
  <c r="K18" i="66" a="1"/>
  <c r="K11" i="66" a="1"/>
  <c r="K27" i="66" a="1"/>
  <c r="K12" i="66" a="1"/>
  <c r="K28" i="66" a="1"/>
  <c r="K4" i="66" a="1"/>
  <c r="K5" i="39" a="1"/>
  <c r="K13" i="39" a="1"/>
  <c r="K21" i="39" a="1"/>
  <c r="K29" i="39" a="1"/>
  <c r="K6" i="39" a="1"/>
  <c r="K22" i="39" a="1"/>
  <c r="K30" i="39" a="1"/>
  <c r="K7" i="39" a="1"/>
  <c r="K23" i="39" a="1"/>
  <c r="K16" i="39" a="1"/>
  <c r="K32" i="39" a="1"/>
  <c r="K17" i="39" a="1"/>
  <c r="K33" i="39" a="1"/>
  <c r="K10" i="39" a="1"/>
  <c r="K26" i="39" a="1"/>
  <c r="K19" i="39" a="1"/>
  <c r="K27" i="39" a="1"/>
  <c r="K12" i="39" a="1"/>
  <c r="K28" i="39" a="1"/>
  <c r="K14" i="39" a="1"/>
  <c r="K15" i="39" a="1"/>
  <c r="K31" i="39" a="1"/>
  <c r="K8" i="39" a="1"/>
  <c r="K24" i="39" a="1"/>
  <c r="K9" i="39" a="1"/>
  <c r="K25" i="39" a="1"/>
  <c r="K18" i="39" a="1"/>
  <c r="K11" i="39" a="1"/>
  <c r="K20" i="39" a="1"/>
  <c r="K4" i="39" a="1"/>
  <c r="J5" i="33" a="1"/>
  <c r="J13" i="33" a="1"/>
  <c r="J21" i="33" a="1"/>
  <c r="J29" i="33" a="1"/>
  <c r="J37" i="33" a="1"/>
  <c r="J6" i="33" a="1"/>
  <c r="J22" i="33" a="1"/>
  <c r="J30" i="33" a="1"/>
  <c r="J38" i="33" a="1"/>
  <c r="J15" i="33" a="1"/>
  <c r="J23" i="33" a="1"/>
  <c r="J39" i="33" a="1"/>
  <c r="J16" i="33" a="1"/>
  <c r="J32" i="33" a="1"/>
  <c r="J40" i="33" a="1"/>
  <c r="J17" i="33" a="1"/>
  <c r="J33" i="33" a="1"/>
  <c r="J10" i="33" a="1"/>
  <c r="J26" i="33" a="1"/>
  <c r="J42" i="33" a="1"/>
  <c r="J11" i="33" a="1"/>
  <c r="J27" i="33" a="1"/>
  <c r="J12" i="33" a="1"/>
  <c r="J28" i="33" a="1"/>
  <c r="J14" i="33" a="1"/>
  <c r="J7" i="33" a="1"/>
  <c r="J31" i="33" a="1"/>
  <c r="J8" i="33" a="1"/>
  <c r="J24" i="33" a="1"/>
  <c r="J9" i="33" a="1"/>
  <c r="J25" i="33" a="1"/>
  <c r="J41" i="33" a="1"/>
  <c r="J18" i="33" a="1"/>
  <c r="J34" i="33" a="1"/>
  <c r="J19" i="33" a="1"/>
  <c r="J35" i="33" a="1"/>
  <c r="J20" i="33" a="1"/>
  <c r="J36" i="33" a="1"/>
  <c r="J4" i="33" a="1"/>
  <c r="H5" i="32" a="1"/>
  <c r="H13" i="32" a="1"/>
  <c r="H21" i="32" a="1"/>
  <c r="H29" i="32" a="1"/>
  <c r="H37" i="32" a="1"/>
  <c r="H14" i="32" a="1"/>
  <c r="H27" i="32" a="1"/>
  <c r="H6" i="32" a="1"/>
  <c r="H22" i="32" a="1"/>
  <c r="H30" i="32" a="1"/>
  <c r="H38" i="32" a="1"/>
  <c r="H7" i="32" a="1"/>
  <c r="H15" i="32" a="1"/>
  <c r="H23" i="32" a="1"/>
  <c r="H31" i="32" a="1"/>
  <c r="H39" i="32" a="1"/>
  <c r="H8" i="32" a="1"/>
  <c r="H16" i="32" a="1"/>
  <c r="H24" i="32" a="1"/>
  <c r="H32" i="32" a="1"/>
  <c r="H9" i="32" a="1"/>
  <c r="H17" i="32" a="1"/>
  <c r="H25" i="32" a="1"/>
  <c r="H33" i="32" a="1"/>
  <c r="H10" i="32" a="1"/>
  <c r="H18" i="32" a="1"/>
  <c r="H26" i="32" a="1"/>
  <c r="H34" i="32" a="1"/>
  <c r="H11" i="32" a="1"/>
  <c r="H19" i="32" a="1"/>
  <c r="H35" i="32" a="1"/>
  <c r="H12" i="32" a="1"/>
  <c r="H20" i="32" a="1"/>
  <c r="H28" i="32" a="1"/>
  <c r="H36" i="32" a="1"/>
  <c r="H4" i="32" a="1"/>
  <c r="K20" i="68" l="1"/>
  <c r="K12" i="68"/>
  <c r="K19" i="68"/>
  <c r="K11" i="68"/>
  <c r="K18" i="68"/>
  <c r="K10" i="68"/>
  <c r="K25" i="68"/>
  <c r="K17" i="68"/>
  <c r="K9" i="68"/>
  <c r="K24" i="68"/>
  <c r="K16" i="68"/>
  <c r="K8" i="68"/>
  <c r="K23" i="68"/>
  <c r="K15" i="68"/>
  <c r="K7" i="68"/>
  <c r="K22" i="68"/>
  <c r="K14" i="68"/>
  <c r="K6" i="68"/>
  <c r="K21" i="68"/>
  <c r="K13" i="68"/>
  <c r="K5" i="68"/>
  <c r="K4" i="68"/>
  <c r="K12" i="37"/>
  <c r="K11" i="37"/>
  <c r="K18" i="37"/>
  <c r="K25" i="37"/>
  <c r="K17" i="37"/>
  <c r="K9" i="37"/>
  <c r="K24" i="37"/>
  <c r="K16" i="37"/>
  <c r="K8" i="37"/>
  <c r="K19" i="37"/>
  <c r="K23" i="37"/>
  <c r="K7" i="37"/>
  <c r="K14" i="37"/>
  <c r="K20" i="37"/>
  <c r="K10" i="37"/>
  <c r="K15" i="37"/>
  <c r="K22" i="37"/>
  <c r="K6" i="37"/>
  <c r="K21" i="37"/>
  <c r="K13" i="37"/>
  <c r="K5" i="37"/>
  <c r="K4" i="37"/>
  <c r="I36" i="67"/>
  <c r="I28" i="67"/>
  <c r="I20" i="67"/>
  <c r="I12" i="67"/>
  <c r="I35" i="67"/>
  <c r="I27" i="67"/>
  <c r="I19" i="67"/>
  <c r="I11" i="67"/>
  <c r="I34" i="67"/>
  <c r="I26" i="67"/>
  <c r="I18" i="67"/>
  <c r="I10" i="67"/>
  <c r="I33" i="67"/>
  <c r="I25" i="67"/>
  <c r="I17" i="67"/>
  <c r="I9" i="67"/>
  <c r="I40" i="67"/>
  <c r="I32" i="67"/>
  <c r="I24" i="67"/>
  <c r="I16" i="67"/>
  <c r="I8" i="67"/>
  <c r="I39" i="67"/>
  <c r="I31" i="67"/>
  <c r="I23" i="67"/>
  <c r="I15" i="67"/>
  <c r="I7" i="67"/>
  <c r="I38" i="67"/>
  <c r="I30" i="67"/>
  <c r="I22" i="67"/>
  <c r="I14" i="67"/>
  <c r="I6" i="67"/>
  <c r="I37" i="67"/>
  <c r="I29" i="67"/>
  <c r="I21" i="67"/>
  <c r="I13" i="67"/>
  <c r="I5" i="67"/>
  <c r="I4" i="67"/>
  <c r="I29" i="40"/>
  <c r="I36" i="40"/>
  <c r="I27" i="40"/>
  <c r="I18" i="40"/>
  <c r="I33" i="40"/>
  <c r="I25" i="40"/>
  <c r="I17" i="40"/>
  <c r="I9" i="40"/>
  <c r="I40" i="40"/>
  <c r="I32" i="40"/>
  <c r="I24" i="40"/>
  <c r="I16" i="40"/>
  <c r="I8" i="40"/>
  <c r="I20" i="40"/>
  <c r="I37" i="40"/>
  <c r="I21" i="40"/>
  <c r="I19" i="40"/>
  <c r="I34" i="40"/>
  <c r="I26" i="40"/>
  <c r="I39" i="40"/>
  <c r="I31" i="40"/>
  <c r="I23" i="40"/>
  <c r="I15" i="40"/>
  <c r="I7" i="40"/>
  <c r="I13" i="40"/>
  <c r="I28" i="40"/>
  <c r="I12" i="40"/>
  <c r="I35" i="40"/>
  <c r="I11" i="40"/>
  <c r="I10" i="40"/>
  <c r="I38" i="40"/>
  <c r="I30" i="40"/>
  <c r="I22" i="40"/>
  <c r="I14" i="40"/>
  <c r="I6" i="40"/>
  <c r="I5" i="40"/>
  <c r="I4" i="40"/>
  <c r="J36" i="38"/>
  <c r="J28" i="38"/>
  <c r="J20" i="38"/>
  <c r="J12" i="38"/>
  <c r="J35" i="38"/>
  <c r="J27" i="38"/>
  <c r="J19" i="38"/>
  <c r="J11" i="38"/>
  <c r="J34" i="38"/>
  <c r="J26" i="38"/>
  <c r="J18" i="38"/>
  <c r="J10" i="38"/>
  <c r="J33" i="38"/>
  <c r="J25" i="38"/>
  <c r="J17" i="38"/>
  <c r="J9" i="38"/>
  <c r="J40" i="38"/>
  <c r="J32" i="38"/>
  <c r="J24" i="38"/>
  <c r="J16" i="38"/>
  <c r="J8" i="38"/>
  <c r="J39" i="38"/>
  <c r="J31" i="38"/>
  <c r="J23" i="38"/>
  <c r="J15" i="38"/>
  <c r="J7" i="38"/>
  <c r="J38" i="38"/>
  <c r="J30" i="38"/>
  <c r="J22" i="38"/>
  <c r="J14" i="38"/>
  <c r="J6" i="38"/>
  <c r="J37" i="38"/>
  <c r="J29" i="38"/>
  <c r="J21" i="38"/>
  <c r="J13" i="38"/>
  <c r="J5" i="38"/>
  <c r="J4" i="38"/>
  <c r="I27" i="36"/>
  <c r="I26" i="36"/>
  <c r="I8" i="36"/>
  <c r="I28" i="36"/>
  <c r="I19" i="36"/>
  <c r="I7" i="36"/>
  <c r="I20" i="36"/>
  <c r="I25" i="36"/>
  <c r="I11" i="36"/>
  <c r="I10" i="36"/>
  <c r="I9" i="36"/>
  <c r="I16" i="36"/>
  <c r="I31" i="36"/>
  <c r="I23" i="36"/>
  <c r="I15" i="36"/>
  <c r="I30" i="36"/>
  <c r="I22" i="36"/>
  <c r="I14" i="36"/>
  <c r="I6" i="36"/>
  <c r="I12" i="36"/>
  <c r="I18" i="36"/>
  <c r="I33" i="36"/>
  <c r="I17" i="36"/>
  <c r="I32" i="36"/>
  <c r="I24" i="36"/>
  <c r="I29" i="36"/>
  <c r="I21" i="36"/>
  <c r="I13" i="36"/>
  <c r="I5" i="36"/>
  <c r="I4" i="36"/>
  <c r="K28" i="66"/>
  <c r="K12" i="66"/>
  <c r="K27" i="66"/>
  <c r="K11" i="66"/>
  <c r="K18" i="66"/>
  <c r="K25" i="66"/>
  <c r="K9" i="66"/>
  <c r="K32" i="66"/>
  <c r="K8" i="66"/>
  <c r="K15" i="66"/>
  <c r="K20" i="66"/>
  <c r="K19" i="66"/>
  <c r="K26" i="66"/>
  <c r="K10" i="66"/>
  <c r="K33" i="66"/>
  <c r="K17" i="66"/>
  <c r="K24" i="66"/>
  <c r="K16" i="66"/>
  <c r="K31" i="66"/>
  <c r="K23" i="66"/>
  <c r="K7" i="66"/>
  <c r="K30" i="66"/>
  <c r="K22" i="66"/>
  <c r="K14" i="66"/>
  <c r="K6" i="66"/>
  <c r="K29" i="66"/>
  <c r="K21" i="66"/>
  <c r="K13" i="66"/>
  <c r="K5" i="66"/>
  <c r="K4" i="66"/>
  <c r="K20" i="39"/>
  <c r="K11" i="39"/>
  <c r="K18" i="39"/>
  <c r="K25" i="39"/>
  <c r="K9" i="39"/>
  <c r="K24" i="39"/>
  <c r="K8" i="39"/>
  <c r="K31" i="39"/>
  <c r="K15" i="39"/>
  <c r="K14" i="39"/>
  <c r="K28" i="39"/>
  <c r="K12" i="39"/>
  <c r="K27" i="39"/>
  <c r="K19" i="39"/>
  <c r="K26" i="39"/>
  <c r="K10" i="39"/>
  <c r="K33" i="39"/>
  <c r="K17" i="39"/>
  <c r="K32" i="39"/>
  <c r="K16" i="39"/>
  <c r="K23" i="39"/>
  <c r="K7" i="39"/>
  <c r="K30" i="39"/>
  <c r="K22" i="39"/>
  <c r="K6" i="39"/>
  <c r="K29" i="39"/>
  <c r="K21" i="39"/>
  <c r="K13" i="39"/>
  <c r="K5" i="39"/>
  <c r="K4" i="39"/>
  <c r="J36" i="33"/>
  <c r="J20" i="33"/>
  <c r="J35" i="33"/>
  <c r="J19" i="33"/>
  <c r="J34" i="33"/>
  <c r="J18" i="33"/>
  <c r="J41" i="33"/>
  <c r="J25" i="33"/>
  <c r="J9" i="33"/>
  <c r="J24" i="33"/>
  <c r="J8" i="33"/>
  <c r="J31" i="33"/>
  <c r="J7" i="33"/>
  <c r="J14" i="33"/>
  <c r="J28" i="33"/>
  <c r="J12" i="33"/>
  <c r="J27" i="33"/>
  <c r="J11" i="33"/>
  <c r="J42" i="33"/>
  <c r="J26" i="33"/>
  <c r="J10" i="33"/>
  <c r="J33" i="33"/>
  <c r="J17" i="33"/>
  <c r="J40" i="33"/>
  <c r="J32" i="33"/>
  <c r="J16" i="33"/>
  <c r="J39" i="33"/>
  <c r="J23" i="33"/>
  <c r="J15" i="33"/>
  <c r="J38" i="33"/>
  <c r="J30" i="33"/>
  <c r="J22" i="33"/>
  <c r="J6" i="33"/>
  <c r="J37" i="33"/>
  <c r="J29" i="33"/>
  <c r="J21" i="33"/>
  <c r="J13" i="33"/>
  <c r="J5" i="33"/>
  <c r="J4" i="33"/>
  <c r="H36" i="32"/>
  <c r="H28" i="32"/>
  <c r="H20" i="32"/>
  <c r="H12" i="32"/>
  <c r="H35" i="32"/>
  <c r="H19" i="32"/>
  <c r="H11" i="32"/>
  <c r="H34" i="32"/>
  <c r="H26" i="32"/>
  <c r="H18" i="32"/>
  <c r="H10" i="32"/>
  <c r="H33" i="32"/>
  <c r="H25" i="32"/>
  <c r="H17" i="32"/>
  <c r="H9" i="32"/>
  <c r="H32" i="32"/>
  <c r="H24" i="32"/>
  <c r="H16" i="32"/>
  <c r="H8" i="32"/>
  <c r="H39" i="32"/>
  <c r="H31" i="32"/>
  <c r="H23" i="32"/>
  <c r="H15" i="32"/>
  <c r="H7" i="32"/>
  <c r="H38" i="32"/>
  <c r="H30" i="32"/>
  <c r="H22" i="32"/>
  <c r="H6" i="32"/>
  <c r="H27" i="32"/>
  <c r="H14" i="32"/>
  <c r="H37" i="32"/>
  <c r="H29" i="32"/>
  <c r="H21" i="32"/>
  <c r="H13" i="32"/>
  <c r="H5" i="32"/>
  <c r="H4" i="3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<sst xmlns="http://schemas.openxmlformats.org/spreadsheetml/2006/main" count="1429" uniqueCount="312">
  <si>
    <t>김미영</t>
  </si>
  <si>
    <t>홍재근</t>
  </si>
  <si>
    <t>이름</t>
    <phoneticPr fontId="3" type="noConversion"/>
  </si>
  <si>
    <t>이름</t>
  </si>
  <si>
    <t>가입나이</t>
  </si>
  <si>
    <t>코드</t>
  </si>
  <si>
    <t>구분-성별</t>
  </si>
  <si>
    <t>가입금액</t>
  </si>
  <si>
    <t>가입기간</t>
  </si>
  <si>
    <t>미납기간</t>
  </si>
  <si>
    <t>가입상태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</si>
  <si>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</si>
  <si>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</si>
  <si>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</si>
  <si>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</si>
  <si>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</si>
  <si>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</si>
  <si>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</si>
  <si>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</si>
  <si>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관계</t>
  </si>
  <si>
    <t>부양공제</t>
  </si>
  <si>
    <t>김가인</t>
  </si>
  <si>
    <t>모</t>
  </si>
  <si>
    <t>일반의료비</t>
  </si>
  <si>
    <t>간소화자료</t>
  </si>
  <si>
    <t>신용카드</t>
  </si>
  <si>
    <t>대중교통</t>
  </si>
  <si>
    <t>상공카드</t>
  </si>
  <si>
    <t>현금영수증</t>
  </si>
  <si>
    <t>일반사용분</t>
  </si>
  <si>
    <t/>
  </si>
  <si>
    <t>전통시장</t>
  </si>
  <si>
    <t>중앙병원</t>
  </si>
  <si>
    <t>지정기부금</t>
  </si>
  <si>
    <t>법인</t>
  </si>
  <si>
    <t>주인철</t>
  </si>
  <si>
    <t>부</t>
  </si>
  <si>
    <t>주인해</t>
  </si>
  <si>
    <t>자</t>
  </si>
  <si>
    <t>직불카드</t>
  </si>
  <si>
    <t>알파고카드</t>
  </si>
  <si>
    <t>주호백</t>
  </si>
  <si>
    <t>본인</t>
  </si>
  <si>
    <t>미래카드</t>
  </si>
  <si>
    <t>사랑의원</t>
  </si>
  <si>
    <t>성명</t>
  </si>
  <si>
    <t>소득공제</t>
  </si>
  <si>
    <t>소득공제내용</t>
  </si>
  <si>
    <t>법인명</t>
  </si>
  <si>
    <t>사업자번호</t>
  </si>
  <si>
    <t>금액</t>
  </si>
  <si>
    <t>의료비보조</t>
  </si>
  <si>
    <t>예</t>
  </si>
  <si>
    <t>123-○●-6793</t>
  </si>
  <si>
    <t>123-○●-6791</t>
  </si>
  <si>
    <t>123-○●-6794</t>
  </si>
  <si>
    <t>임윤아</t>
  </si>
  <si>
    <t>처</t>
  </si>
  <si>
    <t>아니오</t>
  </si>
  <si>
    <t>사단법인</t>
  </si>
  <si>
    <t>123-○●-6792</t>
  </si>
  <si>
    <t>123-○●-6790</t>
  </si>
  <si>
    <t>학번</t>
  </si>
  <si>
    <t>봉사내용</t>
  </si>
  <si>
    <t>봉사날짜</t>
  </si>
  <si>
    <t>시수</t>
  </si>
  <si>
    <t>학과</t>
  </si>
  <si>
    <t>주소</t>
  </si>
  <si>
    <t>기관명</t>
  </si>
  <si>
    <t>어르신 말벗</t>
  </si>
  <si>
    <t>김미나</t>
  </si>
  <si>
    <t>금융정보과</t>
  </si>
  <si>
    <t>경기도 용인시 처인구</t>
  </si>
  <si>
    <t>하늘 요양원</t>
  </si>
  <si>
    <t>이소연</t>
  </si>
  <si>
    <t>관광경영과</t>
  </si>
  <si>
    <t>악기 연주</t>
  </si>
  <si>
    <t>강경민</t>
  </si>
  <si>
    <t>국제통상과</t>
  </si>
  <si>
    <t>민철호</t>
  </si>
  <si>
    <t>청소도우미</t>
  </si>
  <si>
    <t>임시우</t>
  </si>
  <si>
    <t>김민교</t>
  </si>
  <si>
    <t>회계학과</t>
  </si>
  <si>
    <t>신현섭</t>
  </si>
  <si>
    <t>급식도우미</t>
  </si>
  <si>
    <t>정민섭</t>
  </si>
  <si>
    <t>스마트폰 활용</t>
  </si>
  <si>
    <t>서울시 관악구 청룡동</t>
  </si>
  <si>
    <t>희망 복지관</t>
  </si>
  <si>
    <t>서울시 중랑구 신내동</t>
  </si>
  <si>
    <t>꿈나래 복지관</t>
  </si>
  <si>
    <t>목욕도우미</t>
  </si>
  <si>
    <t>빨래도우미</t>
  </si>
  <si>
    <t>이재후</t>
  </si>
  <si>
    <t>박정은</t>
  </si>
  <si>
    <t>영어 멘토</t>
  </si>
  <si>
    <t>서울시 노원구 하계동</t>
  </si>
  <si>
    <t>믿음 청소년관</t>
  </si>
  <si>
    <t>수학 멘토</t>
  </si>
  <si>
    <t>서울시 동대문구 이문동</t>
  </si>
  <si>
    <t>반석 복지관</t>
  </si>
  <si>
    <t>조은화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</si>
  <si>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</si>
  <si>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</si>
  <si>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</si>
  <si>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</si>
  <si>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</si>
  <si>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</si>
  <si>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</si>
  <si>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</si>
  <si>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</si>
  <si>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</si>
  <si>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</si>
  <si>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</si>
  <si>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</si>
  <si>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</si>
  <si>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</si>
  <si>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</si>
  <si>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</si>
  <si>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</si>
  <si>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</si>
  <si>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</si>
  <si>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</si>
  <si>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</si>
  <si>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</si>
  <si>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</si>
  <si>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</si>
  <si>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</si>
  <si>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</si>
  <si>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</si>
  <si>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</si>
  <si>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</si>
  <si>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</si>
  <si>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</si>
  <si>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</si>
  <si>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</si>
  <si>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</si>
  <si>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</si>
  <si>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</si>
  <si>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</si>
  <si>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</si>
  <si>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</si>
  <si>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</si>
  <si>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</si>
  <si>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</si>
  <si>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</si>
  <si>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</si>
  <si>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</si>
  <si>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</si>
  <si>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</si>
  <si>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</si>
  <si>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</si>
  <si>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</si>
  <si>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</si>
  <si>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</si>
  <si>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</si>
  <si>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</si>
  <si>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</si>
  <si>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</si>
  <si>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</si>
  <si>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</si>
  <si>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</si>
  <si>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</si>
  <si>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</si>
  <si>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</si>
  <si>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</si>
  <si>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</si>
  <si>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</si>
  <si>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</si>
  <si>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</si>
  <si>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</si>
  <si>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</si>
  <si>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</si>
  <si>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</si>
  <si>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</si>
  <si>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</si>
  <si>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</si>
  <si>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</si>
  <si>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</si>
  <si>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</si>
  <si>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</si>
  <si>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</si>
  <si>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</si>
  <si>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</si>
  <si>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</si>
  <si>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</si>
  <si>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</si>
  <si>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</si>
  <si>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</si>
  <si>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</si>
  <si>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</si>
  <si>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</si>
  <si>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</si>
  <si>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</si>
  <si>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</si>
  <si>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</si>
  <si>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</si>
  <si>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</si>
  <si>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</si>
  <si>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과정명</t>
  </si>
  <si>
    <t>가격</t>
  </si>
  <si>
    <t>교육장소</t>
  </si>
  <si>
    <t>교육시작일</t>
  </si>
  <si>
    <t>교육종료일</t>
  </si>
  <si>
    <t>접수인원</t>
  </si>
  <si>
    <t>모집정원</t>
  </si>
  <si>
    <t>신은희</t>
  </si>
  <si>
    <t>4차산업혁명과 미래</t>
  </si>
  <si>
    <t>서울</t>
  </si>
  <si>
    <t>부산</t>
  </si>
  <si>
    <t>광주</t>
  </si>
  <si>
    <t>대구</t>
  </si>
  <si>
    <t>우명관</t>
  </si>
  <si>
    <t>동영상 강의자료 제작</t>
  </si>
  <si>
    <t>곽경미</t>
  </si>
  <si>
    <t>엑셀을 활용한 사무자동화</t>
  </si>
  <si>
    <t>김선주</t>
  </si>
  <si>
    <t>한글을 활용한 사무행정</t>
  </si>
  <si>
    <t>박준홍</t>
  </si>
  <si>
    <t>PPT 강의자료 개발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</si>
  <si>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</si>
  <si>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</si>
  <si>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</si>
  <si>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</si>
  <si>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</si>
  <si>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</si>
  <si>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</si>
  <si>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</si>
  <si>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</si>
  <si>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</si>
  <si>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</si>
  <si>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</si>
  <si>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</si>
  <si>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</si>
  <si>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</si>
  <si>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</si>
  <si>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</si>
  <si>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</si>
  <si>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</si>
  <si>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</si>
  <si>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</si>
  <si>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</si>
  <si>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</si>
  <si>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</si>
  <si>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</si>
  <si>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</si>
  <si>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</si>
  <si>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</si>
  <si>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</si>
  <si>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</si>
  <si>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</si>
  <si>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</si>
  <si>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</si>
  <si>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</si>
  <si>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</si>
  <si>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</si>
  <si>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</si>
  <si>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</si>
  <si>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</si>
  <si>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</si>
  <si>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</si>
  <si>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</si>
  <si>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</si>
  <si>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</si>
  <si>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</si>
  <si>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유재천</t>
  </si>
  <si>
    <t>장성형</t>
  </si>
  <si>
    <t>조병철</t>
  </si>
  <si>
    <t>함영미</t>
  </si>
  <si>
    <t>번호</t>
    <phoneticPr fontId="3" type="noConversion"/>
  </si>
  <si>
    <t>학번</t>
    <phoneticPr fontId="3" type="noConversion"/>
  </si>
  <si>
    <t>접수일</t>
    <phoneticPr fontId="3" type="noConversion"/>
  </si>
  <si>
    <t>[표1]</t>
  </si>
  <si>
    <t>학과</t>
    <phoneticPr fontId="3" type="noConversion"/>
  </si>
  <si>
    <t>응시일</t>
    <phoneticPr fontId="3" type="noConversion"/>
  </si>
  <si>
    <t>엑셀</t>
    <phoneticPr fontId="3" type="noConversion"/>
  </si>
  <si>
    <t>액세스</t>
    <phoneticPr fontId="3" type="noConversion"/>
  </si>
  <si>
    <t>파워포인트</t>
    <phoneticPr fontId="3" type="noConversion"/>
  </si>
  <si>
    <t>김우영</t>
    <phoneticPr fontId="3" type="noConversion"/>
  </si>
  <si>
    <t>컴퓨터공학과</t>
    <phoneticPr fontId="3" type="noConversion"/>
  </si>
  <si>
    <t>곽봉규</t>
  </si>
  <si>
    <t>윤명애</t>
  </si>
  <si>
    <t>홍종관</t>
    <phoneticPr fontId="3" type="noConversion"/>
  </si>
  <si>
    <t>노동균</t>
  </si>
  <si>
    <t>이미희</t>
  </si>
  <si>
    <t>곽영애</t>
  </si>
  <si>
    <t>박미영</t>
  </si>
  <si>
    <t>박갑열</t>
    <phoneticPr fontId="3" type="noConversion"/>
  </si>
  <si>
    <t>조태영</t>
  </si>
  <si>
    <t>코딩설계학과</t>
    <phoneticPr fontId="3" type="noConversion"/>
  </si>
  <si>
    <t>심용섭</t>
    <phoneticPr fontId="3" type="noConversion"/>
  </si>
  <si>
    <t>이일선</t>
  </si>
  <si>
    <t>코딩설계학과</t>
    <phoneticPr fontId="3" type="noConversion"/>
  </si>
  <si>
    <t>한성권</t>
  </si>
  <si>
    <t>라순주</t>
  </si>
  <si>
    <t>전정미</t>
  </si>
  <si>
    <t>한순희</t>
    <phoneticPr fontId="3" type="noConversion"/>
  </si>
  <si>
    <t>드론콘텐츠과</t>
    <phoneticPr fontId="3" type="noConversion"/>
  </si>
  <si>
    <t>드론콘텐츠과</t>
    <phoneticPr fontId="3" type="noConversion"/>
  </si>
  <si>
    <t>곽선자</t>
  </si>
  <si>
    <t>영상미디어과</t>
    <phoneticPr fontId="3" type="noConversion"/>
  </si>
  <si>
    <t>결과</t>
    <phoneticPr fontId="3" type="noConversion"/>
  </si>
  <si>
    <t>[표1]</t>
    <phoneticPr fontId="3" type="noConversion"/>
  </si>
  <si>
    <t>판정</t>
    <phoneticPr fontId="3" type="noConversion"/>
  </si>
  <si>
    <t>평가</t>
    <phoneticPr fontId="3" type="noConversion"/>
  </si>
  <si>
    <t>비고</t>
    <phoneticPr fontId="3" type="noConversion"/>
  </si>
  <si>
    <t>j</t>
    <phoneticPr fontId="3" type="noConversion"/>
  </si>
  <si>
    <t>평가</t>
    <phoneticPr fontId="3" type="noConversion"/>
  </si>
  <si>
    <t>점수차트</t>
    <phoneticPr fontId="3" type="noConversion"/>
  </si>
  <si>
    <t>파종분기</t>
    <phoneticPr fontId="3" type="noConversion"/>
  </si>
  <si>
    <t>개화분기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</si>
</sst>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\ &quot;세&quot;"/>
    <numFmt numFmtId="177" formatCode="000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9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0" fillId="0" borderId="2" xfId="0" applyBorder="1" applyAlignment="1">
      <alignment horizontal="right" vertical="center"/>
    </xf>
    <xf numFmtId="41" fontId="0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41" fontId="7" fillId="0" borderId="0" xfId="1" applyFont="1">
      <alignment vertical="center"/>
    </xf>
    <xf numFmtId="14" fontId="7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1" fontId="7" fillId="0" borderId="1" xfId="1" applyFont="1" applyBorder="1">
      <alignment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7" fillId="0" borderId="2" xfId="0" applyFont="1" applyBorder="1">
      <alignment vertical="center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41" fontId="2" fillId="3" borderId="2" xfId="5" applyNumberFormat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 readingOrder="1"/>
    </xf>
    <xf numFmtId="0" fontId="0" fillId="0" borderId="7" xfId="0" applyBorder="1" applyAlignment="1">
      <alignment horizontal="center" vertical="center" readingOrder="1"/>
    </xf>
    <xf numFmtId="14" fontId="0" fillId="0" borderId="7" xfId="0" applyNumberFormat="1" applyBorder="1" applyAlignment="1">
      <alignment horizontal="center" vertical="center" readingOrder="1"/>
    </xf>
    <xf numFmtId="0" fontId="8" fillId="5" borderId="7" xfId="0" applyFont="1" applyFill="1" applyBorder="1" applyAlignment="1">
      <alignment horizontal="center" vertical="center" wrapText="1" readingOrder="1"/>
    </xf>
    <xf numFmtId="0" fontId="0" fillId="0" borderId="7" xfId="0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 wrapText="1"/>
    </xf>
    <xf numFmtId="0" fontId="5" fillId="4" borderId="3" xfId="6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5" fillId="4" borderId="4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vertical="center" wrapText="1"/>
    </xf>
    <xf numFmtId="3" fontId="5" fillId="4" borderId="6" xfId="0" applyNumberFormat="1" applyFont="1" applyFill="1" applyBorder="1" applyAlignment="1">
      <alignment horizontal="right" vertical="center" wrapText="1"/>
    </xf>
    <xf numFmtId="0" fontId="5" fillId="4" borderId="3" xfId="6" applyFont="1" applyFill="1" applyBorder="1" applyAlignment="1">
      <alignment vertical="center" wrapText="1"/>
    </xf>
    <xf numFmtId="3" fontId="5" fillId="4" borderId="5" xfId="6" applyNumberFormat="1" applyFont="1" applyFill="1" applyBorder="1" applyAlignment="1">
      <alignment horizontal="right" vertical="center" wrapText="1"/>
    </xf>
    <xf numFmtId="0" fontId="5" fillId="4" borderId="3" xfId="0" applyFont="1" applyFill="1" applyBorder="1" applyAlignment="1">
      <alignment vertical="center" wrapText="1"/>
    </xf>
    <xf numFmtId="3" fontId="5" fillId="4" borderId="5" xfId="0" applyNumberFormat="1" applyFont="1" applyFill="1" applyBorder="1" applyAlignment="1">
      <alignment horizontal="right" vertical="center" wrapText="1"/>
    </xf>
    <xf numFmtId="3" fontId="6" fillId="0" borderId="1" xfId="9" applyNumberFormat="1" applyFont="1" applyBorder="1">
      <alignment vertical="center"/>
    </xf>
    <xf numFmtId="0" fontId="2" fillId="2" borderId="7" xfId="2" applyBorder="1" applyAlignment="1" applyProtection="1">
      <alignment horizontal="center" vertical="center" wrapText="1" readingOrder="1"/>
      <protection locked="0"/>
    </xf>
    <xf numFmtId="0" fontId="2" fillId="3" borderId="7" xfId="5" applyBorder="1" applyAlignment="1" applyProtection="1">
      <alignment horizontal="center" vertical="center" wrapText="1" readingOrder="1"/>
      <protection locked="0"/>
    </xf>
    <xf numFmtId="0" fontId="2" fillId="2" borderId="2" xfId="2" applyBorder="1" applyAlignment="1">
      <alignment horizontal="center"/>
    </xf>
    <xf numFmtId="0" fontId="2" fillId="3" borderId="7" xfId="5" applyBorder="1" applyAlignment="1">
      <alignment horizontal="center"/>
    </xf>
    <xf numFmtId="0" fontId="2" fillId="3" borderId="2" xfId="5" applyBorder="1" applyAlignment="1">
      <alignment horizontal="center" vertical="center"/>
    </xf>
    <xf numFmtId="0" fontId="2" fillId="3" borderId="7" xfId="5" applyBorder="1" applyAlignment="1">
      <alignment horizontal="center" vertical="center"/>
    </xf>
    <xf numFmtId="0" fontId="2" fillId="2" borderId="7" xfId="2" applyBorder="1" applyAlignment="1">
      <alignment horizontal="center" vertical="center"/>
    </xf>
  </cellXfs>
  <cellStyles count="10">
    <cellStyle name="강조색1" xfId="2" builtinId="29"/>
    <cellStyle name="강조색2" xfId="5" builtinId="33"/>
    <cellStyle name="백분율 2" xfId="7" xr:uid="{00000000-0005-0000-0000-000002000000}"/>
    <cellStyle name="쉼표 [0]" xfId="1" builtinId="6"/>
    <cellStyle name="쉼표 [0] 2" xfId="4" xr:uid="{00000000-0005-0000-0000-000004000000}"/>
    <cellStyle name="쉼표 [0] 3" xfId="9" xr:uid="{00000000-0005-0000-0000-000005000000}"/>
    <cellStyle name="제목 5" xfId="8" xr:uid="{00000000-0005-0000-0000-000006000000}"/>
    <cellStyle name="표준" xfId="0" builtinId="0"/>
    <cellStyle name="표준 2" xfId="3" xr:uid="{00000000-0005-0000-0000-000008000000}"/>
    <cellStyle name="표준 2 2" xfId="6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235743</xdr:colOff>
      <xdr:row>5</xdr:row>
      <xdr:rowOff>12479</xdr:rowOff>
    </xdr:from>
    <xdr:ext cx="12358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36343" y="1084042"/>
          <a:ext cx="12358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4</a:t>
          </a:r>
          <a:r>
            <a:rPr lang="ko-KR" altLang="en-US" sz="1400" b="1"/>
            <a:t>일차 </a:t>
          </a:r>
          <a:endParaRPr lang="en-US" altLang="ko-KR" sz="1400" b="1"/>
        </a:p>
        <a:p>
          <a:r>
            <a:rPr lang="ko-KR" altLang="en-US" sz="1100" b="1"/>
            <a:t>사용자 정의 함수</a:t>
          </a:r>
          <a:endParaRPr lang="en-US" altLang="ko-KR" sz="1100" b="1"/>
        </a:p>
        <a:p>
          <a:r>
            <a:rPr lang="ko-KR" altLang="en-US" sz="1100" b="1"/>
            <a:t>피벗 테이블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OneDrive/&#48148;&#53461;%20&#54868;&#47732;/&#48148;&#53461;&#54868;&#47732;/&#51088;&#47308;&#49892;/Excel_Basic/&#50641;&#49472;%20&#44592;&#52488;_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홈"/>
      <sheetName val="중요함수모음"/>
      <sheetName val="1.기본함수"/>
      <sheetName val="1.기본함수-정답"/>
      <sheetName val="2.논리함수"/>
      <sheetName val="2.논리함수-정답"/>
      <sheetName val="3. 참조함수"/>
      <sheetName val="3. 참조함수-정답"/>
      <sheetName val="4.날짜와 시간함수"/>
      <sheetName val="4.날짜와 시간함수-정답"/>
      <sheetName val="5.데이터베이스함수"/>
      <sheetName val="5.데이터베이스함수-정답"/>
      <sheetName val="6.기타함수"/>
      <sheetName val="문서1_기초"/>
      <sheetName val="문서1_기초 (정답파일)"/>
      <sheetName val="문서1-견적서"/>
      <sheetName val="문서1-연습"/>
      <sheetName val="문서2-강의이력서"/>
      <sheetName val="문서2-연습"/>
      <sheetName val="문서3-세금계산서"/>
      <sheetName val="문서3-연습"/>
      <sheetName val="자동필터_1"/>
      <sheetName val="자동필터_1-정답"/>
      <sheetName val="자동필터(예제)"/>
      <sheetName val="자동필터(결과)"/>
      <sheetName val="고급필터"/>
      <sheetName val="고급필터(결과)"/>
      <sheetName val="조건부서식1(예제)"/>
      <sheetName val="조건부서식1(결과)"/>
      <sheetName val="조건부서식2(예제)"/>
      <sheetName val="조건부서식2(결과)"/>
      <sheetName val="조건부서식3(예제)"/>
      <sheetName val="조건부서식3(결과)"/>
      <sheetName val="계산(예제)"/>
      <sheetName val="계산(결과)"/>
      <sheetName val="날짜(예제)"/>
      <sheetName val="날짜(결과)"/>
      <sheetName val="논리(예제)"/>
      <sheetName val="논리(결과)"/>
      <sheetName val="데이터베이스1(예제)"/>
      <sheetName val="데이터베이스1(결과)"/>
      <sheetName val="데이터베이스2(예제)"/>
      <sheetName val="데이터베이스2(결과)"/>
      <sheetName val="데이터베이스3(예제)"/>
      <sheetName val="데이터베이스3(결과)"/>
      <sheetName val="문자열1(예제)"/>
      <sheetName val="문자열1(결과)"/>
      <sheetName val="문자열2(예제)"/>
      <sheetName val="문자열2(결과)"/>
      <sheetName val="수학1(예제)"/>
      <sheetName val="수학1(결과)"/>
      <sheetName val="수학2(예제)"/>
      <sheetName val="수학2(결과)"/>
      <sheetName val="재무(예제)"/>
      <sheetName val="재무(결과)"/>
      <sheetName val="통계1(예제)"/>
      <sheetName val="통계1(결과)"/>
      <sheetName val="통계2(예제)"/>
      <sheetName val="통계2(결과)"/>
      <sheetName val="찾기1(예제)"/>
      <sheetName val="찾기1(결과)"/>
      <sheetName val="찾기2(예제)"/>
      <sheetName val="찾기2(결과)"/>
      <sheetName val="찾기3(예제)"/>
      <sheetName val="찾기3(결과)"/>
      <sheetName val="정보(예제)"/>
      <sheetName val="정보(결과)"/>
      <sheetName val="실습1(예제)"/>
      <sheetName val="실습1(결과)"/>
      <sheetName val="배열수식(예제)"/>
      <sheetName val="배열수식(결과)"/>
      <sheetName val="배열1(예제)"/>
      <sheetName val="배열1(결과)"/>
      <sheetName val="배열2(예제)"/>
      <sheetName val="배열2(결과)"/>
      <sheetName val="배열3(예제)"/>
      <sheetName val="배열3(결과)"/>
      <sheetName val="사용자정의(예제)"/>
      <sheetName val="사용자정의(결과)"/>
      <sheetName val="피벗테이블-1"/>
      <sheetName val="피벗테이블-1(정답)"/>
      <sheetName val="피벗테이블-2"/>
      <sheetName val="통합1(예제)"/>
      <sheetName val="통합1(예제) (결과)"/>
      <sheetName val="통합2(예제)"/>
      <sheetName val="통합3(예제)"/>
      <sheetName val="통합2(결과)"/>
      <sheetName val="정렬1(예제) "/>
      <sheetName val="정렬1(결과)"/>
      <sheetName val="정렬2(예제)"/>
      <sheetName val="정렬2(결과)"/>
      <sheetName val="부분합1(예제)"/>
      <sheetName val="부분합1(결과)"/>
      <sheetName val="부분합2(예제)"/>
      <sheetName val="부분합2(결과)"/>
      <sheetName val="데이터표1(예제)"/>
      <sheetName val="데이터표1(예제)_결과"/>
      <sheetName val="데이터표2(예제)"/>
      <sheetName val="데이터표2(결과)"/>
      <sheetName val="목표값1(예제)"/>
      <sheetName val="목표값1(결과)"/>
      <sheetName val="목표값2(예제) "/>
      <sheetName val="목표값2(결과)"/>
      <sheetName val="시나리오1(예제)"/>
      <sheetName val="시나리오1(결과)"/>
      <sheetName val="시나리오2(예제)"/>
      <sheetName val="시나리오2(결과)"/>
      <sheetName val="분석작업_시나리오"/>
      <sheetName val="매크로1(예제)"/>
      <sheetName val="매크로1(결과)"/>
      <sheetName val="매크로2(예제)"/>
      <sheetName val="매크로2(결과)"/>
      <sheetName val="차트1(예제)"/>
      <sheetName val="차트1(결과)"/>
      <sheetName val="차트2(예제)"/>
      <sheetName val="차트2(결과)"/>
      <sheetName val="차트3(예제)"/>
      <sheetName val="차트3(결과)"/>
      <sheetName val="차트"/>
      <sheetName val="사원현황(예제)"/>
      <sheetName val="수강등록(예제)"/>
      <sheetName val="조회(예제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3">
          <cell r="B3">
            <v>3000</v>
          </cell>
        </row>
        <row r="4">
          <cell r="B4">
            <v>2000</v>
          </cell>
        </row>
        <row r="5">
          <cell r="B5">
            <v>3000</v>
          </cell>
        </row>
        <row r="6">
          <cell r="B6">
            <v>300</v>
          </cell>
        </row>
        <row r="8">
          <cell r="B8">
            <v>9000000</v>
          </cell>
        </row>
        <row r="9">
          <cell r="B9">
            <v>1000</v>
          </cell>
        </row>
        <row r="10">
          <cell r="B10">
            <v>300000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B26" sqref="B26"/>
    </sheetView>
  </sheetViews>
  <sheetFormatPr defaultRowHeight="16.899999999999999" x14ac:dyDescent="0.6"/>
  <sheetData/>
  <sheetProtection algorithmName="SHA-512" hashValue="at6LhIPaFSgpDzikQlEHlNY4dZiSYyZ0ZY0aYJjniAJVTeaslCpeW4DvLznmMvguvzC9B5e0KDGAOJkUCVjM2g==" saltValue="cDi77NIWCHVte3XYxYrVMQ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39"/>
  <sheetViews>
    <sheetView zoomScale="115" zoomScaleNormal="115" workbookViewId="0">
      <selection activeCell="I5" sqref="I5"/>
    </sheetView>
  </sheetViews>
  <sheetFormatPr defaultRowHeight="16.899999999999999" x14ac:dyDescent="0.6"/>
  <cols>
    <col min="1" max="1" width="2.5625" customWidth="1"/>
    <col min="4" max="4" width="15.1875" customWidth="1"/>
    <col min="8" max="8" width="16.5" customWidth="1"/>
  </cols>
  <sheetData>
    <row r="2" spans="2:8" x14ac:dyDescent="0.6">
      <c r="B2" s="7" t="s">
        <v>273</v>
      </c>
      <c r="C2" s="8"/>
      <c r="D2" s="8"/>
      <c r="E2" s="9"/>
      <c r="F2" s="10"/>
      <c r="G2" s="10"/>
      <c r="H2" s="10"/>
    </row>
    <row r="3" spans="2:8" x14ac:dyDescent="0.6">
      <c r="B3" s="19" t="s">
        <v>4</v>
      </c>
      <c r="C3" s="19" t="s">
        <v>5</v>
      </c>
      <c r="D3" s="19" t="s">
        <v>6</v>
      </c>
      <c r="E3" s="20" t="s">
        <v>7</v>
      </c>
      <c r="F3" s="20" t="s">
        <v>8</v>
      </c>
      <c r="G3" s="20" t="s">
        <v>9</v>
      </c>
      <c r="H3" s="21" t="s">
        <v>10</v>
      </c>
    </row>
    <row r="4" spans="2:8" ht="18" customHeight="1" x14ac:dyDescent="0.6">
      <c r="B4" s="11">
        <v>24</v>
      </c>
      <c r="C4" s="12" t="s">
        <v>11</v>
      </c>
      <c r="D4" s="12" t="s">
        <v>12</v>
      </c>
      <c r="E4" s="13">
        <v>13200</v>
      </c>
      <c r="F4" s="14">
        <v>5</v>
      </c>
      <c r="G4" s="14">
        <v>3</v>
      </c>
      <c r="H4" s="15" t="str" cm="1">
        <f t="array" ref="H4">fn가입상태(F4,G4)</f>
        <v>휴면보험</v>
      </c>
    </row>
    <row r="5" spans="2:8" ht="18" customHeight="1" x14ac:dyDescent="0.6">
      <c r="B5" s="16">
        <v>41</v>
      </c>
      <c r="C5" s="17" t="s">
        <v>13</v>
      </c>
      <c r="D5" s="12" t="s">
        <v>14</v>
      </c>
      <c r="E5" s="13">
        <v>22500</v>
      </c>
      <c r="F5" s="18">
        <v>3</v>
      </c>
      <c r="G5" s="18">
        <v>0</v>
      </c>
      <c r="H5" s="15" t="str" cm="1">
        <f t="array" ref="H5">fn가입상태(F5,G5)</f>
        <v>정상</v>
      </c>
    </row>
    <row r="6" spans="2:8" ht="18" customHeight="1" x14ac:dyDescent="0.6">
      <c r="B6" s="16">
        <v>50</v>
      </c>
      <c r="C6" s="17" t="s">
        <v>15</v>
      </c>
      <c r="D6" s="12" t="s">
        <v>16</v>
      </c>
      <c r="E6" s="13">
        <v>45000</v>
      </c>
      <c r="F6" s="18">
        <v>15</v>
      </c>
      <c r="G6" s="18">
        <v>0</v>
      </c>
      <c r="H6" s="15" t="str" cm="1">
        <f t="array" ref="H6">fn가입상태(F6,G6)</f>
        <v>정상</v>
      </c>
    </row>
    <row r="7" spans="2:8" ht="18" customHeight="1" x14ac:dyDescent="0.6">
      <c r="B7" s="16">
        <v>29</v>
      </c>
      <c r="C7" s="17" t="s">
        <v>17</v>
      </c>
      <c r="D7" s="12" t="s">
        <v>18</v>
      </c>
      <c r="E7" s="13">
        <v>14200</v>
      </c>
      <c r="F7" s="18">
        <v>15</v>
      </c>
      <c r="G7" s="18">
        <v>0</v>
      </c>
      <c r="H7" s="15" t="str" cm="1">
        <f t="array" ref="H7">fn가입상태(F7,G7)</f>
        <v>정상</v>
      </c>
    </row>
    <row r="8" spans="2:8" ht="18" customHeight="1" x14ac:dyDescent="0.6">
      <c r="B8" s="16">
        <v>42</v>
      </c>
      <c r="C8" s="17" t="s">
        <v>17</v>
      </c>
      <c r="D8" s="12" t="s">
        <v>18</v>
      </c>
      <c r="E8" s="13">
        <v>28400</v>
      </c>
      <c r="F8" s="18">
        <v>5</v>
      </c>
      <c r="G8" s="18">
        <v>1</v>
      </c>
      <c r="H8" s="15" t="str" cm="1">
        <f t="array" ref="H8">fn가입상태(F8,G8)</f>
        <v>1개월 미납</v>
      </c>
    </row>
    <row r="9" spans="2:8" ht="18" customHeight="1" x14ac:dyDescent="0.6">
      <c r="B9" s="16">
        <v>7</v>
      </c>
      <c r="C9" s="17" t="s">
        <v>17</v>
      </c>
      <c r="D9" s="12" t="s">
        <v>18</v>
      </c>
      <c r="E9" s="13">
        <v>13000</v>
      </c>
      <c r="F9" s="18">
        <v>10</v>
      </c>
      <c r="G9" s="18">
        <v>0</v>
      </c>
      <c r="H9" s="15" t="str" cm="1">
        <f t="array" ref="H9">fn가입상태(F9,G9)</f>
        <v>정상</v>
      </c>
    </row>
    <row r="10" spans="2:8" ht="18" customHeight="1" x14ac:dyDescent="0.6">
      <c r="B10" s="16">
        <v>45</v>
      </c>
      <c r="C10" s="17" t="s">
        <v>15</v>
      </c>
      <c r="D10" s="12" t="s">
        <v>16</v>
      </c>
      <c r="E10" s="13">
        <v>24000</v>
      </c>
      <c r="F10" s="18">
        <v>14</v>
      </c>
      <c r="G10" s="18">
        <v>1</v>
      </c>
      <c r="H10" s="15" t="str" cm="1">
        <f t="array" ref="H10">fn가입상태(F10,G10)</f>
        <v>1개월 미납</v>
      </c>
    </row>
    <row r="11" spans="2:8" ht="18" customHeight="1" x14ac:dyDescent="0.6">
      <c r="B11" s="16">
        <v>16</v>
      </c>
      <c r="C11" s="17" t="s">
        <v>17</v>
      </c>
      <c r="D11" s="12" t="s">
        <v>18</v>
      </c>
      <c r="E11" s="13">
        <v>12900</v>
      </c>
      <c r="F11" s="18">
        <v>5</v>
      </c>
      <c r="G11" s="18">
        <v>1</v>
      </c>
      <c r="H11" s="15" t="str" cm="1">
        <f t="array" ref="H11">fn가입상태(F11,G11)</f>
        <v>1개월 미납</v>
      </c>
    </row>
    <row r="12" spans="2:8" ht="18" customHeight="1" x14ac:dyDescent="0.6">
      <c r="B12" s="16">
        <v>16</v>
      </c>
      <c r="C12" s="17" t="s">
        <v>11</v>
      </c>
      <c r="D12" s="12" t="s">
        <v>12</v>
      </c>
      <c r="E12" s="13">
        <v>12800</v>
      </c>
      <c r="F12" s="18">
        <v>6</v>
      </c>
      <c r="G12" s="18">
        <v>1</v>
      </c>
      <c r="H12" s="15" t="str" cm="1">
        <f t="array" ref="H12">fn가입상태(F12,G12)</f>
        <v>1개월 미납</v>
      </c>
    </row>
    <row r="13" spans="2:8" ht="18" customHeight="1" x14ac:dyDescent="0.6">
      <c r="B13" s="16">
        <v>51</v>
      </c>
      <c r="C13" s="17" t="s">
        <v>11</v>
      </c>
      <c r="D13" s="12" t="s">
        <v>12</v>
      </c>
      <c r="E13" s="13">
        <v>33000</v>
      </c>
      <c r="F13" s="18">
        <v>8</v>
      </c>
      <c r="G13" s="18">
        <v>0</v>
      </c>
      <c r="H13" s="15" t="str" cm="1">
        <f t="array" ref="H13">fn가입상태(F13,G13)</f>
        <v>정상</v>
      </c>
    </row>
    <row r="14" spans="2:8" ht="18" customHeight="1" x14ac:dyDescent="0.6">
      <c r="B14" s="16">
        <v>46</v>
      </c>
      <c r="C14" s="17" t="s">
        <v>11</v>
      </c>
      <c r="D14" s="12" t="s">
        <v>12</v>
      </c>
      <c r="E14" s="13">
        <v>19800</v>
      </c>
      <c r="F14" s="18">
        <v>8</v>
      </c>
      <c r="G14" s="18">
        <v>2</v>
      </c>
      <c r="H14" s="15" t="str" cm="1">
        <f t="array" ref="H14">fn가입상태(F14,G14)</f>
        <v>2개월 미납</v>
      </c>
    </row>
    <row r="15" spans="2:8" ht="18" customHeight="1" x14ac:dyDescent="0.6">
      <c r="B15" s="16">
        <v>22</v>
      </c>
      <c r="C15" s="17" t="s">
        <v>11</v>
      </c>
      <c r="D15" s="12" t="s">
        <v>12</v>
      </c>
      <c r="E15" s="13">
        <v>13200</v>
      </c>
      <c r="F15" s="18">
        <v>21</v>
      </c>
      <c r="G15" s="18">
        <v>0</v>
      </c>
      <c r="H15" s="15" t="str" cm="1">
        <f t="array" ref="H15">fn가입상태(F15,G15)</f>
        <v>정상</v>
      </c>
    </row>
    <row r="16" spans="2:8" ht="18" customHeight="1" x14ac:dyDescent="0.6">
      <c r="B16" s="16">
        <v>6</v>
      </c>
      <c r="C16" s="17" t="s">
        <v>11</v>
      </c>
      <c r="D16" s="12" t="s">
        <v>12</v>
      </c>
      <c r="E16" s="13">
        <v>12800</v>
      </c>
      <c r="F16" s="18">
        <v>7</v>
      </c>
      <c r="G16" s="18">
        <v>0</v>
      </c>
      <c r="H16" s="15" t="str" cm="1">
        <f t="array" ref="H16">fn가입상태(F16,G16)</f>
        <v>정상</v>
      </c>
    </row>
    <row r="17" spans="2:8" ht="18" customHeight="1" x14ac:dyDescent="0.6">
      <c r="B17" s="16">
        <v>22</v>
      </c>
      <c r="C17" s="17" t="s">
        <v>13</v>
      </c>
      <c r="D17" s="12" t="s">
        <v>14</v>
      </c>
      <c r="E17" s="13">
        <v>13500</v>
      </c>
      <c r="F17" s="18">
        <v>21</v>
      </c>
      <c r="G17" s="18">
        <v>2</v>
      </c>
      <c r="H17" s="15" t="str" cm="1">
        <f t="array" ref="H17">fn가입상태(F17,G17)</f>
        <v>2개월 미납</v>
      </c>
    </row>
    <row r="18" spans="2:8" ht="18" customHeight="1" x14ac:dyDescent="0.6">
      <c r="B18" s="16">
        <v>21</v>
      </c>
      <c r="C18" s="17" t="s">
        <v>15</v>
      </c>
      <c r="D18" s="12" t="s">
        <v>16</v>
      </c>
      <c r="E18" s="13">
        <v>13700</v>
      </c>
      <c r="F18" s="18">
        <v>20</v>
      </c>
      <c r="G18" s="18">
        <v>0</v>
      </c>
      <c r="H18" s="15" t="str" cm="1">
        <f t="array" ref="H18">fn가입상태(F18,G18)</f>
        <v>정상</v>
      </c>
    </row>
    <row r="19" spans="2:8" ht="18" customHeight="1" x14ac:dyDescent="0.6">
      <c r="B19" s="16">
        <v>13</v>
      </c>
      <c r="C19" s="17" t="s">
        <v>17</v>
      </c>
      <c r="D19" s="12" t="s">
        <v>18</v>
      </c>
      <c r="E19" s="13">
        <v>12900</v>
      </c>
      <c r="F19" s="18">
        <v>8</v>
      </c>
      <c r="G19" s="18">
        <v>0</v>
      </c>
      <c r="H19" s="15" t="str" cm="1">
        <f t="array" ref="H19">fn가입상태(F19,G19)</f>
        <v>정상</v>
      </c>
    </row>
    <row r="20" spans="2:8" ht="18" customHeight="1" x14ac:dyDescent="0.6">
      <c r="B20" s="16">
        <v>29</v>
      </c>
      <c r="C20" s="17" t="s">
        <v>11</v>
      </c>
      <c r="D20" s="12" t="s">
        <v>12</v>
      </c>
      <c r="E20" s="13">
        <v>13200</v>
      </c>
      <c r="F20" s="18">
        <v>24</v>
      </c>
      <c r="G20" s="18">
        <v>0</v>
      </c>
      <c r="H20" s="15" t="str" cm="1">
        <f t="array" ref="H20">fn가입상태(F20,G20)</f>
        <v>정상</v>
      </c>
    </row>
    <row r="21" spans="2:8" ht="18" customHeight="1" x14ac:dyDescent="0.6">
      <c r="B21" s="16">
        <v>61</v>
      </c>
      <c r="C21" s="17" t="s">
        <v>13</v>
      </c>
      <c r="D21" s="12" t="s">
        <v>14</v>
      </c>
      <c r="E21" s="13">
        <v>32200</v>
      </c>
      <c r="F21" s="18">
        <v>23</v>
      </c>
      <c r="G21" s="18">
        <v>1</v>
      </c>
      <c r="H21" s="15" t="str" cm="1">
        <f t="array" ref="H21">fn가입상태(F21,G21)</f>
        <v>1개월 미납</v>
      </c>
    </row>
    <row r="22" spans="2:8" ht="18" customHeight="1" x14ac:dyDescent="0.6">
      <c r="B22" s="16">
        <v>12</v>
      </c>
      <c r="C22" s="17" t="s">
        <v>13</v>
      </c>
      <c r="D22" s="12" t="s">
        <v>14</v>
      </c>
      <c r="E22" s="13">
        <v>12600</v>
      </c>
      <c r="F22" s="18">
        <v>20</v>
      </c>
      <c r="G22" s="18">
        <v>2</v>
      </c>
      <c r="H22" s="15" t="str" cm="1">
        <f t="array" ref="H22">fn가입상태(F22,G22)</f>
        <v>2개월 미납</v>
      </c>
    </row>
    <row r="23" spans="2:8" ht="18" customHeight="1" x14ac:dyDescent="0.6">
      <c r="B23" s="16">
        <v>64</v>
      </c>
      <c r="C23" s="17" t="s">
        <v>17</v>
      </c>
      <c r="D23" s="12" t="s">
        <v>18</v>
      </c>
      <c r="E23" s="13">
        <v>43900</v>
      </c>
      <c r="F23" s="18">
        <v>7</v>
      </c>
      <c r="G23" s="18">
        <v>0</v>
      </c>
      <c r="H23" s="15" t="str" cm="1">
        <f t="array" ref="H23">fn가입상태(F23,G23)</f>
        <v>정상</v>
      </c>
    </row>
    <row r="24" spans="2:8" ht="18" customHeight="1" x14ac:dyDescent="0.6">
      <c r="B24" s="16">
        <v>29</v>
      </c>
      <c r="C24" s="17" t="s">
        <v>11</v>
      </c>
      <c r="D24" s="12" t="s">
        <v>12</v>
      </c>
      <c r="E24" s="13">
        <v>13200</v>
      </c>
      <c r="F24" s="18">
        <v>17</v>
      </c>
      <c r="G24" s="18">
        <v>2</v>
      </c>
      <c r="H24" s="15" t="str" cm="1">
        <f t="array" ref="H24">fn가입상태(F24,G24)</f>
        <v>2개월 미납</v>
      </c>
    </row>
    <row r="25" spans="2:8" ht="18" customHeight="1" x14ac:dyDescent="0.6">
      <c r="B25" s="16">
        <v>17</v>
      </c>
      <c r="C25" s="17" t="s">
        <v>13</v>
      </c>
      <c r="D25" s="12" t="s">
        <v>14</v>
      </c>
      <c r="E25" s="13">
        <v>12600</v>
      </c>
      <c r="F25" s="18">
        <v>21</v>
      </c>
      <c r="G25" s="18">
        <v>2</v>
      </c>
      <c r="H25" s="15" t="str" cm="1">
        <f t="array" ref="H25">fn가입상태(F25,G25)</f>
        <v>2개월 미납</v>
      </c>
    </row>
    <row r="26" spans="2:8" ht="18" customHeight="1" x14ac:dyDescent="0.6">
      <c r="B26" s="16">
        <v>29</v>
      </c>
      <c r="C26" s="17" t="s">
        <v>15</v>
      </c>
      <c r="D26" s="12" t="s">
        <v>16</v>
      </c>
      <c r="E26" s="13">
        <v>13700</v>
      </c>
      <c r="F26" s="18">
        <v>2</v>
      </c>
      <c r="G26" s="18">
        <v>2</v>
      </c>
      <c r="H26" s="15" t="str" cm="1">
        <f t="array" ref="H26">fn가입상태(F26,G26)</f>
        <v>해지예상</v>
      </c>
    </row>
    <row r="27" spans="2:8" ht="18" customHeight="1" x14ac:dyDescent="0.6">
      <c r="B27" s="16">
        <v>26</v>
      </c>
      <c r="C27" s="17" t="s">
        <v>15</v>
      </c>
      <c r="D27" s="12" t="s">
        <v>16</v>
      </c>
      <c r="E27" s="13">
        <v>13700</v>
      </c>
      <c r="F27" s="18">
        <v>4</v>
      </c>
      <c r="G27" s="18">
        <v>1</v>
      </c>
      <c r="H27" s="15" t="str" cm="1">
        <f t="array" ref="H27">fn가입상태(F27,G27)</f>
        <v>1개월 미납</v>
      </c>
    </row>
    <row r="28" spans="2:8" ht="18" customHeight="1" x14ac:dyDescent="0.6">
      <c r="B28" s="16">
        <v>59</v>
      </c>
      <c r="C28" s="17" t="s">
        <v>15</v>
      </c>
      <c r="D28" s="12" t="s">
        <v>16</v>
      </c>
      <c r="E28" s="13">
        <v>45000</v>
      </c>
      <c r="F28" s="18">
        <v>2</v>
      </c>
      <c r="G28" s="18">
        <v>1</v>
      </c>
      <c r="H28" s="15" t="str" cm="1">
        <f t="array" ref="H28">fn가입상태(F28,G28)</f>
        <v>1개월 미납</v>
      </c>
    </row>
    <row r="29" spans="2:8" ht="18" customHeight="1" x14ac:dyDescent="0.6">
      <c r="B29" s="16">
        <v>43</v>
      </c>
      <c r="C29" s="17" t="s">
        <v>13</v>
      </c>
      <c r="D29" s="12" t="s">
        <v>14</v>
      </c>
      <c r="E29" s="13">
        <v>22500</v>
      </c>
      <c r="F29" s="18">
        <v>5</v>
      </c>
      <c r="G29" s="18">
        <v>2</v>
      </c>
      <c r="H29" s="15" t="str" cm="1">
        <f t="array" ref="H29">fn가입상태(F29,G29)</f>
        <v>2개월 미납</v>
      </c>
    </row>
    <row r="30" spans="2:8" ht="18" customHeight="1" x14ac:dyDescent="0.6">
      <c r="B30" s="16">
        <v>53</v>
      </c>
      <c r="C30" s="17" t="s">
        <v>15</v>
      </c>
      <c r="D30" s="12" t="s">
        <v>16</v>
      </c>
      <c r="E30" s="13">
        <v>45000</v>
      </c>
      <c r="F30" s="18">
        <v>21</v>
      </c>
      <c r="G30" s="18">
        <v>2</v>
      </c>
      <c r="H30" s="15" t="str" cm="1">
        <f t="array" ref="H30">fn가입상태(F30,G30)</f>
        <v>2개월 미납</v>
      </c>
    </row>
    <row r="31" spans="2:8" ht="18" customHeight="1" x14ac:dyDescent="0.6">
      <c r="B31" s="16">
        <v>29</v>
      </c>
      <c r="C31" s="17" t="s">
        <v>17</v>
      </c>
      <c r="D31" s="12" t="s">
        <v>18</v>
      </c>
      <c r="E31" s="13">
        <v>14200</v>
      </c>
      <c r="F31" s="18">
        <v>18</v>
      </c>
      <c r="G31" s="18">
        <v>1</v>
      </c>
      <c r="H31" s="15" t="str" cm="1">
        <f t="array" ref="H31">fn가입상태(F31,G31)</f>
        <v>1개월 미납</v>
      </c>
    </row>
    <row r="32" spans="2:8" ht="18" customHeight="1" x14ac:dyDescent="0.6">
      <c r="B32" s="16">
        <v>18</v>
      </c>
      <c r="C32" s="17" t="s">
        <v>11</v>
      </c>
      <c r="D32" s="12" t="s">
        <v>12</v>
      </c>
      <c r="E32" s="13">
        <v>12800</v>
      </c>
      <c r="F32" s="18">
        <v>9</v>
      </c>
      <c r="G32" s="18">
        <v>1</v>
      </c>
      <c r="H32" s="15" t="str" cm="1">
        <f t="array" ref="H32">fn가입상태(F32,G32)</f>
        <v>1개월 미납</v>
      </c>
    </row>
    <row r="33" spans="2:8" ht="18" customHeight="1" x14ac:dyDescent="0.6">
      <c r="B33" s="16">
        <v>41</v>
      </c>
      <c r="C33" s="17" t="s">
        <v>13</v>
      </c>
      <c r="D33" s="12" t="s">
        <v>14</v>
      </c>
      <c r="E33" s="13">
        <v>22500</v>
      </c>
      <c r="F33" s="18">
        <v>7</v>
      </c>
      <c r="G33" s="18">
        <v>0</v>
      </c>
      <c r="H33" s="15" t="str" cm="1">
        <f t="array" ref="H33">fn가입상태(F33,G33)</f>
        <v>정상</v>
      </c>
    </row>
    <row r="34" spans="2:8" ht="18" customHeight="1" x14ac:dyDescent="0.6">
      <c r="B34" s="16">
        <v>8</v>
      </c>
      <c r="C34" s="17" t="s">
        <v>15</v>
      </c>
      <c r="D34" s="12" t="s">
        <v>16</v>
      </c>
      <c r="E34" s="13">
        <v>13100</v>
      </c>
      <c r="F34" s="18">
        <v>9</v>
      </c>
      <c r="G34" s="18">
        <v>2</v>
      </c>
      <c r="H34" s="15" t="str" cm="1">
        <f t="array" ref="H34">fn가입상태(F34,G34)</f>
        <v>2개월 미납</v>
      </c>
    </row>
    <row r="35" spans="2:8" ht="18" customHeight="1" x14ac:dyDescent="0.6">
      <c r="B35" s="16">
        <v>64</v>
      </c>
      <c r="C35" s="17" t="s">
        <v>17</v>
      </c>
      <c r="D35" s="12" t="s">
        <v>18</v>
      </c>
      <c r="E35" s="13">
        <v>43900</v>
      </c>
      <c r="F35" s="18">
        <v>20</v>
      </c>
      <c r="G35" s="18">
        <v>1</v>
      </c>
      <c r="H35" s="15" t="str" cm="1">
        <f t="array" ref="H35">fn가입상태(F35,G35)</f>
        <v>1개월 미납</v>
      </c>
    </row>
    <row r="36" spans="2:8" ht="18" customHeight="1" x14ac:dyDescent="0.6">
      <c r="B36" s="16">
        <v>21</v>
      </c>
      <c r="C36" s="17" t="s">
        <v>17</v>
      </c>
      <c r="D36" s="12" t="s">
        <v>18</v>
      </c>
      <c r="E36" s="13">
        <v>14200</v>
      </c>
      <c r="F36" s="18">
        <v>12</v>
      </c>
      <c r="G36" s="18">
        <v>2</v>
      </c>
      <c r="H36" s="15" t="str" cm="1">
        <f t="array" ref="H36">fn가입상태(F36,G36)</f>
        <v>2개월 미납</v>
      </c>
    </row>
    <row r="37" spans="2:8" ht="18" customHeight="1" x14ac:dyDescent="0.6">
      <c r="B37" s="16">
        <v>25</v>
      </c>
      <c r="C37" s="17" t="s">
        <v>17</v>
      </c>
      <c r="D37" s="12" t="s">
        <v>18</v>
      </c>
      <c r="E37" s="13">
        <v>14200</v>
      </c>
      <c r="F37" s="18">
        <v>21</v>
      </c>
      <c r="G37" s="18">
        <v>0</v>
      </c>
      <c r="H37" s="15" t="str" cm="1">
        <f t="array" ref="H37">fn가입상태(F37,G37)</f>
        <v>정상</v>
      </c>
    </row>
    <row r="38" spans="2:8" ht="18" customHeight="1" x14ac:dyDescent="0.6">
      <c r="B38" s="16">
        <v>53</v>
      </c>
      <c r="C38" s="17" t="s">
        <v>17</v>
      </c>
      <c r="D38" s="12" t="s">
        <v>18</v>
      </c>
      <c r="E38" s="13">
        <v>34900</v>
      </c>
      <c r="F38" s="18">
        <v>23</v>
      </c>
      <c r="G38" s="18">
        <v>0</v>
      </c>
      <c r="H38" s="15" t="str" cm="1">
        <f t="array" ref="H38">fn가입상태(F38,G38)</f>
        <v>정상</v>
      </c>
    </row>
    <row r="39" spans="2:8" ht="18" customHeight="1" x14ac:dyDescent="0.6">
      <c r="B39" s="16">
        <v>59</v>
      </c>
      <c r="C39" s="17" t="s">
        <v>17</v>
      </c>
      <c r="D39" s="12" t="s">
        <v>18</v>
      </c>
      <c r="E39" s="13">
        <v>34900</v>
      </c>
      <c r="F39" s="18">
        <v>9</v>
      </c>
      <c r="G39" s="18">
        <v>1</v>
      </c>
      <c r="H39" s="15" t="str" cm="1">
        <f t="array" ref="H39">fn가입상태(F39,G39)</f>
        <v>1개월 미납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42"/>
  <sheetViews>
    <sheetView workbookViewId="0">
      <selection activeCell="K1" sqref="K1"/>
    </sheetView>
  </sheetViews>
  <sheetFormatPr defaultRowHeight="16.899999999999999" x14ac:dyDescent="0.6"/>
  <cols>
    <col min="1" max="1" width="2.5625" customWidth="1"/>
    <col min="4" max="4" width="10.875" bestFit="1" customWidth="1"/>
    <col min="5" max="5" width="9.4375" bestFit="1" customWidth="1"/>
    <col min="6" max="6" width="9.875" bestFit="1" customWidth="1"/>
    <col min="8" max="8" width="12.4375" bestFit="1" customWidth="1"/>
    <col min="9" max="9" width="10" customWidth="1"/>
    <col min="10" max="10" width="10.0625" bestFit="1" customWidth="1"/>
  </cols>
  <sheetData>
    <row r="2" spans="2:10" x14ac:dyDescent="0.6">
      <c r="B2" s="29" t="s">
        <v>273</v>
      </c>
    </row>
    <row r="3" spans="2:10" x14ac:dyDescent="0.6">
      <c r="B3" s="44" t="s">
        <v>45</v>
      </c>
      <c r="C3" s="44" t="s">
        <v>19</v>
      </c>
      <c r="D3" s="44" t="s">
        <v>20</v>
      </c>
      <c r="E3" s="44" t="s">
        <v>46</v>
      </c>
      <c r="F3" s="44" t="s">
        <v>47</v>
      </c>
      <c r="G3" s="44" t="s">
        <v>48</v>
      </c>
      <c r="H3" s="44" t="s">
        <v>49</v>
      </c>
      <c r="I3" s="44" t="s">
        <v>50</v>
      </c>
      <c r="J3" s="43" t="s">
        <v>51</v>
      </c>
    </row>
    <row r="4" spans="2:10" ht="19.25" customHeight="1" x14ac:dyDescent="0.6">
      <c r="B4" s="30" t="s">
        <v>21</v>
      </c>
      <c r="C4" s="30" t="s">
        <v>22</v>
      </c>
      <c r="D4" s="30" t="s">
        <v>52</v>
      </c>
      <c r="E4" s="31" t="s">
        <v>23</v>
      </c>
      <c r="F4" s="31" t="s">
        <v>24</v>
      </c>
      <c r="G4" s="31" t="s">
        <v>44</v>
      </c>
      <c r="H4" s="30" t="s">
        <v>53</v>
      </c>
      <c r="I4" s="32">
        <v>612700</v>
      </c>
      <c r="J4" s="37" cm="1">
        <f t="array" ref="J4">fn의료비보조(C4,E4,I4)</f>
        <v>306350</v>
      </c>
    </row>
    <row r="5" spans="2:10" ht="19.25" customHeight="1" x14ac:dyDescent="0.6">
      <c r="B5" s="28" t="s">
        <v>21</v>
      </c>
      <c r="C5" s="28" t="s">
        <v>22</v>
      </c>
      <c r="D5" s="30" t="s">
        <v>52</v>
      </c>
      <c r="E5" s="33" t="s">
        <v>25</v>
      </c>
      <c r="F5" s="33" t="s">
        <v>26</v>
      </c>
      <c r="G5" s="33" t="s">
        <v>27</v>
      </c>
      <c r="H5" s="30" t="s">
        <v>54</v>
      </c>
      <c r="I5" s="34">
        <v>13000</v>
      </c>
      <c r="J5" s="37" cm="1">
        <f t="array" ref="J5">fn의료비보조(C5,E5,I5)</f>
        <v>0</v>
      </c>
    </row>
    <row r="6" spans="2:10" ht="19.25" customHeight="1" x14ac:dyDescent="0.6">
      <c r="B6" s="28" t="s">
        <v>21</v>
      </c>
      <c r="C6" s="28" t="s">
        <v>22</v>
      </c>
      <c r="D6" s="30" t="s">
        <v>52</v>
      </c>
      <c r="E6" s="33" t="s">
        <v>25</v>
      </c>
      <c r="F6" s="33" t="s">
        <v>26</v>
      </c>
      <c r="G6" s="33" t="s">
        <v>27</v>
      </c>
      <c r="H6" s="30" t="s">
        <v>54</v>
      </c>
      <c r="I6" s="34">
        <v>46000</v>
      </c>
      <c r="J6" s="37" cm="1">
        <f t="array" ref="J6">fn의료비보조(C6,E6,I6)</f>
        <v>0</v>
      </c>
    </row>
    <row r="7" spans="2:10" ht="19.25" customHeight="1" x14ac:dyDescent="0.6">
      <c r="B7" s="28" t="s">
        <v>21</v>
      </c>
      <c r="C7" s="28" t="s">
        <v>22</v>
      </c>
      <c r="D7" s="30" t="s">
        <v>52</v>
      </c>
      <c r="E7" s="33" t="s">
        <v>28</v>
      </c>
      <c r="F7" s="33" t="s">
        <v>29</v>
      </c>
      <c r="G7" s="33" t="s">
        <v>30</v>
      </c>
      <c r="H7" s="30" t="s">
        <v>30</v>
      </c>
      <c r="I7" s="34">
        <v>3000</v>
      </c>
      <c r="J7" s="37" cm="1">
        <f t="array" ref="J7">fn의료비보조(C7,E7,I7)</f>
        <v>0</v>
      </c>
    </row>
    <row r="8" spans="2:10" ht="19.25" customHeight="1" x14ac:dyDescent="0.6">
      <c r="B8" s="28" t="s">
        <v>21</v>
      </c>
      <c r="C8" s="28" t="s">
        <v>22</v>
      </c>
      <c r="D8" s="30" t="s">
        <v>52</v>
      </c>
      <c r="E8" s="33" t="s">
        <v>25</v>
      </c>
      <c r="F8" s="33" t="s">
        <v>29</v>
      </c>
      <c r="G8" s="33" t="s">
        <v>27</v>
      </c>
      <c r="H8" s="30" t="s">
        <v>54</v>
      </c>
      <c r="I8" s="34">
        <v>536790</v>
      </c>
      <c r="J8" s="37" cm="1">
        <f t="array" ref="J8">fn의료비보조(C8,E8,I8)</f>
        <v>0</v>
      </c>
    </row>
    <row r="9" spans="2:10" ht="19.25" customHeight="1" x14ac:dyDescent="0.6">
      <c r="B9" s="28" t="s">
        <v>21</v>
      </c>
      <c r="C9" s="28" t="s">
        <v>22</v>
      </c>
      <c r="D9" s="30" t="s">
        <v>52</v>
      </c>
      <c r="E9" s="33" t="s">
        <v>25</v>
      </c>
      <c r="F9" s="33" t="s">
        <v>29</v>
      </c>
      <c r="G9" s="33" t="s">
        <v>27</v>
      </c>
      <c r="H9" s="30" t="s">
        <v>54</v>
      </c>
      <c r="I9" s="34">
        <v>1738200</v>
      </c>
      <c r="J9" s="37" cm="1">
        <f t="array" ref="J9">fn의료비보조(C9,E9,I9)</f>
        <v>0</v>
      </c>
    </row>
    <row r="10" spans="2:10" ht="19.25" customHeight="1" x14ac:dyDescent="0.6">
      <c r="B10" s="28" t="s">
        <v>21</v>
      </c>
      <c r="C10" s="28" t="s">
        <v>22</v>
      </c>
      <c r="D10" s="30" t="s">
        <v>52</v>
      </c>
      <c r="E10" s="33" t="s">
        <v>25</v>
      </c>
      <c r="F10" s="33" t="s">
        <v>31</v>
      </c>
      <c r="G10" s="33" t="s">
        <v>27</v>
      </c>
      <c r="H10" s="30" t="s">
        <v>54</v>
      </c>
      <c r="I10" s="34">
        <v>23520</v>
      </c>
      <c r="J10" s="37" cm="1">
        <f t="array" ref="J10">fn의료비보조(C10,E10,I10)</f>
        <v>0</v>
      </c>
    </row>
    <row r="11" spans="2:10" ht="19.25" customHeight="1" x14ac:dyDescent="0.6">
      <c r="B11" s="27" t="s">
        <v>21</v>
      </c>
      <c r="C11" s="27" t="s">
        <v>22</v>
      </c>
      <c r="D11" s="30" t="s">
        <v>52</v>
      </c>
      <c r="E11" s="35" t="s">
        <v>23</v>
      </c>
      <c r="F11" s="35" t="s">
        <v>24</v>
      </c>
      <c r="G11" s="35" t="s">
        <v>32</v>
      </c>
      <c r="H11" s="30" t="s">
        <v>55</v>
      </c>
      <c r="I11" s="36">
        <v>58600</v>
      </c>
      <c r="J11" s="37" cm="1">
        <f t="array" ref="J11">fn의료비보조(C11,E11,I11)</f>
        <v>29300</v>
      </c>
    </row>
    <row r="12" spans="2:10" ht="19.25" customHeight="1" x14ac:dyDescent="0.6">
      <c r="B12" s="27" t="s">
        <v>21</v>
      </c>
      <c r="C12" s="27" t="s">
        <v>22</v>
      </c>
      <c r="D12" s="30" t="s">
        <v>52</v>
      </c>
      <c r="E12" s="35" t="s">
        <v>23</v>
      </c>
      <c r="F12" s="35" t="s">
        <v>24</v>
      </c>
      <c r="G12" s="35" t="s">
        <v>32</v>
      </c>
      <c r="H12" s="30" t="s">
        <v>55</v>
      </c>
      <c r="I12" s="36">
        <v>117840</v>
      </c>
      <c r="J12" s="37" cm="1">
        <f t="array" ref="J12">fn의료비보조(C12,E12,I12)</f>
        <v>58920</v>
      </c>
    </row>
    <row r="13" spans="2:10" ht="19.25" customHeight="1" x14ac:dyDescent="0.6">
      <c r="B13" s="27" t="s">
        <v>56</v>
      </c>
      <c r="C13" s="27" t="s">
        <v>57</v>
      </c>
      <c r="D13" s="30" t="s">
        <v>58</v>
      </c>
      <c r="E13" s="35" t="s">
        <v>33</v>
      </c>
      <c r="F13" s="35" t="s">
        <v>34</v>
      </c>
      <c r="G13" s="35" t="s">
        <v>59</v>
      </c>
      <c r="H13" s="30" t="s">
        <v>30</v>
      </c>
      <c r="I13" s="36">
        <v>220000</v>
      </c>
      <c r="J13" s="37" cm="1">
        <f t="array" ref="J13">fn의료비보조(C13,E13,I13)</f>
        <v>0</v>
      </c>
    </row>
    <row r="14" spans="2:10" ht="19.25" customHeight="1" x14ac:dyDescent="0.6">
      <c r="B14" s="27" t="s">
        <v>56</v>
      </c>
      <c r="C14" s="27" t="s">
        <v>57</v>
      </c>
      <c r="D14" s="30" t="s">
        <v>58</v>
      </c>
      <c r="E14" s="35" t="s">
        <v>23</v>
      </c>
      <c r="F14" s="35" t="s">
        <v>24</v>
      </c>
      <c r="G14" s="35" t="s">
        <v>44</v>
      </c>
      <c r="H14" s="30" t="s">
        <v>53</v>
      </c>
      <c r="I14" s="36">
        <v>44700</v>
      </c>
      <c r="J14" s="37" cm="1">
        <f t="array" ref="J14">fn의료비보조(C14,E14,I14)</f>
        <v>35760</v>
      </c>
    </row>
    <row r="15" spans="2:10" ht="19.25" customHeight="1" x14ac:dyDescent="0.6">
      <c r="B15" s="27" t="s">
        <v>56</v>
      </c>
      <c r="C15" s="27" t="s">
        <v>57</v>
      </c>
      <c r="D15" s="30" t="s">
        <v>58</v>
      </c>
      <c r="E15" s="35" t="s">
        <v>23</v>
      </c>
      <c r="F15" s="35" t="s">
        <v>24</v>
      </c>
      <c r="G15" s="35" t="s">
        <v>44</v>
      </c>
      <c r="H15" s="30" t="s">
        <v>53</v>
      </c>
      <c r="I15" s="36">
        <v>88400</v>
      </c>
      <c r="J15" s="37" cm="1">
        <f t="array" ref="J15">fn의료비보조(C15,E15,I15)</f>
        <v>70720</v>
      </c>
    </row>
    <row r="16" spans="2:10" ht="19.25" customHeight="1" x14ac:dyDescent="0.6">
      <c r="B16" s="27" t="s">
        <v>56</v>
      </c>
      <c r="C16" s="27" t="s">
        <v>57</v>
      </c>
      <c r="D16" s="30" t="s">
        <v>58</v>
      </c>
      <c r="E16" s="35" t="s">
        <v>23</v>
      </c>
      <c r="F16" s="35" t="s">
        <v>24</v>
      </c>
      <c r="G16" s="35" t="s">
        <v>32</v>
      </c>
      <c r="H16" s="30" t="s">
        <v>55</v>
      </c>
      <c r="I16" s="36">
        <v>107190</v>
      </c>
      <c r="J16" s="37" cm="1">
        <f t="array" ref="J16">fn의료비보조(C16,E16,I16)</f>
        <v>85752</v>
      </c>
    </row>
    <row r="17" spans="2:10" ht="19.25" customHeight="1" x14ac:dyDescent="0.6">
      <c r="B17" s="27" t="s">
        <v>35</v>
      </c>
      <c r="C17" s="27" t="s">
        <v>36</v>
      </c>
      <c r="D17" s="30" t="s">
        <v>52</v>
      </c>
      <c r="E17" s="35" t="s">
        <v>23</v>
      </c>
      <c r="F17" s="35" t="s">
        <v>24</v>
      </c>
      <c r="G17" s="35" t="s">
        <v>32</v>
      </c>
      <c r="H17" s="30" t="s">
        <v>55</v>
      </c>
      <c r="I17" s="36">
        <v>360600</v>
      </c>
      <c r="J17" s="37" cm="1">
        <f t="array" ref="J17">fn의료비보조(C17,E17,I17)</f>
        <v>180300</v>
      </c>
    </row>
    <row r="18" spans="2:10" ht="19.25" customHeight="1" x14ac:dyDescent="0.6">
      <c r="B18" s="28" t="s">
        <v>35</v>
      </c>
      <c r="C18" s="28" t="s">
        <v>36</v>
      </c>
      <c r="D18" s="30" t="s">
        <v>52</v>
      </c>
      <c r="E18" s="33" t="s">
        <v>28</v>
      </c>
      <c r="F18" s="33" t="s">
        <v>29</v>
      </c>
      <c r="G18" s="33" t="s">
        <v>30</v>
      </c>
      <c r="H18" s="30" t="s">
        <v>30</v>
      </c>
      <c r="I18" s="34">
        <v>145000</v>
      </c>
      <c r="J18" s="37" cm="1">
        <f t="array" ref="J18">fn의료비보조(C18,E18,I18)</f>
        <v>0</v>
      </c>
    </row>
    <row r="19" spans="2:10" ht="19.25" customHeight="1" x14ac:dyDescent="0.6">
      <c r="B19" s="28" t="s">
        <v>35</v>
      </c>
      <c r="C19" s="28" t="s">
        <v>36</v>
      </c>
      <c r="D19" s="30" t="s">
        <v>52</v>
      </c>
      <c r="E19" s="33" t="s">
        <v>28</v>
      </c>
      <c r="F19" s="33" t="s">
        <v>29</v>
      </c>
      <c r="G19" s="33" t="s">
        <v>30</v>
      </c>
      <c r="H19" s="30" t="s">
        <v>30</v>
      </c>
      <c r="I19" s="34">
        <v>231000</v>
      </c>
      <c r="J19" s="37" cm="1">
        <f t="array" ref="J19">fn의료비보조(C19,E19,I19)</f>
        <v>0</v>
      </c>
    </row>
    <row r="20" spans="2:10" ht="19.25" customHeight="1" x14ac:dyDescent="0.6">
      <c r="B20" s="27" t="s">
        <v>35</v>
      </c>
      <c r="C20" s="27" t="s">
        <v>36</v>
      </c>
      <c r="D20" s="30" t="s">
        <v>52</v>
      </c>
      <c r="E20" s="35" t="s">
        <v>23</v>
      </c>
      <c r="F20" s="35" t="s">
        <v>24</v>
      </c>
      <c r="G20" s="35" t="s">
        <v>32</v>
      </c>
      <c r="H20" s="30" t="s">
        <v>55</v>
      </c>
      <c r="I20" s="36">
        <v>50620</v>
      </c>
      <c r="J20" s="37" cm="1">
        <f t="array" ref="J20">fn의료비보조(C20,E20,I20)</f>
        <v>25310</v>
      </c>
    </row>
    <row r="21" spans="2:10" ht="19.25" customHeight="1" x14ac:dyDescent="0.6">
      <c r="B21" s="28" t="s">
        <v>37</v>
      </c>
      <c r="C21" s="28" t="s">
        <v>38</v>
      </c>
      <c r="D21" s="30" t="s">
        <v>52</v>
      </c>
      <c r="E21" s="33" t="s">
        <v>39</v>
      </c>
      <c r="F21" s="33" t="s">
        <v>26</v>
      </c>
      <c r="G21" s="33" t="s">
        <v>40</v>
      </c>
      <c r="H21" s="30" t="s">
        <v>60</v>
      </c>
      <c r="I21" s="34">
        <v>46360</v>
      </c>
      <c r="J21" s="37" cm="1">
        <f t="array" ref="J21">fn의료비보조(C21,E21,I21)</f>
        <v>0</v>
      </c>
    </row>
    <row r="22" spans="2:10" ht="19.25" customHeight="1" x14ac:dyDescent="0.6">
      <c r="B22" s="28" t="s">
        <v>37</v>
      </c>
      <c r="C22" s="28" t="s">
        <v>38</v>
      </c>
      <c r="D22" s="30" t="s">
        <v>52</v>
      </c>
      <c r="E22" s="33" t="s">
        <v>39</v>
      </c>
      <c r="F22" s="33" t="s">
        <v>26</v>
      </c>
      <c r="G22" s="33" t="s">
        <v>40</v>
      </c>
      <c r="H22" s="30" t="s">
        <v>60</v>
      </c>
      <c r="I22" s="34">
        <v>143040</v>
      </c>
      <c r="J22" s="37" cm="1">
        <f t="array" ref="J22">fn의료비보조(C22,E22,I22)</f>
        <v>0</v>
      </c>
    </row>
    <row r="23" spans="2:10" ht="19.25" customHeight="1" x14ac:dyDescent="0.6">
      <c r="B23" s="28" t="s">
        <v>37</v>
      </c>
      <c r="C23" s="28" t="s">
        <v>38</v>
      </c>
      <c r="D23" s="30" t="s">
        <v>52</v>
      </c>
      <c r="E23" s="33" t="s">
        <v>39</v>
      </c>
      <c r="F23" s="33" t="s">
        <v>29</v>
      </c>
      <c r="G23" s="33" t="s">
        <v>40</v>
      </c>
      <c r="H23" s="30" t="s">
        <v>60</v>
      </c>
      <c r="I23" s="34">
        <v>138660</v>
      </c>
      <c r="J23" s="37" cm="1">
        <f t="array" ref="J23">fn의료비보조(C23,E23,I23)</f>
        <v>0</v>
      </c>
    </row>
    <row r="24" spans="2:10" ht="19.25" customHeight="1" x14ac:dyDescent="0.6">
      <c r="B24" s="28" t="s">
        <v>37</v>
      </c>
      <c r="C24" s="28" t="s">
        <v>38</v>
      </c>
      <c r="D24" s="30" t="s">
        <v>52</v>
      </c>
      <c r="E24" s="33" t="s">
        <v>39</v>
      </c>
      <c r="F24" s="33" t="s">
        <v>29</v>
      </c>
      <c r="G24" s="33" t="s">
        <v>40</v>
      </c>
      <c r="H24" s="30" t="s">
        <v>60</v>
      </c>
      <c r="I24" s="34">
        <v>239250</v>
      </c>
      <c r="J24" s="37" cm="1">
        <f t="array" ref="J24">fn의료비보조(C24,E24,I24)</f>
        <v>0</v>
      </c>
    </row>
    <row r="25" spans="2:10" ht="19.25" customHeight="1" x14ac:dyDescent="0.6">
      <c r="B25" s="28" t="s">
        <v>37</v>
      </c>
      <c r="C25" s="28" t="s">
        <v>38</v>
      </c>
      <c r="D25" s="30" t="s">
        <v>52</v>
      </c>
      <c r="E25" s="33" t="s">
        <v>39</v>
      </c>
      <c r="F25" s="33" t="s">
        <v>31</v>
      </c>
      <c r="G25" s="33" t="s">
        <v>40</v>
      </c>
      <c r="H25" s="30" t="s">
        <v>60</v>
      </c>
      <c r="I25" s="34">
        <v>4000</v>
      </c>
      <c r="J25" s="37" cm="1">
        <f t="array" ref="J25">fn의료비보조(C25,E25,I25)</f>
        <v>0</v>
      </c>
    </row>
    <row r="26" spans="2:10" ht="19.25" customHeight="1" x14ac:dyDescent="0.6">
      <c r="B26" s="27" t="s">
        <v>37</v>
      </c>
      <c r="C26" s="27" t="s">
        <v>38</v>
      </c>
      <c r="D26" s="30" t="s">
        <v>52</v>
      </c>
      <c r="E26" s="35" t="s">
        <v>23</v>
      </c>
      <c r="F26" s="35" t="s">
        <v>24</v>
      </c>
      <c r="G26" s="35" t="s">
        <v>32</v>
      </c>
      <c r="H26" s="30" t="s">
        <v>55</v>
      </c>
      <c r="I26" s="36">
        <v>81970</v>
      </c>
      <c r="J26" s="37" cm="1">
        <f t="array" ref="J26">fn의료비보조(C26,E26,I26)</f>
        <v>65576</v>
      </c>
    </row>
    <row r="27" spans="2:10" ht="19.25" customHeight="1" x14ac:dyDescent="0.6">
      <c r="B27" s="28" t="s">
        <v>41</v>
      </c>
      <c r="C27" s="28" t="s">
        <v>42</v>
      </c>
      <c r="D27" s="30" t="s">
        <v>52</v>
      </c>
      <c r="E27" s="33" t="s">
        <v>25</v>
      </c>
      <c r="F27" s="33" t="s">
        <v>26</v>
      </c>
      <c r="G27" s="33" t="s">
        <v>43</v>
      </c>
      <c r="H27" s="30" t="s">
        <v>61</v>
      </c>
      <c r="I27" s="34">
        <v>15000</v>
      </c>
      <c r="J27" s="37" cm="1">
        <f t="array" ref="J27">fn의료비보조(C27,E27,I27)</f>
        <v>0</v>
      </c>
    </row>
    <row r="28" spans="2:10" ht="19.25" customHeight="1" x14ac:dyDescent="0.6">
      <c r="B28" s="28" t="s">
        <v>41</v>
      </c>
      <c r="C28" s="28" t="s">
        <v>42</v>
      </c>
      <c r="D28" s="30" t="s">
        <v>52</v>
      </c>
      <c r="E28" s="33" t="s">
        <v>25</v>
      </c>
      <c r="F28" s="33" t="s">
        <v>26</v>
      </c>
      <c r="G28" s="33" t="s">
        <v>27</v>
      </c>
      <c r="H28" s="30" t="s">
        <v>54</v>
      </c>
      <c r="I28" s="34">
        <v>111980</v>
      </c>
      <c r="J28" s="37" cm="1">
        <f t="array" ref="J28">fn의료비보조(C28,E28,I28)</f>
        <v>0</v>
      </c>
    </row>
    <row r="29" spans="2:10" ht="19.25" customHeight="1" x14ac:dyDescent="0.6">
      <c r="B29" s="28" t="s">
        <v>41</v>
      </c>
      <c r="C29" s="28" t="s">
        <v>42</v>
      </c>
      <c r="D29" s="30" t="s">
        <v>52</v>
      </c>
      <c r="E29" s="33" t="s">
        <v>25</v>
      </c>
      <c r="F29" s="33" t="s">
        <v>26</v>
      </c>
      <c r="G29" s="33" t="s">
        <v>27</v>
      </c>
      <c r="H29" s="30" t="s">
        <v>54</v>
      </c>
      <c r="I29" s="34">
        <v>213200</v>
      </c>
      <c r="J29" s="37" cm="1">
        <f t="array" ref="J29">fn의료비보조(C29,E29,I29)</f>
        <v>0</v>
      </c>
    </row>
    <row r="30" spans="2:10" ht="19.25" customHeight="1" x14ac:dyDescent="0.6">
      <c r="B30" s="27" t="s">
        <v>41</v>
      </c>
      <c r="C30" s="27" t="s">
        <v>42</v>
      </c>
      <c r="D30" s="30" t="s">
        <v>52</v>
      </c>
      <c r="E30" s="35" t="s">
        <v>33</v>
      </c>
      <c r="F30" s="35" t="s">
        <v>34</v>
      </c>
      <c r="G30" s="35" t="s">
        <v>59</v>
      </c>
      <c r="H30" s="30" t="s">
        <v>30</v>
      </c>
      <c r="I30" s="36">
        <v>110000</v>
      </c>
      <c r="J30" s="37" cm="1">
        <f t="array" ref="J30">fn의료비보조(C30,E30,I30)</f>
        <v>0</v>
      </c>
    </row>
    <row r="31" spans="2:10" ht="19.25" customHeight="1" x14ac:dyDescent="0.6">
      <c r="B31" s="27" t="s">
        <v>41</v>
      </c>
      <c r="C31" s="27" t="s">
        <v>42</v>
      </c>
      <c r="D31" s="30" t="s">
        <v>52</v>
      </c>
      <c r="E31" s="35" t="s">
        <v>33</v>
      </c>
      <c r="F31" s="35" t="s">
        <v>34</v>
      </c>
      <c r="G31" s="35" t="s">
        <v>59</v>
      </c>
      <c r="H31" s="30" t="s">
        <v>30</v>
      </c>
      <c r="I31" s="36">
        <v>240000</v>
      </c>
      <c r="J31" s="37" cm="1">
        <f t="array" ref="J31">fn의료비보조(C31,E31,I31)</f>
        <v>0</v>
      </c>
    </row>
    <row r="32" spans="2:10" ht="19.25" customHeight="1" x14ac:dyDescent="0.6">
      <c r="B32" s="27" t="s">
        <v>41</v>
      </c>
      <c r="C32" s="27" t="s">
        <v>42</v>
      </c>
      <c r="D32" s="30" t="s">
        <v>52</v>
      </c>
      <c r="E32" s="35" t="s">
        <v>33</v>
      </c>
      <c r="F32" s="35" t="s">
        <v>34</v>
      </c>
      <c r="G32" s="35" t="s">
        <v>59</v>
      </c>
      <c r="H32" s="30" t="s">
        <v>30</v>
      </c>
      <c r="I32" s="36">
        <v>600000</v>
      </c>
      <c r="J32" s="37" cm="1">
        <f t="array" ref="J32">fn의료비보조(C32,E32,I32)</f>
        <v>0</v>
      </c>
    </row>
    <row r="33" spans="2:10" ht="19.25" customHeight="1" x14ac:dyDescent="0.6">
      <c r="B33" s="28" t="s">
        <v>41</v>
      </c>
      <c r="C33" s="28" t="s">
        <v>42</v>
      </c>
      <c r="D33" s="30" t="s">
        <v>52</v>
      </c>
      <c r="E33" s="33" t="s">
        <v>28</v>
      </c>
      <c r="F33" s="33" t="s">
        <v>29</v>
      </c>
      <c r="G33" s="33" t="s">
        <v>30</v>
      </c>
      <c r="H33" s="30" t="s">
        <v>30</v>
      </c>
      <c r="I33" s="34">
        <v>62340</v>
      </c>
      <c r="J33" s="37" cm="1">
        <f t="array" ref="J33">fn의료비보조(C33,E33,I33)</f>
        <v>0</v>
      </c>
    </row>
    <row r="34" spans="2:10" ht="19.25" customHeight="1" x14ac:dyDescent="0.6">
      <c r="B34" s="28" t="s">
        <v>41</v>
      </c>
      <c r="C34" s="28" t="s">
        <v>42</v>
      </c>
      <c r="D34" s="30" t="s">
        <v>52</v>
      </c>
      <c r="E34" s="33" t="s">
        <v>28</v>
      </c>
      <c r="F34" s="33" t="s">
        <v>29</v>
      </c>
      <c r="G34" s="33" t="s">
        <v>30</v>
      </c>
      <c r="H34" s="30" t="s">
        <v>30</v>
      </c>
      <c r="I34" s="34">
        <v>213020</v>
      </c>
      <c r="J34" s="37" cm="1">
        <f t="array" ref="J34">fn의료비보조(C34,E34,I34)</f>
        <v>0</v>
      </c>
    </row>
    <row r="35" spans="2:10" ht="19.25" customHeight="1" x14ac:dyDescent="0.6">
      <c r="B35" s="28" t="s">
        <v>41</v>
      </c>
      <c r="C35" s="28" t="s">
        <v>42</v>
      </c>
      <c r="D35" s="30" t="s">
        <v>52</v>
      </c>
      <c r="E35" s="33" t="s">
        <v>25</v>
      </c>
      <c r="F35" s="33" t="s">
        <v>29</v>
      </c>
      <c r="G35" s="33" t="s">
        <v>27</v>
      </c>
      <c r="H35" s="30" t="s">
        <v>54</v>
      </c>
      <c r="I35" s="34">
        <v>1925602</v>
      </c>
      <c r="J35" s="37" cm="1">
        <f t="array" ref="J35">fn의료비보조(C35,E35,I35)</f>
        <v>0</v>
      </c>
    </row>
    <row r="36" spans="2:10" ht="19.25" customHeight="1" x14ac:dyDescent="0.6">
      <c r="B36" s="28" t="s">
        <v>41</v>
      </c>
      <c r="C36" s="28" t="s">
        <v>42</v>
      </c>
      <c r="D36" s="30" t="s">
        <v>52</v>
      </c>
      <c r="E36" s="33" t="s">
        <v>25</v>
      </c>
      <c r="F36" s="33" t="s">
        <v>29</v>
      </c>
      <c r="G36" s="33" t="s">
        <v>27</v>
      </c>
      <c r="H36" s="30" t="s">
        <v>54</v>
      </c>
      <c r="I36" s="34">
        <v>2638488</v>
      </c>
      <c r="J36" s="37" cm="1">
        <f t="array" ref="J36">fn의료비보조(C36,E36,I36)</f>
        <v>0</v>
      </c>
    </row>
    <row r="37" spans="2:10" ht="19.25" customHeight="1" x14ac:dyDescent="0.6">
      <c r="B37" s="28" t="s">
        <v>41</v>
      </c>
      <c r="C37" s="28" t="s">
        <v>42</v>
      </c>
      <c r="D37" s="30" t="s">
        <v>52</v>
      </c>
      <c r="E37" s="33" t="s">
        <v>25</v>
      </c>
      <c r="F37" s="33" t="s">
        <v>29</v>
      </c>
      <c r="G37" s="33" t="s">
        <v>43</v>
      </c>
      <c r="H37" s="30" t="s">
        <v>61</v>
      </c>
      <c r="I37" s="34">
        <v>10725504</v>
      </c>
      <c r="J37" s="37" cm="1">
        <f t="array" ref="J37">fn의료비보조(C37,E37,I37)</f>
        <v>0</v>
      </c>
    </row>
    <row r="38" spans="2:10" ht="19.25" customHeight="1" x14ac:dyDescent="0.6">
      <c r="B38" s="28" t="s">
        <v>41</v>
      </c>
      <c r="C38" s="28" t="s">
        <v>42</v>
      </c>
      <c r="D38" s="30" t="s">
        <v>52</v>
      </c>
      <c r="E38" s="33" t="s">
        <v>25</v>
      </c>
      <c r="F38" s="33" t="s">
        <v>29</v>
      </c>
      <c r="G38" s="33" t="s">
        <v>43</v>
      </c>
      <c r="H38" s="30" t="s">
        <v>61</v>
      </c>
      <c r="I38" s="34">
        <v>12127516</v>
      </c>
      <c r="J38" s="37" cm="1">
        <f t="array" ref="J38">fn의료비보조(C38,E38,I38)</f>
        <v>0</v>
      </c>
    </row>
    <row r="39" spans="2:10" ht="19.25" customHeight="1" x14ac:dyDescent="0.6">
      <c r="B39" s="28" t="s">
        <v>41</v>
      </c>
      <c r="C39" s="28" t="s">
        <v>42</v>
      </c>
      <c r="D39" s="30" t="s">
        <v>52</v>
      </c>
      <c r="E39" s="33" t="s">
        <v>25</v>
      </c>
      <c r="F39" s="33" t="s">
        <v>31</v>
      </c>
      <c r="G39" s="33" t="s">
        <v>43</v>
      </c>
      <c r="H39" s="30" t="s">
        <v>61</v>
      </c>
      <c r="I39" s="34">
        <v>8000</v>
      </c>
      <c r="J39" s="37" cm="1">
        <f t="array" ref="J39">fn의료비보조(C39,E39,I39)</f>
        <v>0</v>
      </c>
    </row>
    <row r="40" spans="2:10" ht="19.25" customHeight="1" x14ac:dyDescent="0.6">
      <c r="B40" s="28" t="s">
        <v>41</v>
      </c>
      <c r="C40" s="28" t="s">
        <v>42</v>
      </c>
      <c r="D40" s="30" t="s">
        <v>52</v>
      </c>
      <c r="E40" s="33" t="s">
        <v>25</v>
      </c>
      <c r="F40" s="33" t="s">
        <v>31</v>
      </c>
      <c r="G40" s="33" t="s">
        <v>43</v>
      </c>
      <c r="H40" s="30" t="s">
        <v>61</v>
      </c>
      <c r="I40" s="34">
        <v>60100</v>
      </c>
      <c r="J40" s="37" cm="1">
        <f t="array" ref="J40">fn의료비보조(C40,E40,I40)</f>
        <v>0</v>
      </c>
    </row>
    <row r="41" spans="2:10" ht="19.25" customHeight="1" x14ac:dyDescent="0.6">
      <c r="B41" s="27" t="s">
        <v>41</v>
      </c>
      <c r="C41" s="27" t="s">
        <v>42</v>
      </c>
      <c r="D41" s="30" t="s">
        <v>52</v>
      </c>
      <c r="E41" s="35" t="s">
        <v>23</v>
      </c>
      <c r="F41" s="35" t="s">
        <v>24</v>
      </c>
      <c r="G41" s="35" t="s">
        <v>44</v>
      </c>
      <c r="H41" s="30" t="s">
        <v>53</v>
      </c>
      <c r="I41" s="36">
        <v>59400</v>
      </c>
      <c r="J41" s="37" cm="1">
        <f t="array" ref="J41">fn의료비보조(C41,E41,I41)</f>
        <v>47520</v>
      </c>
    </row>
    <row r="42" spans="2:10" ht="19.25" customHeight="1" x14ac:dyDescent="0.6">
      <c r="B42" s="27" t="s">
        <v>41</v>
      </c>
      <c r="C42" s="27" t="s">
        <v>42</v>
      </c>
      <c r="D42" s="30" t="s">
        <v>52</v>
      </c>
      <c r="E42" s="35" t="s">
        <v>23</v>
      </c>
      <c r="F42" s="35" t="s">
        <v>24</v>
      </c>
      <c r="G42" s="35" t="s">
        <v>44</v>
      </c>
      <c r="H42" s="30" t="s">
        <v>53</v>
      </c>
      <c r="I42" s="36">
        <v>103400</v>
      </c>
      <c r="J42" s="37" cm="1">
        <f t="array" ref="J42">fn의료비보조(C42,E42,I42)</f>
        <v>82720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33"/>
  <sheetViews>
    <sheetView workbookViewId="0">
      <selection activeCell="L2" sqref="L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  <col min="11" max="11" width="9.375" customWidth="1"/>
  </cols>
  <sheetData>
    <row r="2" spans="2:11" x14ac:dyDescent="0.6">
      <c r="B2" t="s">
        <v>303</v>
      </c>
    </row>
    <row r="3" spans="2:11" x14ac:dyDescent="0.6">
      <c r="B3" s="38" t="s">
        <v>270</v>
      </c>
      <c r="C3" s="38" t="s">
        <v>271</v>
      </c>
      <c r="D3" s="38" t="s">
        <v>2</v>
      </c>
      <c r="E3" s="38" t="s">
        <v>274</v>
      </c>
      <c r="F3" s="38" t="s">
        <v>272</v>
      </c>
      <c r="G3" s="38" t="s">
        <v>275</v>
      </c>
      <c r="H3" s="38" t="s">
        <v>276</v>
      </c>
      <c r="I3" s="38" t="s">
        <v>277</v>
      </c>
      <c r="J3" s="38" t="s">
        <v>278</v>
      </c>
      <c r="K3" s="39" t="s">
        <v>302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 cm="1">
        <f t="array" ref="K4">fn결과(H4,I4,J4)</f>
        <v>합격-883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cm="1">
        <f t="array" ref="K5">fn결과(H5,I5,J5)</f>
        <v>791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cm="1">
        <f t="array" ref="K6">fn결과(H6,I6,J6)</f>
        <v>722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 cm="1">
        <f t="array" ref="K7">fn결과(H7,I7,J7)</f>
        <v>합격-850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 cm="1">
        <f t="array" ref="K8">fn결과(H8,I8,J8)</f>
        <v>합격-868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cm="1">
        <f t="array" ref="K9">fn결과(H9,I9,J9)</f>
        <v>553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 cm="1">
        <f t="array" ref="K10">fn결과(H10,I10,J10)</f>
        <v>합격-850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 cm="1">
        <f t="array" ref="K11">fn결과(H11,I11,J11)</f>
        <v>합격-889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 cm="1">
        <f t="array" ref="K12">fn결과(H12,I12,J12)</f>
        <v>합격-924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 cm="1">
        <f t="array" ref="K13">fn결과(H13,I13,J13)</f>
        <v>합격-909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cm="1">
        <f t="array" ref="K14">fn결과(H14,I14,J14)</f>
        <v>732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 cm="1">
        <f t="array" ref="K15">fn결과(H15,I15,J15)</f>
        <v>합격-806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 cm="1">
        <f t="array" ref="K16">fn결과(H16,I16,J16)</f>
        <v>합격-873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 cm="1">
        <f t="array" ref="K17">fn결과(H17,I17,J17)</f>
        <v>합격-826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 cm="1">
        <f t="array" ref="K18">fn결과(H18,I18,J18)</f>
        <v>합격-819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 cm="1">
        <f t="array" ref="K19">fn결과(H19,I19,J19)</f>
        <v>합격-888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cm="1">
        <f t="array" ref="K20">fn결과(H20,I20,J20)</f>
        <v>685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 cm="1">
        <f t="array" ref="K21">fn결과(H21,I21,J21)</f>
        <v>합격-828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cm="1">
        <f t="array" ref="K22">fn결과(H22,I22,J22)</f>
        <v>780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cm="1">
        <f t="array" ref="K23">fn결과(H23,I23,J23)</f>
        <v>664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cm="1">
        <f t="array" ref="K24">fn결과(H24,I24,J24)</f>
        <v>612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cm="1">
        <f t="array" ref="K25">fn결과(H25,I25,J25)</f>
        <v>659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 cm="1">
        <f t="array" ref="K26">fn결과(H26,I26,J26)</f>
        <v>합격-916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cm="1">
        <f t="array" ref="K27">fn결과(H27,I27,J27)</f>
        <v>626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cm="1">
        <f t="array" ref="K28">fn결과(H28,I28,J28)</f>
        <v>709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cm="1">
        <f t="array" ref="K29">fn결과(H29,I29,J29)</f>
        <v>513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cm="1">
        <f t="array" ref="K30">fn결과(H30,I30,J30)</f>
        <v>783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cm="1">
        <f t="array" ref="K31">fn결과(H31,I31,J31)</f>
        <v>742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cm="1">
        <f t="array" ref="K32">fn결과(H32,I32,J32)</f>
        <v>666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 cm="1">
        <f t="array" ref="K33">fn결과(H33,I33,J33)</f>
        <v>합격-873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B2:K33"/>
  <sheetViews>
    <sheetView workbookViewId="0">
      <selection activeCell="L2" sqref="L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</cols>
  <sheetData>
    <row r="2" spans="2:11" x14ac:dyDescent="0.6">
      <c r="B2" t="s">
        <v>303</v>
      </c>
    </row>
    <row r="3" spans="2:11" x14ac:dyDescent="0.6">
      <c r="B3" s="38" t="s">
        <v>270</v>
      </c>
      <c r="C3" s="38" t="s">
        <v>271</v>
      </c>
      <c r="D3" s="38" t="s">
        <v>2</v>
      </c>
      <c r="E3" s="38" t="s">
        <v>274</v>
      </c>
      <c r="F3" s="38" t="s">
        <v>272</v>
      </c>
      <c r="G3" s="38" t="s">
        <v>275</v>
      </c>
      <c r="H3" s="38" t="s">
        <v>276</v>
      </c>
      <c r="I3" s="38" t="s">
        <v>277</v>
      </c>
      <c r="J3" s="38" t="s">
        <v>278</v>
      </c>
      <c r="K3" s="39" t="s">
        <v>304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 cm="1">
        <f t="array" ref="K4">fn판정(H4,I4,J4)</f>
        <v>합격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t="str" cm="1">
        <f t="array" ref="K5">fn판정(H5,I5,J5)</f>
        <v>재시험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t="str" cm="1">
        <f t="array" ref="K6">fn판정(H6,I6,J6)</f>
        <v>재시험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 cm="1">
        <f t="array" ref="K7">fn판정(H7,I7,J7)</f>
        <v>재시험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 cm="1">
        <f t="array" ref="K8">fn판정(H8,I8,J8)</f>
        <v>합격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t="str" cm="1">
        <f t="array" ref="K9">fn판정(H9,I9,J9)</f>
        <v>재시험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 cm="1">
        <f t="array" ref="K10">fn판정(H10,I10,J10)</f>
        <v>재시험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 cm="1">
        <f t="array" ref="K11">fn판정(H11,I11,J11)</f>
        <v>합격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 cm="1">
        <f t="array" ref="K12">fn판정(H12,I12,J12)</f>
        <v>합격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 cm="1">
        <f t="array" ref="K13">fn판정(H13,I13,J13)</f>
        <v>합격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t="str" cm="1">
        <f t="array" ref="K14">fn판정(H14,I14,J14)</f>
        <v>재시험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 cm="1">
        <f t="array" ref="K15">fn판정(H15,I15,J15)</f>
        <v>재시험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 cm="1">
        <f t="array" ref="K16">fn판정(H16,I16,J16)</f>
        <v>합격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 cm="1">
        <f t="array" ref="K17">fn판정(H17,I17,J17)</f>
        <v>재시험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 cm="1">
        <f t="array" ref="K18">fn판정(H18,I18,J18)</f>
        <v>재시험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 cm="1">
        <f t="array" ref="K19">fn판정(H19,I19,J19)</f>
        <v>합격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t="str" cm="1">
        <f t="array" ref="K20">fn판정(H20,I20,J20)</f>
        <v>재시험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 cm="1">
        <f t="array" ref="K21">fn판정(H21,I21,J21)</f>
        <v>재시험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t="str" cm="1">
        <f t="array" ref="K22">fn판정(H22,I22,J22)</f>
        <v>재시험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t="str" cm="1">
        <f t="array" ref="K23">fn판정(H23,I23,J23)</f>
        <v>재시험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t="str" cm="1">
        <f t="array" ref="K24">fn판정(H24,I24,J24)</f>
        <v>재시험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t="str" cm="1">
        <f t="array" ref="K25">fn판정(H25,I25,J25)</f>
        <v>재시험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 cm="1">
        <f t="array" ref="K26">fn판정(H26,I26,J26)</f>
        <v>합격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t="str" cm="1">
        <f t="array" ref="K27">fn판정(H27,I27,J27)</f>
        <v>재시험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t="str" cm="1">
        <f t="array" ref="K28">fn판정(H28,I28,J28)</f>
        <v>재시험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t="str" cm="1">
        <f t="array" ref="K29">fn판정(H29,I29,J29)</f>
        <v>재시험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t="str" cm="1">
        <f t="array" ref="K30">fn판정(H30,I30,J30)</f>
        <v>재시험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t="str" cm="1">
        <f t="array" ref="K31">fn판정(H31,I31,J31)</f>
        <v>재시험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t="str" cm="1">
        <f t="array" ref="K32">fn판정(H32,I32,J32)</f>
        <v>재시험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 cm="1">
        <f t="array" ref="K33">fn판정(H33,I33,J33)</f>
        <v>재시험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I33"/>
  <sheetViews>
    <sheetView workbookViewId="0">
      <selection activeCell="J2" sqref="J2"/>
    </sheetView>
  </sheetViews>
  <sheetFormatPr defaultRowHeight="16.899999999999999" x14ac:dyDescent="0.6"/>
  <cols>
    <col min="1" max="1" width="2.5625" customWidth="1"/>
    <col min="2" max="2" width="12.6875" bestFit="1" customWidth="1"/>
    <col min="3" max="3" width="10.5625" bestFit="1" customWidth="1"/>
    <col min="6" max="6" width="10.0625" bestFit="1" customWidth="1"/>
    <col min="7" max="7" width="20.9375" bestFit="1" customWidth="1"/>
    <col min="8" max="8" width="12.6875" bestFit="1" customWidth="1"/>
    <col min="10" max="10" width="10" bestFit="1" customWidth="1"/>
    <col min="11" max="11" width="12.6875" bestFit="1" customWidth="1"/>
    <col min="12" max="12" width="10.5625" bestFit="1" customWidth="1"/>
    <col min="14" max="14" width="6.4375" bestFit="1" customWidth="1"/>
    <col min="15" max="15" width="10.0625" bestFit="1" customWidth="1"/>
  </cols>
  <sheetData>
    <row r="2" spans="2:9" x14ac:dyDescent="0.6">
      <c r="B2" t="s">
        <v>303</v>
      </c>
    </row>
    <row r="3" spans="2:9" x14ac:dyDescent="0.6">
      <c r="B3" s="40" t="s">
        <v>63</v>
      </c>
      <c r="C3" s="40" t="s">
        <v>64</v>
      </c>
      <c r="D3" s="40" t="s">
        <v>65</v>
      </c>
      <c r="E3" s="40" t="s">
        <v>3</v>
      </c>
      <c r="F3" s="40" t="s">
        <v>66</v>
      </c>
      <c r="G3" s="40" t="s">
        <v>67</v>
      </c>
      <c r="H3" s="40" t="s">
        <v>68</v>
      </c>
      <c r="I3" s="41" t="s">
        <v>305</v>
      </c>
    </row>
    <row r="4" spans="2:9" x14ac:dyDescent="0.6">
      <c r="B4" s="1" t="s">
        <v>69</v>
      </c>
      <c r="C4" s="3">
        <v>43482</v>
      </c>
      <c r="D4" s="1">
        <v>2</v>
      </c>
      <c r="E4" s="1" t="s">
        <v>70</v>
      </c>
      <c r="F4" s="1" t="s">
        <v>71</v>
      </c>
      <c r="G4" s="2" t="s">
        <v>72</v>
      </c>
      <c r="H4" s="1" t="s">
        <v>73</v>
      </c>
      <c r="I4" s="26" t="str" cm="1">
        <f t="array" ref="I4">fn평가(D4)</f>
        <v>부족</v>
      </c>
    </row>
    <row r="5" spans="2:9" x14ac:dyDescent="0.6">
      <c r="B5" s="1" t="s">
        <v>69</v>
      </c>
      <c r="C5" s="3">
        <v>43486</v>
      </c>
      <c r="D5" s="1">
        <v>5</v>
      </c>
      <c r="E5" s="1" t="s">
        <v>74</v>
      </c>
      <c r="F5" s="1" t="s">
        <v>75</v>
      </c>
      <c r="G5" s="2" t="s">
        <v>72</v>
      </c>
      <c r="H5" s="1" t="s">
        <v>73</v>
      </c>
      <c r="I5" s="26" t="str" cm="1">
        <f t="array" ref="I5">fn평가(D5)</f>
        <v>보통</v>
      </c>
    </row>
    <row r="6" spans="2:9" x14ac:dyDescent="0.6">
      <c r="B6" s="1" t="s">
        <v>76</v>
      </c>
      <c r="C6" s="3">
        <v>43510</v>
      </c>
      <c r="D6" s="1">
        <v>4</v>
      </c>
      <c r="E6" s="1" t="s">
        <v>77</v>
      </c>
      <c r="F6" s="1" t="s">
        <v>78</v>
      </c>
      <c r="G6" s="2" t="s">
        <v>72</v>
      </c>
      <c r="H6" s="1" t="s">
        <v>73</v>
      </c>
      <c r="I6" s="26" t="str" cm="1">
        <f t="array" ref="I6">fn평가(D6)</f>
        <v>보통</v>
      </c>
    </row>
    <row r="7" spans="2:9" x14ac:dyDescent="0.6">
      <c r="B7" s="1" t="s">
        <v>69</v>
      </c>
      <c r="C7" s="3">
        <v>43536</v>
      </c>
      <c r="D7" s="1">
        <v>3</v>
      </c>
      <c r="E7" s="1" t="s">
        <v>79</v>
      </c>
      <c r="F7" s="1" t="s">
        <v>75</v>
      </c>
      <c r="G7" s="2" t="s">
        <v>72</v>
      </c>
      <c r="H7" s="1" t="s">
        <v>73</v>
      </c>
      <c r="I7" s="26" t="str" cm="1">
        <f t="array" ref="I7">fn평가(D7)</f>
        <v>부족</v>
      </c>
    </row>
    <row r="8" spans="2:9" x14ac:dyDescent="0.6">
      <c r="B8" s="1" t="s">
        <v>80</v>
      </c>
      <c r="C8" s="3">
        <v>43537</v>
      </c>
      <c r="D8" s="1">
        <v>5</v>
      </c>
      <c r="E8" s="1" t="s">
        <v>81</v>
      </c>
      <c r="F8" s="1" t="s">
        <v>78</v>
      </c>
      <c r="G8" s="2" t="s">
        <v>72</v>
      </c>
      <c r="H8" s="1" t="s">
        <v>73</v>
      </c>
      <c r="I8" s="26" t="str" cm="1">
        <f t="array" ref="I8">fn평가(D8)</f>
        <v>보통</v>
      </c>
    </row>
    <row r="9" spans="2:9" x14ac:dyDescent="0.6">
      <c r="B9" s="1" t="s">
        <v>69</v>
      </c>
      <c r="C9" s="3">
        <v>43543</v>
      </c>
      <c r="D9" s="1">
        <v>4</v>
      </c>
      <c r="E9" s="1" t="s">
        <v>82</v>
      </c>
      <c r="F9" s="1" t="s">
        <v>83</v>
      </c>
      <c r="G9" s="2" t="s">
        <v>72</v>
      </c>
      <c r="H9" s="1" t="s">
        <v>73</v>
      </c>
      <c r="I9" s="26" t="str" cm="1">
        <f t="array" ref="I9">fn평가(D9)</f>
        <v>보통</v>
      </c>
    </row>
    <row r="10" spans="2:9" x14ac:dyDescent="0.6">
      <c r="B10" s="1" t="s">
        <v>76</v>
      </c>
      <c r="C10" s="3">
        <v>43564</v>
      </c>
      <c r="D10" s="1">
        <v>2</v>
      </c>
      <c r="E10" s="1" t="s">
        <v>84</v>
      </c>
      <c r="F10" s="1" t="s">
        <v>71</v>
      </c>
      <c r="G10" s="2" t="s">
        <v>72</v>
      </c>
      <c r="H10" s="1" t="s">
        <v>73</v>
      </c>
      <c r="I10" s="26" t="str" cm="1">
        <f t="array" ref="I10">fn평가(D10)</f>
        <v>부족</v>
      </c>
    </row>
    <row r="11" spans="2:9" x14ac:dyDescent="0.6">
      <c r="B11" s="1" t="s">
        <v>85</v>
      </c>
      <c r="C11" s="3">
        <v>43571</v>
      </c>
      <c r="D11" s="1">
        <v>3</v>
      </c>
      <c r="E11" s="1" t="s">
        <v>86</v>
      </c>
      <c r="F11" s="1" t="s">
        <v>78</v>
      </c>
      <c r="G11" s="2" t="s">
        <v>72</v>
      </c>
      <c r="H11" s="1" t="s">
        <v>73</v>
      </c>
      <c r="I11" s="26" t="str" cm="1">
        <f t="array" ref="I11">fn평가(D11)</f>
        <v>부족</v>
      </c>
    </row>
    <row r="12" spans="2:9" x14ac:dyDescent="0.6">
      <c r="B12" s="1" t="s">
        <v>87</v>
      </c>
      <c r="C12" s="3">
        <v>43572</v>
      </c>
      <c r="D12" s="1">
        <v>6</v>
      </c>
      <c r="E12" s="1" t="s">
        <v>77</v>
      </c>
      <c r="F12" s="1" t="s">
        <v>78</v>
      </c>
      <c r="G12" s="2" t="s">
        <v>88</v>
      </c>
      <c r="H12" s="1" t="s">
        <v>89</v>
      </c>
      <c r="I12" s="26" t="str" cm="1">
        <f t="array" ref="I12">fn평가(D12)</f>
        <v>초과</v>
      </c>
    </row>
    <row r="13" spans="2:9" x14ac:dyDescent="0.6">
      <c r="B13" s="1" t="s">
        <v>80</v>
      </c>
      <c r="C13" s="3">
        <v>43599</v>
      </c>
      <c r="D13" s="1">
        <v>3</v>
      </c>
      <c r="E13" s="1" t="s">
        <v>74</v>
      </c>
      <c r="F13" s="1" t="s">
        <v>75</v>
      </c>
      <c r="G13" s="2" t="s">
        <v>88</v>
      </c>
      <c r="H13" s="1" t="s">
        <v>89</v>
      </c>
      <c r="I13" s="26" t="str" cm="1">
        <f t="array" ref="I13">fn평가(D13)</f>
        <v>부족</v>
      </c>
    </row>
    <row r="14" spans="2:9" x14ac:dyDescent="0.6">
      <c r="B14" s="1" t="s">
        <v>76</v>
      </c>
      <c r="C14" s="3">
        <v>43606</v>
      </c>
      <c r="D14" s="1">
        <v>7</v>
      </c>
      <c r="E14" s="1" t="s">
        <v>74</v>
      </c>
      <c r="F14" s="1" t="s">
        <v>75</v>
      </c>
      <c r="G14" s="2" t="s">
        <v>88</v>
      </c>
      <c r="H14" s="1" t="s">
        <v>89</v>
      </c>
      <c r="I14" s="26" t="str" cm="1">
        <f t="array" ref="I14">fn평가(D14)</f>
        <v>초과</v>
      </c>
    </row>
    <row r="15" spans="2:9" x14ac:dyDescent="0.6">
      <c r="B15" s="1" t="s">
        <v>85</v>
      </c>
      <c r="C15" s="3">
        <v>43607</v>
      </c>
      <c r="D15" s="1">
        <v>5</v>
      </c>
      <c r="E15" s="1" t="s">
        <v>70</v>
      </c>
      <c r="F15" s="1" t="s">
        <v>71</v>
      </c>
      <c r="G15" s="2" t="s">
        <v>88</v>
      </c>
      <c r="H15" s="1" t="s">
        <v>89</v>
      </c>
      <c r="I15" s="26" t="str" cm="1">
        <f t="array" ref="I15">fn평가(D15)</f>
        <v>보통</v>
      </c>
    </row>
    <row r="16" spans="2:9" x14ac:dyDescent="0.6">
      <c r="B16" s="1" t="s">
        <v>87</v>
      </c>
      <c r="C16" s="3">
        <v>43627</v>
      </c>
      <c r="D16" s="1">
        <v>4</v>
      </c>
      <c r="E16" s="1" t="s">
        <v>81</v>
      </c>
      <c r="F16" s="1" t="s">
        <v>78</v>
      </c>
      <c r="G16" s="2" t="s">
        <v>90</v>
      </c>
      <c r="H16" s="1" t="s">
        <v>91</v>
      </c>
      <c r="I16" s="26" t="str" cm="1">
        <f t="array" ref="I16">fn평가(D16)</f>
        <v>보통</v>
      </c>
    </row>
    <row r="17" spans="2:9" x14ac:dyDescent="0.6">
      <c r="B17" s="1" t="s">
        <v>80</v>
      </c>
      <c r="C17" s="3">
        <v>43634</v>
      </c>
      <c r="D17" s="1">
        <v>3</v>
      </c>
      <c r="E17" s="1" t="s">
        <v>82</v>
      </c>
      <c r="F17" s="1" t="s">
        <v>83</v>
      </c>
      <c r="G17" s="2" t="s">
        <v>90</v>
      </c>
      <c r="H17" s="1" t="s">
        <v>91</v>
      </c>
      <c r="I17" s="26" t="str" cm="1">
        <f t="array" ref="I17">fn평가(D17)</f>
        <v>부족</v>
      </c>
    </row>
    <row r="18" spans="2:9" x14ac:dyDescent="0.6">
      <c r="B18" s="1" t="s">
        <v>92</v>
      </c>
      <c r="C18" s="3">
        <v>43641</v>
      </c>
      <c r="D18" s="1">
        <v>6</v>
      </c>
      <c r="E18" s="1" t="s">
        <v>82</v>
      </c>
      <c r="F18" s="1" t="s">
        <v>83</v>
      </c>
      <c r="G18" s="2" t="s">
        <v>90</v>
      </c>
      <c r="H18" s="1" t="s">
        <v>91</v>
      </c>
      <c r="I18" s="26" t="str" cm="1">
        <f t="array" ref="I18">fn평가(D18)</f>
        <v>초과</v>
      </c>
    </row>
    <row r="19" spans="2:9" x14ac:dyDescent="0.6">
      <c r="B19" s="1" t="s">
        <v>87</v>
      </c>
      <c r="C19" s="3">
        <v>43655</v>
      </c>
      <c r="D19" s="1">
        <v>5</v>
      </c>
      <c r="E19" s="1" t="s">
        <v>86</v>
      </c>
      <c r="F19" s="1" t="s">
        <v>78</v>
      </c>
      <c r="G19" s="2" t="s">
        <v>90</v>
      </c>
      <c r="H19" s="1" t="s">
        <v>91</v>
      </c>
      <c r="I19" s="26" t="str" cm="1">
        <f t="array" ref="I19">fn평가(D19)</f>
        <v>보통</v>
      </c>
    </row>
    <row r="20" spans="2:9" x14ac:dyDescent="0.6">
      <c r="B20" s="1" t="s">
        <v>93</v>
      </c>
      <c r="C20" s="3">
        <v>43662</v>
      </c>
      <c r="D20" s="1">
        <v>4</v>
      </c>
      <c r="E20" s="1" t="s">
        <v>94</v>
      </c>
      <c r="F20" s="1" t="s">
        <v>83</v>
      </c>
      <c r="G20" s="2" t="s">
        <v>90</v>
      </c>
      <c r="H20" s="1" t="s">
        <v>91</v>
      </c>
      <c r="I20" s="26" t="str" cm="1">
        <f t="array" ref="I20">fn평가(D20)</f>
        <v>보통</v>
      </c>
    </row>
    <row r="21" spans="2:9" x14ac:dyDescent="0.6">
      <c r="B21" s="1" t="s">
        <v>87</v>
      </c>
      <c r="C21" s="3">
        <v>43663</v>
      </c>
      <c r="D21" s="1">
        <v>3</v>
      </c>
      <c r="E21" s="1" t="s">
        <v>95</v>
      </c>
      <c r="F21" s="1" t="s">
        <v>71</v>
      </c>
      <c r="G21" s="2" t="s">
        <v>90</v>
      </c>
      <c r="H21" s="1" t="s">
        <v>91</v>
      </c>
      <c r="I21" s="26" t="str" cm="1">
        <f t="array" ref="I21">fn평가(D21)</f>
        <v>부족</v>
      </c>
    </row>
    <row r="22" spans="2:9" x14ac:dyDescent="0.6">
      <c r="B22" s="1" t="s">
        <v>76</v>
      </c>
      <c r="C22" s="3">
        <v>43690</v>
      </c>
      <c r="D22" s="1">
        <v>6</v>
      </c>
      <c r="E22" s="1" t="s">
        <v>77</v>
      </c>
      <c r="F22" s="1" t="s">
        <v>78</v>
      </c>
      <c r="G22" s="2" t="s">
        <v>90</v>
      </c>
      <c r="H22" s="1" t="s">
        <v>91</v>
      </c>
      <c r="I22" s="26" t="str" cm="1">
        <f t="array" ref="I22">fn평가(D22)</f>
        <v>초과</v>
      </c>
    </row>
    <row r="23" spans="2:9" x14ac:dyDescent="0.6">
      <c r="B23" s="1" t="s">
        <v>85</v>
      </c>
      <c r="C23" s="3">
        <v>43718</v>
      </c>
      <c r="D23" s="1">
        <v>3</v>
      </c>
      <c r="E23" s="1" t="s">
        <v>74</v>
      </c>
      <c r="F23" s="1" t="s">
        <v>75</v>
      </c>
      <c r="G23" s="2" t="s">
        <v>90</v>
      </c>
      <c r="H23" s="1" t="s">
        <v>91</v>
      </c>
      <c r="I23" s="26" t="str" cm="1">
        <f t="array" ref="I23">fn평가(D23)</f>
        <v>부족</v>
      </c>
    </row>
    <row r="24" spans="2:9" x14ac:dyDescent="0.6">
      <c r="B24" s="1" t="s">
        <v>96</v>
      </c>
      <c r="C24" s="3">
        <v>43753</v>
      </c>
      <c r="D24" s="1">
        <v>7</v>
      </c>
      <c r="E24" s="1" t="s">
        <v>77</v>
      </c>
      <c r="F24" s="1" t="s">
        <v>78</v>
      </c>
      <c r="G24" s="2" t="s">
        <v>97</v>
      </c>
      <c r="H24" s="1" t="s">
        <v>98</v>
      </c>
      <c r="I24" s="26" t="str" cm="1">
        <f t="array" ref="I24">fn평가(D24)</f>
        <v>초과</v>
      </c>
    </row>
    <row r="25" spans="2:9" x14ac:dyDescent="0.6">
      <c r="B25" s="1" t="s">
        <v>96</v>
      </c>
      <c r="C25" s="3">
        <v>43760</v>
      </c>
      <c r="D25" s="1">
        <v>4</v>
      </c>
      <c r="E25" s="1" t="s">
        <v>79</v>
      </c>
      <c r="F25" s="1" t="s">
        <v>75</v>
      </c>
      <c r="G25" s="2" t="s">
        <v>97</v>
      </c>
      <c r="H25" s="1" t="s">
        <v>98</v>
      </c>
      <c r="I25" s="26" t="str" cm="1">
        <f t="array" ref="I25">fn평가(D25)</f>
        <v>보통</v>
      </c>
    </row>
    <row r="26" spans="2:9" x14ac:dyDescent="0.6">
      <c r="B26" s="1" t="s">
        <v>99</v>
      </c>
      <c r="C26" s="3">
        <v>43767</v>
      </c>
      <c r="D26" s="1">
        <v>6</v>
      </c>
      <c r="E26" s="1" t="s">
        <v>70</v>
      </c>
      <c r="F26" s="1" t="s">
        <v>71</v>
      </c>
      <c r="G26" s="2" t="s">
        <v>97</v>
      </c>
      <c r="H26" s="1" t="s">
        <v>98</v>
      </c>
      <c r="I26" s="26" t="str" cm="1">
        <f t="array" ref="I26">fn평가(D26)</f>
        <v>초과</v>
      </c>
    </row>
    <row r="27" spans="2:9" x14ac:dyDescent="0.6">
      <c r="B27" s="1" t="s">
        <v>99</v>
      </c>
      <c r="C27" s="3">
        <v>43781</v>
      </c>
      <c r="D27" s="1">
        <v>5</v>
      </c>
      <c r="E27" s="1" t="s">
        <v>82</v>
      </c>
      <c r="F27" s="1" t="s">
        <v>83</v>
      </c>
      <c r="G27" s="2" t="s">
        <v>97</v>
      </c>
      <c r="H27" s="1" t="s">
        <v>98</v>
      </c>
      <c r="I27" s="26" t="str" cm="1">
        <f t="array" ref="I27">fn평가(D27)</f>
        <v>보통</v>
      </c>
    </row>
    <row r="28" spans="2:9" x14ac:dyDescent="0.6">
      <c r="B28" s="1" t="s">
        <v>96</v>
      </c>
      <c r="C28" s="3">
        <v>43819</v>
      </c>
      <c r="D28" s="1">
        <v>4</v>
      </c>
      <c r="E28" s="1" t="s">
        <v>84</v>
      </c>
      <c r="F28" s="1" t="s">
        <v>71</v>
      </c>
      <c r="G28" s="2" t="s">
        <v>100</v>
      </c>
      <c r="H28" s="1" t="s">
        <v>101</v>
      </c>
      <c r="I28" s="26" t="str" cm="1">
        <f t="array" ref="I28">fn평가(D28)</f>
        <v>보통</v>
      </c>
    </row>
    <row r="29" spans="2:9" x14ac:dyDescent="0.6">
      <c r="B29" s="1" t="s">
        <v>99</v>
      </c>
      <c r="C29" s="3">
        <v>43809</v>
      </c>
      <c r="D29" s="1">
        <v>3</v>
      </c>
      <c r="E29" s="1" t="s">
        <v>86</v>
      </c>
      <c r="F29" s="1" t="s">
        <v>78</v>
      </c>
      <c r="G29" s="2" t="s">
        <v>100</v>
      </c>
      <c r="H29" s="1" t="s">
        <v>101</v>
      </c>
      <c r="I29" s="26" t="str" cm="1">
        <f t="array" ref="I29">fn평가(D29)</f>
        <v>부족</v>
      </c>
    </row>
    <row r="30" spans="2:9" x14ac:dyDescent="0.6">
      <c r="B30" s="1" t="s">
        <v>99</v>
      </c>
      <c r="C30" s="3">
        <v>43816</v>
      </c>
      <c r="D30" s="1">
        <v>2</v>
      </c>
      <c r="E30" s="1" t="s">
        <v>74</v>
      </c>
      <c r="F30" s="1" t="s">
        <v>75</v>
      </c>
      <c r="G30" s="2" t="s">
        <v>100</v>
      </c>
      <c r="H30" s="1" t="s">
        <v>101</v>
      </c>
      <c r="I30" s="26" t="str" cm="1">
        <f t="array" ref="I30">fn평가(D30)</f>
        <v>부족</v>
      </c>
    </row>
    <row r="31" spans="2:9" x14ac:dyDescent="0.6">
      <c r="B31" s="1" t="s">
        <v>96</v>
      </c>
      <c r="C31" s="3">
        <v>43817</v>
      </c>
      <c r="D31" s="1">
        <v>4</v>
      </c>
      <c r="E31" s="1" t="s">
        <v>77</v>
      </c>
      <c r="F31" s="1" t="s">
        <v>78</v>
      </c>
      <c r="G31" s="2" t="s">
        <v>100</v>
      </c>
      <c r="H31" s="1" t="s">
        <v>101</v>
      </c>
      <c r="I31" s="26" t="str" cm="1">
        <f t="array" ref="I31">fn평가(D31)</f>
        <v>보통</v>
      </c>
    </row>
    <row r="32" spans="2:9" x14ac:dyDescent="0.6">
      <c r="B32" s="1" t="s">
        <v>96</v>
      </c>
      <c r="C32" s="3">
        <v>43823</v>
      </c>
      <c r="D32" s="1">
        <v>3</v>
      </c>
      <c r="E32" s="1" t="s">
        <v>102</v>
      </c>
      <c r="F32" s="1" t="s">
        <v>75</v>
      </c>
      <c r="G32" s="2" t="s">
        <v>100</v>
      </c>
      <c r="H32" s="1" t="s">
        <v>101</v>
      </c>
      <c r="I32" s="26" t="str" cm="1">
        <f t="array" ref="I32">fn평가(D32)</f>
        <v>부족</v>
      </c>
    </row>
    <row r="33" spans="2:9" x14ac:dyDescent="0.6">
      <c r="B33" s="1" t="s">
        <v>99</v>
      </c>
      <c r="C33" s="3">
        <v>43824</v>
      </c>
      <c r="D33" s="1">
        <v>7</v>
      </c>
      <c r="E33" s="1" t="s">
        <v>82</v>
      </c>
      <c r="F33" s="1" t="s">
        <v>83</v>
      </c>
      <c r="G33" s="2" t="s">
        <v>100</v>
      </c>
      <c r="H33" s="1" t="s">
        <v>101</v>
      </c>
      <c r="I33" s="26" t="str" cm="1">
        <f t="array" ref="I33">fn평가(D33)</f>
        <v>초과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J40"/>
  <sheetViews>
    <sheetView workbookViewId="0">
      <selection activeCell="K2" sqref="K2"/>
    </sheetView>
  </sheetViews>
  <sheetFormatPr defaultRowHeight="16.899999999999999" x14ac:dyDescent="0.6"/>
  <cols>
    <col min="1" max="1" width="2.5625" customWidth="1"/>
    <col min="2" max="2" width="7.5" customWidth="1"/>
    <col min="3" max="3" width="22.875" bestFit="1" customWidth="1"/>
    <col min="6" max="7" width="10.5625" bestFit="1" customWidth="1"/>
    <col min="11" max="11" width="22.875" bestFit="1" customWidth="1"/>
    <col min="12" max="12" width="7.875" bestFit="1" customWidth="1"/>
    <col min="13" max="14" width="10.5625" bestFit="1" customWidth="1"/>
  </cols>
  <sheetData>
    <row r="2" spans="2:10" x14ac:dyDescent="0.6">
      <c r="B2" t="s">
        <v>303</v>
      </c>
    </row>
    <row r="3" spans="2:10" x14ac:dyDescent="0.6">
      <c r="B3" s="19" t="s">
        <v>307</v>
      </c>
      <c r="C3" s="19" t="s">
        <v>200</v>
      </c>
      <c r="D3" s="19" t="s">
        <v>201</v>
      </c>
      <c r="E3" s="19" t="s">
        <v>202</v>
      </c>
      <c r="F3" s="19" t="s">
        <v>203</v>
      </c>
      <c r="G3" s="19" t="s">
        <v>204</v>
      </c>
      <c r="H3" s="19" t="s">
        <v>205</v>
      </c>
      <c r="I3" s="19" t="s">
        <v>206</v>
      </c>
      <c r="J3" s="43" t="s">
        <v>306</v>
      </c>
    </row>
    <row r="4" spans="2:10" x14ac:dyDescent="0.6">
      <c r="B4" s="1" t="s">
        <v>215</v>
      </c>
      <c r="C4" s="1" t="s">
        <v>216</v>
      </c>
      <c r="D4" s="6">
        <v>80000</v>
      </c>
      <c r="E4" s="1" t="s">
        <v>209</v>
      </c>
      <c r="F4" s="3">
        <v>44200</v>
      </c>
      <c r="G4" s="3">
        <v>44215</v>
      </c>
      <c r="H4" s="5">
        <v>12</v>
      </c>
      <c r="I4" s="5">
        <v>8</v>
      </c>
      <c r="J4" s="26" t="str" cm="1">
        <f t="array" ref="J4">kp비고(H4,I4)</f>
        <v>4명 초과</v>
      </c>
    </row>
    <row r="5" spans="2:10" x14ac:dyDescent="0.6">
      <c r="B5" s="1" t="s">
        <v>219</v>
      </c>
      <c r="C5" s="1" t="s">
        <v>220</v>
      </c>
      <c r="D5" s="6">
        <v>95000</v>
      </c>
      <c r="E5" s="1" t="s">
        <v>209</v>
      </c>
      <c r="F5" s="3">
        <v>44200</v>
      </c>
      <c r="G5" s="3">
        <v>44215</v>
      </c>
      <c r="H5" s="5">
        <v>4</v>
      </c>
      <c r="I5" s="5">
        <v>10</v>
      </c>
      <c r="J5" s="26" t="str" cm="1">
        <f t="array" ref="J5">kp비고(H5,I5)</f>
        <v>6명 부족</v>
      </c>
    </row>
    <row r="6" spans="2:10" x14ac:dyDescent="0.6">
      <c r="B6" s="1" t="s">
        <v>219</v>
      </c>
      <c r="C6" s="1" t="s">
        <v>220</v>
      </c>
      <c r="D6" s="6">
        <v>95000</v>
      </c>
      <c r="E6" s="1" t="s">
        <v>210</v>
      </c>
      <c r="F6" s="3">
        <v>44207</v>
      </c>
      <c r="G6" s="3">
        <v>44222</v>
      </c>
      <c r="H6" s="5">
        <v>17</v>
      </c>
      <c r="I6" s="5">
        <v>15</v>
      </c>
      <c r="J6" s="26" t="str" cm="1">
        <f t="array" ref="J6">kp비고(H6,I6)</f>
        <v>2명 초과</v>
      </c>
    </row>
    <row r="7" spans="2:10" x14ac:dyDescent="0.6">
      <c r="B7" s="1" t="s">
        <v>217</v>
      </c>
      <c r="C7" s="1" t="s">
        <v>218</v>
      </c>
      <c r="D7" s="6">
        <v>69000</v>
      </c>
      <c r="E7" s="1" t="s">
        <v>211</v>
      </c>
      <c r="F7" s="3">
        <v>44217</v>
      </c>
      <c r="G7" s="3">
        <v>44232</v>
      </c>
      <c r="H7" s="5">
        <v>5</v>
      </c>
      <c r="I7" s="5">
        <v>12</v>
      </c>
      <c r="J7" s="26" t="str" cm="1">
        <f t="array" ref="J7">kp비고(H7,I7)</f>
        <v>7명 부족</v>
      </c>
    </row>
    <row r="8" spans="2:10" x14ac:dyDescent="0.6">
      <c r="B8" s="1" t="s">
        <v>207</v>
      </c>
      <c r="C8" s="1" t="s">
        <v>208</v>
      </c>
      <c r="D8" s="6">
        <v>50000</v>
      </c>
      <c r="E8" s="1" t="s">
        <v>209</v>
      </c>
      <c r="F8" s="3">
        <v>44236</v>
      </c>
      <c r="G8" s="3">
        <v>44251</v>
      </c>
      <c r="H8" s="5">
        <v>12</v>
      </c>
      <c r="I8" s="5">
        <v>10</v>
      </c>
      <c r="J8" s="26" t="str" cm="1">
        <f t="array" ref="J8">kp비고(H8,I8)</f>
        <v>2명 초과</v>
      </c>
    </row>
    <row r="9" spans="2:10" x14ac:dyDescent="0.6">
      <c r="B9" s="1" t="s">
        <v>207</v>
      </c>
      <c r="C9" s="1" t="s">
        <v>208</v>
      </c>
      <c r="D9" s="6">
        <v>50000</v>
      </c>
      <c r="E9" s="1" t="s">
        <v>209</v>
      </c>
      <c r="F9" s="3">
        <v>44238</v>
      </c>
      <c r="G9" s="3">
        <v>44253</v>
      </c>
      <c r="H9" s="5">
        <v>25</v>
      </c>
      <c r="I9" s="5">
        <v>15</v>
      </c>
      <c r="J9" s="26" t="str" cm="1">
        <f t="array" ref="J9">kp비고(H9,I9)</f>
        <v>10명 초과</v>
      </c>
    </row>
    <row r="10" spans="2:10" x14ac:dyDescent="0.6">
      <c r="B10" s="1" t="s">
        <v>215</v>
      </c>
      <c r="C10" s="1" t="s">
        <v>216</v>
      </c>
      <c r="D10" s="6">
        <v>80000</v>
      </c>
      <c r="E10" s="1" t="s">
        <v>212</v>
      </c>
      <c r="F10" s="3">
        <v>44238</v>
      </c>
      <c r="G10" s="3">
        <v>44253</v>
      </c>
      <c r="H10" s="5">
        <v>20</v>
      </c>
      <c r="I10" s="5">
        <v>12</v>
      </c>
      <c r="J10" s="26" t="str" cm="1">
        <f t="array" ref="J10">kp비고(H10,I10)</f>
        <v>8명 초과</v>
      </c>
    </row>
    <row r="11" spans="2:10" x14ac:dyDescent="0.6">
      <c r="B11" s="1" t="s">
        <v>213</v>
      </c>
      <c r="C11" s="1" t="s">
        <v>214</v>
      </c>
      <c r="D11" s="6">
        <v>80000</v>
      </c>
      <c r="E11" s="1" t="s">
        <v>212</v>
      </c>
      <c r="F11" s="3">
        <v>44270</v>
      </c>
      <c r="G11" s="3">
        <v>44285</v>
      </c>
      <c r="H11" s="5">
        <v>10</v>
      </c>
      <c r="I11" s="5">
        <v>14</v>
      </c>
      <c r="J11" s="26" t="str" cm="1">
        <f t="array" ref="J11">kp비고(H11,I11)</f>
        <v>4명 부족</v>
      </c>
    </row>
    <row r="12" spans="2:10" x14ac:dyDescent="0.6">
      <c r="B12" s="1" t="s">
        <v>207</v>
      </c>
      <c r="C12" s="1" t="s">
        <v>208</v>
      </c>
      <c r="D12" s="6">
        <v>50000</v>
      </c>
      <c r="E12" s="1" t="s">
        <v>210</v>
      </c>
      <c r="F12" s="3">
        <v>44271</v>
      </c>
      <c r="G12" s="3">
        <v>44286</v>
      </c>
      <c r="H12" s="5">
        <v>6</v>
      </c>
      <c r="I12" s="5">
        <v>15</v>
      </c>
      <c r="J12" s="26" t="str" cm="1">
        <f t="array" ref="J12">kp비고(H12,I12)</f>
        <v>9명 부족</v>
      </c>
    </row>
    <row r="13" spans="2:10" x14ac:dyDescent="0.6">
      <c r="B13" s="1" t="s">
        <v>217</v>
      </c>
      <c r="C13" s="1" t="s">
        <v>218</v>
      </c>
      <c r="D13" s="6">
        <v>69000</v>
      </c>
      <c r="E13" s="1" t="s">
        <v>211</v>
      </c>
      <c r="F13" s="3">
        <v>44276</v>
      </c>
      <c r="G13" s="3">
        <v>44291</v>
      </c>
      <c r="H13" s="5">
        <v>5</v>
      </c>
      <c r="I13" s="5">
        <v>12</v>
      </c>
      <c r="J13" s="26" t="str" cm="1">
        <f t="array" ref="J13">kp비고(H13,I13)</f>
        <v>7명 부족</v>
      </c>
    </row>
    <row r="14" spans="2:10" x14ac:dyDescent="0.6">
      <c r="B14" s="1" t="s">
        <v>213</v>
      </c>
      <c r="C14" s="1" t="s">
        <v>214</v>
      </c>
      <c r="D14" s="6">
        <v>80000</v>
      </c>
      <c r="E14" s="1" t="s">
        <v>212</v>
      </c>
      <c r="F14" s="3">
        <v>44307</v>
      </c>
      <c r="G14" s="3">
        <v>44322</v>
      </c>
      <c r="H14" s="5">
        <v>12</v>
      </c>
      <c r="I14" s="5">
        <v>14</v>
      </c>
      <c r="J14" s="26" t="str" cm="1">
        <f t="array" ref="J14">kp비고(H14,I14)</f>
        <v>2명 부족</v>
      </c>
    </row>
    <row r="15" spans="2:10" x14ac:dyDescent="0.6">
      <c r="B15" s="1" t="s">
        <v>215</v>
      </c>
      <c r="C15" s="1" t="s">
        <v>216</v>
      </c>
      <c r="D15" s="6">
        <v>80000</v>
      </c>
      <c r="E15" s="1" t="s">
        <v>209</v>
      </c>
      <c r="F15" s="3">
        <v>44307</v>
      </c>
      <c r="G15" s="3">
        <v>44322</v>
      </c>
      <c r="H15" s="5">
        <v>21</v>
      </c>
      <c r="I15" s="5">
        <v>12</v>
      </c>
      <c r="J15" s="26" t="str" cm="1">
        <f t="array" ref="J15">kp비고(H15,I15)</f>
        <v>9명 초과</v>
      </c>
    </row>
    <row r="16" spans="2:10" x14ac:dyDescent="0.6">
      <c r="B16" s="1" t="s">
        <v>219</v>
      </c>
      <c r="C16" s="1" t="s">
        <v>220</v>
      </c>
      <c r="D16" s="6">
        <v>95000</v>
      </c>
      <c r="E16" s="1" t="s">
        <v>210</v>
      </c>
      <c r="F16" s="3">
        <v>44315</v>
      </c>
      <c r="G16" s="3">
        <v>44330</v>
      </c>
      <c r="H16" s="5">
        <v>20</v>
      </c>
      <c r="I16" s="5">
        <v>15</v>
      </c>
      <c r="J16" s="26" t="str" cm="1">
        <f t="array" ref="J16">kp비고(H16,I16)</f>
        <v>5명 초과</v>
      </c>
    </row>
    <row r="17" spans="2:10" x14ac:dyDescent="0.6">
      <c r="B17" s="1" t="s">
        <v>217</v>
      </c>
      <c r="C17" s="1" t="s">
        <v>218</v>
      </c>
      <c r="D17" s="6">
        <v>69000</v>
      </c>
      <c r="E17" s="1" t="s">
        <v>211</v>
      </c>
      <c r="F17" s="3">
        <v>44322</v>
      </c>
      <c r="G17" s="3">
        <v>44347</v>
      </c>
      <c r="H17" s="5">
        <v>15</v>
      </c>
      <c r="I17" s="5">
        <v>15</v>
      </c>
      <c r="J17" s="26" t="str" cm="1">
        <f t="array" ref="J17">kp비고(H17,I17)</f>
        <v/>
      </c>
    </row>
    <row r="18" spans="2:10" x14ac:dyDescent="0.6">
      <c r="B18" s="1" t="s">
        <v>213</v>
      </c>
      <c r="C18" s="1" t="s">
        <v>214</v>
      </c>
      <c r="D18" s="6">
        <v>80000</v>
      </c>
      <c r="E18" s="1" t="s">
        <v>210</v>
      </c>
      <c r="F18" s="3">
        <v>44331</v>
      </c>
      <c r="G18" s="3">
        <v>44346</v>
      </c>
      <c r="H18" s="5">
        <v>10</v>
      </c>
      <c r="I18" s="5">
        <v>12</v>
      </c>
      <c r="J18" s="26" t="str" cm="1">
        <f t="array" ref="J18">kp비고(H18,I18)</f>
        <v>2명 부족</v>
      </c>
    </row>
    <row r="19" spans="2:10" x14ac:dyDescent="0.6">
      <c r="B19" s="1" t="s">
        <v>207</v>
      </c>
      <c r="C19" s="1" t="s">
        <v>208</v>
      </c>
      <c r="D19" s="6">
        <v>50000</v>
      </c>
      <c r="E19" s="1" t="s">
        <v>211</v>
      </c>
      <c r="F19" s="3">
        <v>44332</v>
      </c>
      <c r="G19" s="3">
        <v>44347</v>
      </c>
      <c r="H19" s="5">
        <v>17</v>
      </c>
      <c r="I19" s="5">
        <v>15</v>
      </c>
      <c r="J19" s="26" t="str" cm="1">
        <f t="array" ref="J19">kp비고(H19,I19)</f>
        <v>2명 초과</v>
      </c>
    </row>
    <row r="20" spans="2:10" x14ac:dyDescent="0.6">
      <c r="B20" s="1" t="s">
        <v>219</v>
      </c>
      <c r="C20" s="1" t="s">
        <v>220</v>
      </c>
      <c r="D20" s="6">
        <v>95000</v>
      </c>
      <c r="E20" s="1" t="s">
        <v>212</v>
      </c>
      <c r="F20" s="3">
        <v>44345</v>
      </c>
      <c r="G20" s="3">
        <v>44360</v>
      </c>
      <c r="H20" s="5">
        <v>4</v>
      </c>
      <c r="I20" s="5">
        <v>12</v>
      </c>
      <c r="J20" s="26" t="str" cm="1">
        <f t="array" ref="J20">kp비고(H20,I20)</f>
        <v>8명 부족</v>
      </c>
    </row>
    <row r="21" spans="2:10" x14ac:dyDescent="0.6">
      <c r="B21" s="1" t="s">
        <v>215</v>
      </c>
      <c r="C21" s="1" t="s">
        <v>216</v>
      </c>
      <c r="D21" s="6">
        <v>80000</v>
      </c>
      <c r="E21" s="1" t="s">
        <v>209</v>
      </c>
      <c r="F21" s="3">
        <v>44351</v>
      </c>
      <c r="G21" s="3">
        <v>44366</v>
      </c>
      <c r="H21" s="5">
        <v>21</v>
      </c>
      <c r="I21" s="5">
        <v>14</v>
      </c>
      <c r="J21" s="26" t="str" cm="1">
        <f t="array" ref="J21">kp비고(H21,I21)</f>
        <v>7명 초과</v>
      </c>
    </row>
    <row r="22" spans="2:10" x14ac:dyDescent="0.6">
      <c r="B22" s="1" t="s">
        <v>219</v>
      </c>
      <c r="C22" s="1" t="s">
        <v>220</v>
      </c>
      <c r="D22" s="6">
        <v>95000</v>
      </c>
      <c r="E22" s="1" t="s">
        <v>209</v>
      </c>
      <c r="F22" s="3">
        <v>44355</v>
      </c>
      <c r="G22" s="3">
        <v>44370</v>
      </c>
      <c r="H22" s="5">
        <v>19</v>
      </c>
      <c r="I22" s="5">
        <v>14</v>
      </c>
      <c r="J22" s="26" t="str" cm="1">
        <f t="array" ref="J22">kp비고(H22,I22)</f>
        <v>5명 초과</v>
      </c>
    </row>
    <row r="23" spans="2:10" x14ac:dyDescent="0.6">
      <c r="B23" s="1" t="s">
        <v>219</v>
      </c>
      <c r="C23" s="1" t="s">
        <v>220</v>
      </c>
      <c r="D23" s="6">
        <v>95000</v>
      </c>
      <c r="E23" s="1" t="s">
        <v>210</v>
      </c>
      <c r="F23" s="3">
        <v>44376</v>
      </c>
      <c r="G23" s="3">
        <v>44391</v>
      </c>
      <c r="H23" s="5">
        <v>20</v>
      </c>
      <c r="I23" s="5">
        <v>12</v>
      </c>
      <c r="J23" s="26" t="str" cm="1">
        <f t="array" ref="J23">kp비고(H23,I23)</f>
        <v>8명 초과</v>
      </c>
    </row>
    <row r="24" spans="2:10" x14ac:dyDescent="0.6">
      <c r="B24" s="1" t="s">
        <v>219</v>
      </c>
      <c r="C24" s="1" t="s">
        <v>220</v>
      </c>
      <c r="D24" s="6">
        <v>95000</v>
      </c>
      <c r="E24" s="1" t="s">
        <v>209</v>
      </c>
      <c r="F24" s="3">
        <v>44385</v>
      </c>
      <c r="G24" s="3">
        <v>44400</v>
      </c>
      <c r="H24" s="5">
        <v>13</v>
      </c>
      <c r="I24" s="5">
        <v>13</v>
      </c>
      <c r="J24" s="26" t="str" cm="1">
        <f t="array" ref="J24">kp비고(H24,I24)</f>
        <v/>
      </c>
    </row>
    <row r="25" spans="2:10" x14ac:dyDescent="0.6">
      <c r="B25" s="1" t="s">
        <v>213</v>
      </c>
      <c r="C25" s="1" t="s">
        <v>214</v>
      </c>
      <c r="D25" s="6">
        <v>80000</v>
      </c>
      <c r="E25" s="1" t="s">
        <v>212</v>
      </c>
      <c r="F25" s="3">
        <v>44388</v>
      </c>
      <c r="G25" s="3">
        <v>44403</v>
      </c>
      <c r="H25" s="5">
        <v>7</v>
      </c>
      <c r="I25" s="5">
        <v>15</v>
      </c>
      <c r="J25" s="26" t="str" cm="1">
        <f t="array" ref="J25">kp비고(H25,I25)</f>
        <v>8명 부족</v>
      </c>
    </row>
    <row r="26" spans="2:10" x14ac:dyDescent="0.6">
      <c r="B26" s="1" t="s">
        <v>213</v>
      </c>
      <c r="C26" s="1" t="s">
        <v>214</v>
      </c>
      <c r="D26" s="6">
        <v>80000</v>
      </c>
      <c r="E26" s="1" t="s">
        <v>212</v>
      </c>
      <c r="F26" s="3">
        <v>44392</v>
      </c>
      <c r="G26" s="3">
        <v>44407</v>
      </c>
      <c r="H26" s="5">
        <v>12</v>
      </c>
      <c r="I26" s="5">
        <v>12</v>
      </c>
      <c r="J26" s="26" t="str" cm="1">
        <f t="array" ref="J26">kp비고(H26,I26)</f>
        <v/>
      </c>
    </row>
    <row r="27" spans="2:10" x14ac:dyDescent="0.6">
      <c r="B27" s="1" t="s">
        <v>215</v>
      </c>
      <c r="C27" s="1" t="s">
        <v>216</v>
      </c>
      <c r="D27" s="6">
        <v>80000</v>
      </c>
      <c r="E27" s="1" t="s">
        <v>209</v>
      </c>
      <c r="F27" s="3">
        <v>44423</v>
      </c>
      <c r="G27" s="3">
        <v>44438</v>
      </c>
      <c r="H27" s="5">
        <v>40</v>
      </c>
      <c r="I27" s="5">
        <v>11</v>
      </c>
      <c r="J27" s="26" t="str" cm="1">
        <f t="array" ref="J27">kp비고(H27,I27)</f>
        <v>29명 초과</v>
      </c>
    </row>
    <row r="28" spans="2:10" x14ac:dyDescent="0.6">
      <c r="B28" s="1" t="s">
        <v>207</v>
      </c>
      <c r="C28" s="1" t="s">
        <v>208</v>
      </c>
      <c r="D28" s="6">
        <v>50000</v>
      </c>
      <c r="E28" s="1" t="s">
        <v>212</v>
      </c>
      <c r="F28" s="3">
        <v>44424</v>
      </c>
      <c r="G28" s="3">
        <v>44439</v>
      </c>
      <c r="H28" s="5">
        <v>35</v>
      </c>
      <c r="I28" s="5">
        <v>15</v>
      </c>
      <c r="J28" s="26" t="str" cm="1">
        <f t="array" ref="J28">kp비고(H28,I28)</f>
        <v>20명 초과</v>
      </c>
    </row>
    <row r="29" spans="2:10" x14ac:dyDescent="0.6">
      <c r="B29" s="1" t="s">
        <v>219</v>
      </c>
      <c r="C29" s="1" t="s">
        <v>220</v>
      </c>
      <c r="D29" s="6">
        <v>95000</v>
      </c>
      <c r="E29" s="1" t="s">
        <v>210</v>
      </c>
      <c r="F29" s="3">
        <v>44424</v>
      </c>
      <c r="G29" s="3">
        <v>44439</v>
      </c>
      <c r="H29" s="5">
        <v>23</v>
      </c>
      <c r="I29" s="5">
        <v>13</v>
      </c>
      <c r="J29" s="26" t="str" cm="1">
        <f t="array" ref="J29">kp비고(H29,I29)</f>
        <v>10명 초과</v>
      </c>
    </row>
    <row r="30" spans="2:10" x14ac:dyDescent="0.6">
      <c r="B30" s="1" t="s">
        <v>213</v>
      </c>
      <c r="C30" s="1" t="s">
        <v>214</v>
      </c>
      <c r="D30" s="6">
        <v>80000</v>
      </c>
      <c r="E30" s="1" t="s">
        <v>209</v>
      </c>
      <c r="F30" s="3">
        <v>44454</v>
      </c>
      <c r="G30" s="3">
        <v>44469</v>
      </c>
      <c r="H30" s="5">
        <v>12</v>
      </c>
      <c r="I30" s="5">
        <v>10</v>
      </c>
      <c r="J30" s="26" t="str" cm="1">
        <f t="array" ref="J30">kp비고(H30,I30)</f>
        <v>2명 초과</v>
      </c>
    </row>
    <row r="31" spans="2:10" x14ac:dyDescent="0.6">
      <c r="B31" s="1" t="s">
        <v>213</v>
      </c>
      <c r="C31" s="1" t="s">
        <v>214</v>
      </c>
      <c r="D31" s="6">
        <v>80000</v>
      </c>
      <c r="E31" s="1" t="s">
        <v>212</v>
      </c>
      <c r="F31" s="3">
        <v>44455</v>
      </c>
      <c r="G31" s="3">
        <v>44470</v>
      </c>
      <c r="H31" s="5">
        <v>13</v>
      </c>
      <c r="I31" s="5">
        <v>11</v>
      </c>
      <c r="J31" s="26" t="str" cm="1">
        <f t="array" ref="J31">kp비고(H31,I31)</f>
        <v>2명 초과</v>
      </c>
    </row>
    <row r="32" spans="2:10" x14ac:dyDescent="0.6">
      <c r="B32" s="1" t="s">
        <v>207</v>
      </c>
      <c r="C32" s="1" t="s">
        <v>208</v>
      </c>
      <c r="D32" s="6">
        <v>50000</v>
      </c>
      <c r="E32" s="1" t="s">
        <v>212</v>
      </c>
      <c r="F32" s="3">
        <v>44460</v>
      </c>
      <c r="G32" s="3">
        <v>44475</v>
      </c>
      <c r="H32" s="5">
        <v>20</v>
      </c>
      <c r="I32" s="5">
        <v>14</v>
      </c>
      <c r="J32" s="26" t="str" cm="1">
        <f t="array" ref="J32">kp비고(H32,I32)</f>
        <v>6명 초과</v>
      </c>
    </row>
    <row r="33" spans="2:10" x14ac:dyDescent="0.6">
      <c r="B33" s="1" t="s">
        <v>217</v>
      </c>
      <c r="C33" s="1" t="s">
        <v>218</v>
      </c>
      <c r="D33" s="6">
        <v>69000</v>
      </c>
      <c r="E33" s="1" t="s">
        <v>211</v>
      </c>
      <c r="F33" s="3">
        <v>44473</v>
      </c>
      <c r="G33" s="3">
        <v>44488</v>
      </c>
      <c r="H33" s="5">
        <v>21</v>
      </c>
      <c r="I33" s="5">
        <v>11</v>
      </c>
      <c r="J33" s="26" t="str" cm="1">
        <f t="array" ref="J33">kp비고(H33,I33)</f>
        <v>10명 초과</v>
      </c>
    </row>
    <row r="34" spans="2:10" x14ac:dyDescent="0.6">
      <c r="B34" s="1" t="s">
        <v>207</v>
      </c>
      <c r="C34" s="1" t="s">
        <v>208</v>
      </c>
      <c r="D34" s="6">
        <v>50000</v>
      </c>
      <c r="E34" s="1" t="s">
        <v>209</v>
      </c>
      <c r="F34" s="3">
        <v>44490</v>
      </c>
      <c r="G34" s="3">
        <v>44505</v>
      </c>
      <c r="H34" s="5">
        <v>5</v>
      </c>
      <c r="I34" s="5">
        <v>15</v>
      </c>
      <c r="J34" s="26" t="str" cm="1">
        <f t="array" ref="J34">kp비고(H34,I34)</f>
        <v>10명 부족</v>
      </c>
    </row>
    <row r="35" spans="2:10" x14ac:dyDescent="0.6">
      <c r="B35" s="1" t="s">
        <v>207</v>
      </c>
      <c r="C35" s="1" t="s">
        <v>208</v>
      </c>
      <c r="D35" s="6">
        <v>50000</v>
      </c>
      <c r="E35" s="1" t="s">
        <v>209</v>
      </c>
      <c r="F35" s="3">
        <v>44491</v>
      </c>
      <c r="G35" s="3">
        <v>44506</v>
      </c>
      <c r="H35" s="5">
        <v>20</v>
      </c>
      <c r="I35" s="5">
        <v>10</v>
      </c>
      <c r="J35" s="26" t="str" cm="1">
        <f t="array" ref="J35">kp비고(H35,I35)</f>
        <v>10명 초과</v>
      </c>
    </row>
    <row r="36" spans="2:10" x14ac:dyDescent="0.6">
      <c r="B36" s="1" t="s">
        <v>215</v>
      </c>
      <c r="C36" s="1" t="s">
        <v>216</v>
      </c>
      <c r="D36" s="6">
        <v>80000</v>
      </c>
      <c r="E36" s="1" t="s">
        <v>209</v>
      </c>
      <c r="F36" s="3">
        <v>44504</v>
      </c>
      <c r="G36" s="3">
        <v>44519</v>
      </c>
      <c r="H36" s="5">
        <v>11</v>
      </c>
      <c r="I36" s="5">
        <v>11</v>
      </c>
      <c r="J36" s="26" t="str" cm="1">
        <f t="array" ref="J36">kp비고(H36,I36)</f>
        <v/>
      </c>
    </row>
    <row r="37" spans="2:10" x14ac:dyDescent="0.6">
      <c r="B37" s="1" t="s">
        <v>217</v>
      </c>
      <c r="C37" s="1" t="s">
        <v>218</v>
      </c>
      <c r="D37" s="6">
        <v>69000</v>
      </c>
      <c r="E37" s="1" t="s">
        <v>211</v>
      </c>
      <c r="F37" s="3">
        <v>44511</v>
      </c>
      <c r="G37" s="3">
        <v>44526</v>
      </c>
      <c r="H37" s="5">
        <v>13</v>
      </c>
      <c r="I37" s="5">
        <v>13</v>
      </c>
      <c r="J37" s="26" t="str" cm="1">
        <f t="array" ref="J37">kp비고(H37,I37)</f>
        <v/>
      </c>
    </row>
    <row r="38" spans="2:10" x14ac:dyDescent="0.6">
      <c r="B38" s="1" t="s">
        <v>219</v>
      </c>
      <c r="C38" s="1" t="s">
        <v>220</v>
      </c>
      <c r="D38" s="6">
        <v>95000</v>
      </c>
      <c r="E38" s="1" t="s">
        <v>212</v>
      </c>
      <c r="F38" s="3">
        <v>44529</v>
      </c>
      <c r="G38" s="3">
        <v>44544</v>
      </c>
      <c r="H38" s="5">
        <v>15</v>
      </c>
      <c r="I38" s="5">
        <v>15</v>
      </c>
      <c r="J38" s="26" t="str" cm="1">
        <f t="array" ref="J38">kp비고(H38,I38)</f>
        <v/>
      </c>
    </row>
    <row r="39" spans="2:10" x14ac:dyDescent="0.6">
      <c r="B39" s="1" t="s">
        <v>215</v>
      </c>
      <c r="C39" s="1" t="s">
        <v>216</v>
      </c>
      <c r="D39" s="6">
        <v>80000</v>
      </c>
      <c r="E39" s="1" t="s">
        <v>209</v>
      </c>
      <c r="F39" s="3">
        <v>44534</v>
      </c>
      <c r="G39" s="3">
        <v>44549</v>
      </c>
      <c r="H39" s="5">
        <v>9</v>
      </c>
      <c r="I39" s="5">
        <v>10</v>
      </c>
      <c r="J39" s="26" t="str" cm="1">
        <f t="array" ref="J39">kp비고(H39,I39)</f>
        <v>1명 부족</v>
      </c>
    </row>
    <row r="40" spans="2:10" x14ac:dyDescent="0.6">
      <c r="B40" s="1" t="s">
        <v>213</v>
      </c>
      <c r="C40" s="1" t="s">
        <v>214</v>
      </c>
      <c r="D40" s="6">
        <v>80000</v>
      </c>
      <c r="E40" s="1" t="s">
        <v>210</v>
      </c>
      <c r="F40" s="3">
        <v>44541</v>
      </c>
      <c r="G40" s="3">
        <v>44556</v>
      </c>
      <c r="H40" s="5">
        <v>13</v>
      </c>
      <c r="I40" s="5">
        <v>10</v>
      </c>
      <c r="J40" s="26" t="str" cm="1">
        <f t="array" ref="J40">kp비고(H40,I40)</f>
        <v>3명 초과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I40"/>
  <sheetViews>
    <sheetView zoomScaleNormal="100" workbookViewId="0">
      <selection activeCell="J2" sqref="J2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2" t="s">
        <v>308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 cm="1">
        <f t="array" ref="I4">kp평가(H4)</f>
        <v>A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 cm="1">
        <f t="array" ref="I5">kp평가(H5)</f>
        <v>B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 cm="1">
        <f t="array" ref="I6">kp평가(H6)</f>
        <v>A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 cm="1">
        <f t="array" ref="I7">kp평가(H7)</f>
        <v>F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 cm="1">
        <f t="array" ref="I8">kp평가(H8)</f>
        <v>B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 cm="1">
        <f t="array" ref="I9">kp평가(H9)</f>
        <v>B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 cm="1">
        <f t="array" ref="I10">kp평가(H10)</f>
        <v>A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 cm="1">
        <f t="array" ref="I11">kp평가(H11)</f>
        <v>D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 cm="1">
        <f t="array" ref="I12">kp평가(H12)</f>
        <v>A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 cm="1">
        <f t="array" ref="I13">kp평가(H13)</f>
        <v>B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 cm="1">
        <f t="array" ref="I14">kp평가(H14)</f>
        <v>B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 cm="1">
        <f t="array" ref="I15">kp평가(H15)</f>
        <v>A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>
        <v>662</v>
      </c>
      <c r="I16" s="1" t="str" cm="1">
        <f t="array" ref="I16">kp평가(H16)</f>
        <v>D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 cm="1">
        <f t="array" ref="I17">kp평가(H17)</f>
        <v>A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 cm="1">
        <f t="array" ref="I18">kp평가(H18)</f>
        <v>F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 cm="1">
        <f t="array" ref="I19">kp평가(H19)</f>
        <v>A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 cm="1">
        <f t="array" ref="I20">kp평가(H20)</f>
        <v>D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 cm="1">
        <f t="array" ref="I21">kp평가(H21)</f>
        <v>F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>
        <v>769</v>
      </c>
      <c r="I22" s="1" t="str" cm="1">
        <f t="array" ref="I22">kp평가(H22)</f>
        <v>C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 cm="1">
        <f t="array" ref="I23">kp평가(H23)</f>
        <v>A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 cm="1">
        <f t="array" ref="I24">kp평가(H24)</f>
        <v>B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>
        <v>957</v>
      </c>
      <c r="I25" s="1" t="str" cm="1">
        <f t="array" ref="I25">kp평가(H25)</f>
        <v>A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 cm="1">
        <f t="array" ref="I26">kp평가(H26)</f>
        <v>A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 cm="1">
        <f t="array" ref="I27">kp평가(H27)</f>
        <v>A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 cm="1">
        <f t="array" ref="I28">kp평가(H28)</f>
        <v>B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 cm="1">
        <f t="array" ref="I29">kp평가(H29)</f>
        <v>A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 cm="1">
        <f t="array" ref="I30">kp평가(H30)</f>
        <v>B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767</v>
      </c>
      <c r="I31" s="1" t="str" cm="1">
        <f t="array" ref="I31">kp평가(H31)</f>
        <v>C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>
        <v>893</v>
      </c>
      <c r="I32" s="1" t="str" cm="1">
        <f t="array" ref="I32">kp평가(H32)</f>
        <v>B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 cm="1">
        <f t="array" ref="I33">kp평가(H33)</f>
        <v>F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 cm="1">
        <f t="array" ref="I34">kp평가(H34)</f>
        <v>D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 cm="1">
        <f t="array" ref="I35">kp평가(H35)</f>
        <v>A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 cm="1">
        <f t="array" ref="I36">kp평가(H36)</f>
        <v>F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>
        <v>871</v>
      </c>
      <c r="I37" s="1" t="str" cm="1">
        <f t="array" ref="I37">kp평가(H37)</f>
        <v>B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 cm="1">
        <f t="array" ref="I38">kp평가(H38)</f>
        <v>A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>
        <v>642</v>
      </c>
      <c r="I39" s="1" t="str" cm="1">
        <f t="array" ref="I39">kp평가(H39)</f>
        <v>D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 cm="1">
        <f t="array" ref="I40">kp평가(H40)</f>
        <v>A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2:I40"/>
  <sheetViews>
    <sheetView zoomScaleNormal="100" workbookViewId="0">
      <selection activeCell="J2" sqref="J2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9" max="9" width="10.0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2" t="s">
        <v>309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 cm="1">
        <f t="array" ref="I4">kp점수차트(H4)</f>
        <v>♣♣♣♣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 cm="1">
        <f t="array" ref="I5">kp점수차트(H5)</f>
        <v>♣♣♣♣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 cm="1">
        <f t="array" ref="I6">kp점수차트(H6)</f>
        <v>♣♣♣♣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 cm="1">
        <f t="array" ref="I7">kp점수차트(H7)</f>
        <v>♣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 cm="1">
        <f t="array" ref="I8">kp점수차트(H8)</f>
        <v>♣♣♣♣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 cm="1">
        <f t="array" ref="I9">kp점수차트(H9)</f>
        <v>♣♣♣♣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 cm="1">
        <f t="array" ref="I10">kp점수차트(H10)</f>
        <v>♣♣♣♣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 cm="1">
        <f t="array" ref="I11">kp점수차트(H11)</f>
        <v>♣♣♣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 cm="1">
        <f t="array" ref="I12">kp점수차트(H12)</f>
        <v>♣♣♣♣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 cm="1">
        <f t="array" ref="I13">kp점수차트(H13)</f>
        <v>♣♣♣♣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 cm="1">
        <f t="array" ref="I14">kp점수차트(H14)</f>
        <v>♣♣♣♣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 cm="1">
        <f t="array" ref="I15">kp점수차트(H15)</f>
        <v>♣♣♣♣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/>
      <c r="I16" s="1" t="str" cm="1">
        <f t="array" ref="I16">kp점수차트(H16)</f>
        <v>재시험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 cm="1">
        <f t="array" ref="I17">kp점수차트(H17)</f>
        <v>♣♣♣♣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 cm="1">
        <f t="array" ref="I18">kp점수차트(H18)</f>
        <v>♣♣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 cm="1">
        <f t="array" ref="I19">kp점수차트(H19)</f>
        <v>♣♣♣♣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 cm="1">
        <f t="array" ref="I20">kp점수차트(H20)</f>
        <v>♣♣♣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 cm="1">
        <f t="array" ref="I21">kp점수차트(H21)</f>
        <v>♣♣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/>
      <c r="I22" s="1" t="str" cm="1">
        <f t="array" ref="I22">kp점수차트(H22)</f>
        <v>재시험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 cm="1">
        <f t="array" ref="I23">kp점수차트(H23)</f>
        <v>♣♣♣♣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 cm="1">
        <f t="array" ref="I24">kp점수차트(H24)</f>
        <v>♣♣♣♣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/>
      <c r="I25" s="1" t="str" cm="1">
        <f t="array" ref="I25">kp점수차트(H25)</f>
        <v>재시험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 cm="1">
        <f t="array" ref="I26">kp점수차트(H26)</f>
        <v>♣♣♣♣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 cm="1">
        <f t="array" ref="I27">kp점수차트(H27)</f>
        <v>♣♣♣♣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 cm="1">
        <f t="array" ref="I28">kp점수차트(H28)</f>
        <v>♣♣♣♣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 cm="1">
        <f t="array" ref="I29">kp점수차트(H29)</f>
        <v>♣♣♣♣♣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 cm="1">
        <f t="array" ref="I30">kp점수차트(H30)</f>
        <v>♣♣♣♣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120</v>
      </c>
      <c r="I31" s="1" t="str" cm="1">
        <f t="array" ref="I31">kp점수차트(H31)</f>
        <v>재시험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/>
      <c r="I32" s="1" t="str" cm="1">
        <f t="array" ref="I32">kp점수차트(H32)</f>
        <v>재시험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 cm="1">
        <f t="array" ref="I33">kp점수차트(H33)</f>
        <v>♣♣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 cm="1">
        <f t="array" ref="I34">kp점수차트(H34)</f>
        <v>♣♣♣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 cm="1">
        <f t="array" ref="I35">kp점수차트(H35)</f>
        <v>♣♣♣♣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 cm="1">
        <f t="array" ref="I36">kp점수차트(H36)</f>
        <v>♣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/>
      <c r="I37" s="1" t="str" cm="1">
        <f t="array" ref="I37">kp점수차트(H37)</f>
        <v>재시험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 cm="1">
        <f t="array" ref="I38">kp점수차트(H38)</f>
        <v>♣♣♣♣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/>
      <c r="I39" s="1" t="str" cm="1">
        <f t="array" ref="I39">kp점수차트(H39)</f>
        <v>재시험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 cm="1">
        <f t="array" ref="I40">kp점수차트(H40)</f>
        <v>♣♣♣♣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2:K25"/>
  <sheetViews>
    <sheetView zoomScale="115" zoomScaleNormal="115" workbookViewId="0">
      <selection activeCell="L2" sqref="L2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3" t="s">
        <v>310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 cm="1">
        <f t="array" ref="K4">kp파종분기(B4,H4)</f>
        <v>1분기A0077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 cm="1">
        <f t="array" ref="K5">kp파종분기(B5,H5)</f>
        <v>2분기A1002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 cm="1">
        <f t="array" ref="K6">kp파종분기(B6,H6)</f>
        <v>1분기A1005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 cm="1">
        <f t="array" ref="K7">kp파종분기(B7,H7)</f>
        <v>2분기A1355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 cm="1">
        <f t="array" ref="K8">kp파종분기(B8,H8)</f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 cm="1">
        <f t="array" ref="K9">kp파종분기(B9,H9)</f>
        <v>1분기A3200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 cm="1">
        <f t="array" ref="K10">kp파종분기(B10,H10)</f>
        <v>1분기A3218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 cm="1">
        <f t="array" ref="K11">kp파종분기(B11,H11)</f>
        <v>1분기A9022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 cm="1">
        <f t="array" ref="K12">kp파종분기(B12,H12)</f>
        <v>3분기B0001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 cm="1">
        <f t="array" ref="K13">kp파종분기(B13,H13)</f>
        <v>3분기B0012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 cm="1">
        <f t="array" ref="K14">kp파종분기(B14,H14)</f>
        <v>3분기B1355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 cm="1">
        <f t="array" ref="K15">kp파종분기(B15,H15)</f>
        <v>3분기B2008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 cm="1">
        <f t="array" ref="K16">kp파종분기(B16,H16)</f>
        <v>3분기B3255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 cm="1">
        <f t="array" ref="K17">kp파종분기(B17,H17)</f>
        <v>1분기B3500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 cm="1">
        <f t="array" ref="K18">kp파종분기(B18,H18)</f>
        <v>1분기B6211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 cm="1">
        <f t="array" ref="K19">kp파종분기(B19,H19)</f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 cm="1">
        <f t="array" ref="K20">kp파종분기(B20,H20)</f>
        <v>3분기B9003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 cm="1">
        <f t="array" ref="K21">kp파종분기(B21,H21)</f>
        <v>1분기P0005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 cm="1">
        <f t="array" ref="K22">kp파종분기(B22,H22)</f>
        <v>1분기P0011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 cm="1">
        <f t="array" ref="K23">kp파종분기(B23,H23)</f>
        <v>1분기P2500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 cm="1">
        <f t="array" ref="K24">kp파종분기(B24,H24)</f>
        <v>1분기P3170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 cm="1">
        <f t="array" ref="K25">kp파종분기(B25,H25)</f>
        <v>1분기P6001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K25"/>
  <sheetViews>
    <sheetView tabSelected="1" topLeftCell="A10" zoomScale="115" zoomScaleNormal="115" workbookViewId="0">
      <selection activeCell="L1" sqref="L1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3" t="s">
        <v>311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 cm="1">
        <f t="array" ref="K4">kp개화분기(B4,I4)</f>
        <v>2분기A0077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 cm="1">
        <f t="array" ref="K5">kp개화분기(B5,I5)</f>
        <v>3분기A1002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 cm="1">
        <f t="array" ref="K6">kp개화분기(B6,I6)</f>
        <v>3분기A1005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 cm="1">
        <f t="array" ref="K7">kp개화분기(B7,I7)</f>
        <v>3분기A1355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 cm="1">
        <f t="array" ref="K8">kp개화분기(B8,I8)</f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 cm="1">
        <f t="array" ref="K9">kp개화분기(B9,I9)</f>
        <v>3분기A3200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 cm="1">
        <f t="array" ref="K10">kp개화분기(B10,I10)</f>
        <v>3분기A3218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 cm="1">
        <f t="array" ref="K11">kp개화분기(B11,I11)</f>
        <v>2분기A9022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 cm="1">
        <f t="array" ref="K12">kp개화분기(B12,I12)</f>
        <v>2분기B0001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 cm="1">
        <f t="array" ref="K13">kp개화분기(B13,I13)</f>
        <v>2분기B0012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 cm="1">
        <f t="array" ref="K14">kp개화분기(B14,I14)</f>
        <v>2분기B1355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 cm="1">
        <f t="array" ref="K15">kp개화분기(B15,I15)</f>
        <v>2분기B2008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 cm="1">
        <f t="array" ref="K16">kp개화분기(B16,I16)</f>
        <v>1분기B3255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 cm="1">
        <f t="array" ref="K17">kp개화분기(B17,I17)</f>
        <v>3분기B3500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 cm="1">
        <f t="array" ref="K18">kp개화분기(B18,I18)</f>
        <v>2분기B6211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 cm="1">
        <f t="array" ref="K19">kp개화분기(B19,I19)</f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 cm="1">
        <f t="array" ref="K20">kp개화분기(B20,I20)</f>
        <v>2분기B9003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 cm="1">
        <f t="array" ref="K21">kp개화분기(B21,I21)</f>
        <v>3분기P0005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 cm="1">
        <f t="array" ref="K22">kp개화분기(B22,I22)</f>
        <v>3분기P0011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 cm="1">
        <f t="array" ref="K23">kp개화분기(B23,I23)</f>
        <v>2분기P2500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 cm="1">
        <f t="array" ref="K24">kp개화분기(B24,I24)</f>
        <v>3분기P3170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 cm="1">
        <f t="array" ref="K25">kp개화분기(B25,I25)</f>
        <v>3분기P6001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"/>
  <sheetViews>
    <sheetView workbookViewId="0">
      <selection activeCell="I23" sqref="I22:I23"/>
    </sheetView>
  </sheetViews>
  <sheetFormatPr defaultRowHeight="16.899999999999999" x14ac:dyDescent="0.6"/>
  <sheetData/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topLeftCell="A7" workbookViewId="0">
      <selection activeCell="C12" sqref="C12"/>
    </sheetView>
  </sheetViews>
  <sheetFormatPr defaultRowHeight="16.899999999999999" x14ac:dyDescent="0.6"/>
  <cols>
    <col min="1" max="1" width="9.875" customWidth="1"/>
  </cols>
  <sheetData/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"/>
  <sheetViews>
    <sheetView workbookViewId="0">
      <selection activeCell="B1" sqref="B1"/>
    </sheetView>
  </sheetViews>
  <sheetFormatPr defaultRowHeight="16.899999999999999" x14ac:dyDescent="0.6"/>
  <cols>
    <col min="1" max="1" width="2.5625" customWidth="1"/>
  </cols>
  <sheetData/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B1" sqref="B1"/>
    </sheetView>
  </sheetViews>
  <sheetFormatPr defaultRowHeight="16.899999999999999" x14ac:dyDescent="0.6"/>
  <cols>
    <col min="1" max="1" width="2.5625" customWidth="1"/>
  </cols>
  <sheetData/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"/>
  <sheetViews>
    <sheetView workbookViewId="0">
      <selection activeCell="L24" sqref="L24"/>
    </sheetView>
  </sheetViews>
  <sheetFormatPr defaultRowHeight="16.899999999999999" x14ac:dyDescent="0.6"/>
  <cols>
    <col min="1" max="1" width="2.5625" customWidth="1"/>
  </cols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홈</vt:lpstr>
      <vt:lpstr>사용자정의함수1</vt:lpstr>
      <vt:lpstr>사용자정의함수2</vt:lpstr>
      <vt:lpstr>사용자정의함수3</vt:lpstr>
      <vt:lpstr>사용자정의함수4</vt:lpstr>
      <vt:lpstr>사용자정의함수5</vt:lpstr>
      <vt:lpstr>사용자정의함수6</vt:lpstr>
      <vt:lpstr>사용자정의함수7</vt:lpstr>
      <vt:lpstr>사용자정의함수8</vt:lpstr>
      <vt:lpstr>사용자정의함수9</vt:lpstr>
      <vt:lpstr>사용자정의함수10</vt:lpstr>
      <vt:lpstr>피벗테이블1</vt:lpstr>
      <vt:lpstr>피벗테이블2</vt:lpstr>
      <vt:lpstr>피벗테이블3</vt:lpstr>
      <vt:lpstr>피벗테이블4</vt:lpstr>
      <vt:lpstr>피벗테이블5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2023-07-15T16:30:02Z</dcterms:modified>
</cp:coreProperties>
</file>