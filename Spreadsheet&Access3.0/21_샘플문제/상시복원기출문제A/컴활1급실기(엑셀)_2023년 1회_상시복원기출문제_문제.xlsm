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externalLinks/externalLink1.xml" ContentType="application/vnd.openxmlformats-officedocument.spreadsheetml.externalLink+xml"/>
  <Override PartName="/xl/pivotCache/pivotCacheDefinition1.xml" ContentType="application/vnd.openxmlformats-officedocument.spreadsheetml.pivotCacheDefinition+xml"/>
  <Override PartName="/xl/pivotCache/pivotCacheRecords1.xml" ContentType="application/vnd.openxmlformats-officedocument.spreadsheetml.pivotCacheRecords+xml"/>
  <Override PartName="/xl/theme/theme1.xml" ContentType="application/vnd.openxmlformats-officedocument.theme+xml"/>
  <Override PartName="/xl/connections.xml" ContentType="application/vnd.openxmlformats-officedocument.spreadsheetml.connections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tables/table1.xml" ContentType="application/vnd.openxmlformats-officedocument.spreadsheetml.table+xml"/>
  <Override PartName="/xl/pivotTables/pivotTable1.xml" ContentType="application/vnd.openxmlformats-officedocument.spreadsheetml.pivotTable+xml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drawings/drawing2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drawings/drawing3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6529" codeName="{5022B3EB-BCE5-7840-4BB8-8062D341818C}"/>
  <workbookPr codeName="현재_통합_문서" defaultThemeVersion="166925"/>
  <mc:AlternateContent xmlns:mc="http://schemas.openxmlformats.org/markup-compatibility/2006">
    <mc:Choice Requires="x15">
      <x15ac:absPath xmlns:x15ac="http://schemas.microsoft.com/office/spreadsheetml/2010/11/ac" url="C:\Users\mondi\Desktop\A\Craftsman_Information_Processing\Spreadsheet&amp;Access3.0\21_샘플문제\상시복원기출문제A\"/>
    </mc:Choice>
  </mc:AlternateContent>
  <xr:revisionPtr revIDLastSave="0" documentId="13_ncr:1_{636A0549-53A3-49BD-9C7C-DBC5C6DB3577}" xr6:coauthVersionLast="47" xr6:coauthVersionMax="47" xr10:uidLastSave="{00000000-0000-0000-0000-000000000000}"/>
  <bookViews>
    <workbookView xWindow="-98" yWindow="-98" windowWidth="21795" windowHeight="12975" tabRatio="661" firstSheet="2" activeTab="4" xr2:uid="{00000000-000D-0000-FFFF-FFFF00000000}"/>
  </bookViews>
  <sheets>
    <sheet name="기본작업-1" sheetId="2" r:id="rId1"/>
    <sheet name="기본작업-2" sheetId="10" r:id="rId2"/>
    <sheet name="계산작업" sheetId="4" r:id="rId3"/>
    <sheet name="곽경미" sheetId="13" r:id="rId4"/>
    <sheet name="분석작업-1" sheetId="5" r:id="rId5"/>
    <sheet name="분석작업-2" sheetId="6" r:id="rId6"/>
    <sheet name="기타작업-1" sheetId="12" r:id="rId7"/>
    <sheet name="기타작업-2" sheetId="8" r:id="rId8"/>
    <sheet name="기타작업-3" sheetId="9" r:id="rId9"/>
  </sheets>
  <externalReferences>
    <externalReference r:id="rId10"/>
  </externalReferences>
  <definedNames>
    <definedName name="_xlnm._FilterDatabase" localSheetId="2" hidden="1">계산작업!#REF!</definedName>
    <definedName name="_xlnm._FilterDatabase" localSheetId="0" hidden="1">'기본작업-1'!$A$2:$H$29</definedName>
    <definedName name="_xlnm._FilterDatabase" localSheetId="1" hidden="1">'기본작업-2'!$A$2:$H$29</definedName>
    <definedName name="_xlnm._FilterDatabase" localSheetId="5" hidden="1">'분석작업-2'!$G$3:$G$27</definedName>
    <definedName name="_xlnm.Criteria" localSheetId="0">'기본작업-1'!#REF!</definedName>
    <definedName name="_xlnm.Criteria" localSheetId="1">'기본작업-2'!$K$2:$K$3</definedName>
    <definedName name="_xlnm.Extract" localSheetId="0">'기본작업-1'!#REF!</definedName>
    <definedName name="_xlnm.Extract" localSheetId="1">'기본작업-2'!$K$5:$M$5</definedName>
    <definedName name="MS_Access_Database_Query" localSheetId="4" hidden="1">'분석작업-1'!#REF!</definedName>
    <definedName name="_xlnm.Print_Area" localSheetId="0">'기본작업-1'!$A$2:$I$29</definedName>
    <definedName name="_xlnm.Print_Area" localSheetId="1">'기본작업-2'!$A$2:$I$29</definedName>
    <definedName name="_xlnm.Print_Titles" localSheetId="0">'기본작업-1'!$2:$2</definedName>
    <definedName name="_xlnm.Print_Titles" localSheetId="1">'기본작업-2'!$2:$2</definedName>
    <definedName name="Z_4FA91318_F568_4C4C_93A1_CBAB7D8E6C44_.wvu.FilterData" localSheetId="2" hidden="1">계산작업!#REF!</definedName>
    <definedName name="Z_4FA91318_F568_4C4C_93A1_CBAB7D8E6C44_.wvu.FilterData" localSheetId="0" hidden="1">'기본작업-1'!#REF!</definedName>
    <definedName name="Z_4FA91318_F568_4C4C_93A1_CBAB7D8E6C44_.wvu.FilterData" localSheetId="1" hidden="1">'기본작업-2'!#REF!</definedName>
    <definedName name="배점">'[1]기본작업-2'!#REF!</definedName>
  </definedNames>
  <calcPr calcId="191029"/>
  <pivotCaches>
    <pivotCache cacheId="0" r:id="rId11"/>
  </pivotCaches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K3" i="10" l="1"/>
  <c r="M5" i="8" l="1"/>
  <c r="M6" i="8"/>
  <c r="M7" i="8"/>
  <c r="M8" i="8"/>
  <c r="M9" i="8"/>
  <c r="M10" i="8"/>
  <c r="M11" i="8"/>
  <c r="M12" i="8"/>
  <c r="M13" i="8"/>
  <c r="M14" i="8"/>
  <c r="M15" i="8"/>
  <c r="M16" i="8"/>
  <c r="M17" i="8"/>
  <c r="M18" i="8"/>
  <c r="M19" i="8"/>
  <c r="M20" i="8"/>
  <c r="M21" i="8"/>
  <c r="M22" i="8"/>
  <c r="M23" i="8"/>
  <c r="M24" i="8"/>
  <c r="M25" i="8"/>
  <c r="M26" i="8"/>
  <c r="M27" i="8"/>
  <c r="M28" i="8"/>
  <c r="M29" i="8"/>
  <c r="M30" i="8"/>
  <c r="M31" i="8"/>
  <c r="M4" i="8"/>
  <c r="F3" i="8"/>
  <c r="G3" i="8" s="1"/>
  <c r="H3" i="8" s="1"/>
  <c r="I3" i="8" s="1"/>
  <c r="J3" i="8" s="1"/>
  <c r="K3" i="8" s="1"/>
  <c r="L3" i="8" s="1"/>
</calcChain>
</file>

<file path=xl/connections.xml><?xml version="1.0" encoding="utf-8"?>
<connections xmlns="http://schemas.openxmlformats.org/spreadsheetml/2006/main" xmlns:mc="http://schemas.openxmlformats.org/markup-compatibility/2006" xmlns:xr16="http://schemas.microsoft.com/office/spreadsheetml/2017/revision16" mc:Ignorable="xr16">
  <connection id="1" xr16:uid="{00000000-0015-0000-FFFF-FFFF00000000}" name="MS Access Database_Query" type="1" refreshedVersion="6">
    <dbPr connection="DSN=MS Access Database;DBQ=C:\OA\SEEDSCOM.accdb;DefaultDir=C:\OA;DriverId=25;FIL=MS Access;MaxBufferSize=2048;PageTimeout=5;" command="SELECT SEEDSCOM교육.담당쌤, SEEDSCOM교육.과정명, SEEDSCOM교육.가격, SEEDSCOM교육.교육장소, SEEDSCOM교육.교육시작일, SEEDSCOM교육.교육종료일, SEEDSCOM교육.접수인원, SEEDSCOM교육.모집정원_x000d__x000a_FROM `C:\OA\SEEDSCOM.accdb`.SEEDSCOM교육 SEEDSCOM교육"/>
  </connection>
  <connection id="2" xr16:uid="{00000000-0015-0000-FFFF-FFFF01000000}" name="MS Access Database_Query1" type="1" refreshedVersion="6">
    <dbPr connection="DSN=MS Access Database;DBQ=C:\OA\SEEDSCOM.accdb;DefaultDir=C:\OA;DriverId=25;FIL=MS Access;MaxBufferSize=2048;PageTimeout=5;" command="SELECT SEEDSCOM교육.담당쌤, SEEDSCOM교육.과정명, SEEDSCOM교육.교육장소, SEEDSCOM교육.가격, SEEDSCOM교육.모집정원_x000d__x000a_FROM `C:\OA\SEEDSCOM.accdb`.SEEDSCOM교육 SEEDSCOM교육"/>
  </connection>
  <connection id="3" xr16:uid="{00000000-0015-0000-FFFF-FFFF02000000}" name="MS Access Database_Query2" type="1" refreshedVersion="6">
    <dbPr connection="DSN=MS Access Database;DBQ=C:\OA\SEEDSCOM.accdb;DefaultDir=C:\OA;DriverId=25;FIL=MS Access;MaxBufferSize=2048;PageTimeout=5;" command="SELECT SEEDSCOM교육.담당쌤, SEEDSCOM교육.과정명, SEEDSCOM교육.가격, SEEDSCOM교육.교육장소, SEEDSCOM교육.접수인원, SEEDSCOM교육.모집정원_x000d__x000a_FROM `C:\OA\SEEDSCOM.accdb`.SEEDSCOM교육 SEEDSCOM교육"/>
  </connection>
  <connection id="4" xr16:uid="{42FE12A9-9610-452C-9E03-8EE99626D9EB}" name="MS Access Database_Query3" type="1" refreshedVersion="8" background="1">
    <dbPr connection="DSN=MS Access Database;DBQ=C:\Users\mondi\Desktop\새 폴더 (2)\Craftsman_Information_Processing\Spreadsheet&amp;Access3.0\21_샘플문제\상시복원기출문제A\SEEDSCOM.accdb;DefaultDir=C:\Users\mondi\Desktop\새 폴더 (2)\Craftsman_Information_Processing\Spreadsheet&amp;Access3.0\21_샘플문제\상시복원기출문제A;DriverId=25;FIL=MS Access;MaxBufferSize=2048;PageTimeout=5;" command="SELECT SEEDSCOM교육.담당쌤, SEEDSCOM교육.과정명, SEEDSCOM교육.가격, SEEDSCOM교육.교육장소, SEEDSCOM교육.접수인원, SEEDSCOM교육.모집정원_x000d__x000a_FROM SEEDSCOM교육 SEEDSCOM교육"/>
  </connection>
</connections>
</file>

<file path=xl/sharedStrings.xml><?xml version="1.0" encoding="utf-8"?>
<sst xmlns="http://schemas.openxmlformats.org/spreadsheetml/2006/main" count="818" uniqueCount="257">
  <si>
    <t>O</t>
    <phoneticPr fontId="4" type="noConversion"/>
  </si>
  <si>
    <t>이름</t>
  </si>
  <si>
    <t>반</t>
  </si>
  <si>
    <t>학년</t>
  </si>
  <si>
    <t>[표2]</t>
    <phoneticPr fontId="3" type="noConversion"/>
  </si>
  <si>
    <t>[표1]</t>
    <phoneticPr fontId="3" type="noConversion"/>
  </si>
  <si>
    <t>010-62**-****</t>
  </si>
  <si>
    <t>남</t>
  </si>
  <si>
    <t>차숙원</t>
  </si>
  <si>
    <t>온유반</t>
  </si>
  <si>
    <t>여</t>
  </si>
  <si>
    <t>이지선</t>
  </si>
  <si>
    <t>010-47**-****</t>
  </si>
  <si>
    <t>박지원</t>
  </si>
  <si>
    <t>010-71**-****</t>
  </si>
  <si>
    <t>박준영</t>
  </si>
  <si>
    <t>010-93**-****</t>
  </si>
  <si>
    <t>김주한</t>
  </si>
  <si>
    <t>010-36**-****</t>
  </si>
  <si>
    <t>김시연</t>
  </si>
  <si>
    <t>010-84**-****</t>
  </si>
  <si>
    <t>권지인</t>
  </si>
  <si>
    <t>010-32**-****</t>
  </si>
  <si>
    <t>최경은</t>
  </si>
  <si>
    <t>소망반</t>
  </si>
  <si>
    <t>010-46**-****</t>
  </si>
  <si>
    <t>장시훈</t>
  </si>
  <si>
    <t>010-99**-****</t>
  </si>
  <si>
    <t>임형빈</t>
  </si>
  <si>
    <t>010-44**-****</t>
  </si>
  <si>
    <t>이유진</t>
  </si>
  <si>
    <t>010-27**-****</t>
  </si>
  <si>
    <t>이수린</t>
  </si>
  <si>
    <t>윤서연</t>
  </si>
  <si>
    <t>010-52**-****</t>
  </si>
  <si>
    <t>유연서</t>
  </si>
  <si>
    <t>010-40**-****</t>
  </si>
  <si>
    <t>오정은</t>
  </si>
  <si>
    <t>박진우</t>
  </si>
  <si>
    <t>010-53**-****</t>
  </si>
  <si>
    <t>전지호</t>
  </si>
  <si>
    <t>믿음반</t>
  </si>
  <si>
    <t>송예린</t>
  </si>
  <si>
    <t>010-51**-****</t>
  </si>
  <si>
    <t>박연우</t>
  </si>
  <si>
    <t>010-82**-****</t>
  </si>
  <si>
    <t>박건우</t>
  </si>
  <si>
    <t>010-42**-****</t>
  </si>
  <si>
    <t>김주형</t>
  </si>
  <si>
    <t>010-73**-****</t>
  </si>
  <si>
    <t>김종헌</t>
  </si>
  <si>
    <t>010-88**-****</t>
  </si>
  <si>
    <t>김서영</t>
  </si>
  <si>
    <t>출석일수</t>
    <phoneticPr fontId="3" type="noConversion"/>
  </si>
  <si>
    <t>연락처</t>
  </si>
  <si>
    <t>생년월일</t>
  </si>
  <si>
    <t>성별</t>
  </si>
  <si>
    <t>성명</t>
  </si>
  <si>
    <t>학번</t>
  </si>
  <si>
    <t>학과</t>
  </si>
  <si>
    <t>강경순</t>
  </si>
  <si>
    <t>코딩설계공학과</t>
  </si>
  <si>
    <t>201984151</t>
  </si>
  <si>
    <t>강정화</t>
  </si>
  <si>
    <t>202084158</t>
  </si>
  <si>
    <t>공은주</t>
  </si>
  <si>
    <t>202116126</t>
  </si>
  <si>
    <t>곽경미</t>
  </si>
  <si>
    <t>전자공학과</t>
  </si>
  <si>
    <t>202105156</t>
  </si>
  <si>
    <t>곽복규</t>
  </si>
  <si>
    <t>드론콘텐츠과</t>
  </si>
  <si>
    <t>201984132</t>
  </si>
  <si>
    <t>곽향순</t>
  </si>
  <si>
    <t>201984136</t>
  </si>
  <si>
    <t>곽호동</t>
  </si>
  <si>
    <t>202184432</t>
  </si>
  <si>
    <t>김경희</t>
  </si>
  <si>
    <t>201984141</t>
  </si>
  <si>
    <t>김금선</t>
  </si>
  <si>
    <t>201984427</t>
  </si>
  <si>
    <t>김미영</t>
  </si>
  <si>
    <t>202007162</t>
  </si>
  <si>
    <t>김병래</t>
  </si>
  <si>
    <t>201984153</t>
  </si>
  <si>
    <t>김상덕</t>
  </si>
  <si>
    <t>김숙자</t>
  </si>
  <si>
    <t>202197138</t>
  </si>
  <si>
    <t>김찬수</t>
  </si>
  <si>
    <t>202184436</t>
  </si>
  <si>
    <t>노선녀</t>
  </si>
  <si>
    <t>202019135</t>
  </si>
  <si>
    <t>박갑열</t>
  </si>
  <si>
    <t>201984133</t>
  </si>
  <si>
    <t>박강훈</t>
  </si>
  <si>
    <t>202105146</t>
  </si>
  <si>
    <t>박금옥</t>
  </si>
  <si>
    <t>202085147</t>
  </si>
  <si>
    <t>박낙균</t>
  </si>
  <si>
    <t>컴퓨터공학과</t>
  </si>
  <si>
    <t>202184152</t>
  </si>
  <si>
    <t>박미숙</t>
  </si>
  <si>
    <t>202146132</t>
  </si>
  <si>
    <t>박연축</t>
  </si>
  <si>
    <t>201984126</t>
  </si>
  <si>
    <t>배영란</t>
  </si>
  <si>
    <t>201984135</t>
  </si>
  <si>
    <t>신은희</t>
  </si>
  <si>
    <t>심용섭</t>
  </si>
  <si>
    <t>201984426</t>
  </si>
  <si>
    <t>엄일호</t>
  </si>
  <si>
    <t>202016144</t>
  </si>
  <si>
    <t>유재천</t>
  </si>
  <si>
    <t>201984125</t>
  </si>
  <si>
    <t>이수영</t>
  </si>
  <si>
    <t>평균</t>
    <phoneticPr fontId="3" type="noConversion"/>
  </si>
  <si>
    <t>1주</t>
    <phoneticPr fontId="3" type="noConversion"/>
  </si>
  <si>
    <t>2주</t>
  </si>
  <si>
    <t>3주</t>
  </si>
  <si>
    <t>4주</t>
  </si>
  <si>
    <t>입학일</t>
    <phoneticPr fontId="3" type="noConversion"/>
  </si>
  <si>
    <t>핀매코드</t>
    <phoneticPr fontId="3" type="noConversion"/>
  </si>
  <si>
    <t>판매일</t>
  </si>
  <si>
    <t>상품명</t>
  </si>
  <si>
    <t>상품(상세)</t>
  </si>
  <si>
    <t>판매금액</t>
    <phoneticPr fontId="3" type="noConversion"/>
  </si>
  <si>
    <t>청소기</t>
  </si>
  <si>
    <t>OLED TV 163CM</t>
  </si>
  <si>
    <t>냉장고</t>
  </si>
  <si>
    <t>디오스 매직 스페이스</t>
  </si>
  <si>
    <t>디오스 베이직 오브제컬렉션</t>
  </si>
  <si>
    <t>디오스 양문형 매직 스페이스</t>
  </si>
  <si>
    <t>노트북</t>
  </si>
  <si>
    <t>그램 학생용 노트북</t>
  </si>
  <si>
    <t>그램 2021 인텔 11세대 i5/16GB/256G</t>
  </si>
  <si>
    <t>세탁기</t>
  </si>
  <si>
    <t>트롬 세탁기 건조기세트</t>
  </si>
  <si>
    <t>트롬 워시타워 24kg건조</t>
  </si>
  <si>
    <t>트롬 19KG 실버 드럼세탁기 F19VDU</t>
  </si>
  <si>
    <t>TV</t>
  </si>
  <si>
    <t>55형 4K UHD</t>
  </si>
  <si>
    <t>32형 32LM580BEND</t>
  </si>
  <si>
    <t>디오스 김치냉장고</t>
  </si>
  <si>
    <t>냉동고(사업자 전동)</t>
  </si>
  <si>
    <t>라이젠7 AMD 노트북</t>
  </si>
  <si>
    <t>2021pc  13인치 가벼운 노트북</t>
  </si>
  <si>
    <t>트롬 F15WQA</t>
  </si>
  <si>
    <t>43형 4K UHD 스마트</t>
  </si>
  <si>
    <t>55형 4K UHD 나노셀</t>
  </si>
  <si>
    <t>15인치 가성비 노트북</t>
  </si>
  <si>
    <t xml:space="preserve">코드제로A9S 아이언그레이 </t>
    <phoneticPr fontId="15" type="noConversion"/>
  </si>
  <si>
    <t>[표2]</t>
  </si>
  <si>
    <t>notebook</t>
  </si>
  <si>
    <t>refrigerator</t>
  </si>
  <si>
    <t>tv</t>
  </si>
  <si>
    <t>washer</t>
  </si>
  <si>
    <t>비고</t>
    <phoneticPr fontId="3" type="noConversion"/>
  </si>
  <si>
    <t>1/4분기</t>
    <phoneticPr fontId="3" type="noConversion"/>
  </si>
  <si>
    <t>2/4분기</t>
    <phoneticPr fontId="3" type="noConversion"/>
  </si>
  <si>
    <t>3/4분기</t>
    <phoneticPr fontId="3" type="noConversion"/>
  </si>
  <si>
    <t>판매월</t>
    <phoneticPr fontId="3" type="noConversion"/>
  </si>
  <si>
    <t>분기</t>
    <phoneticPr fontId="3" type="noConversion"/>
  </si>
  <si>
    <t>할부기간</t>
    <phoneticPr fontId="3" type="noConversion"/>
  </si>
  <si>
    <t>할부금</t>
    <phoneticPr fontId="3" type="noConversion"/>
  </si>
  <si>
    <t>판매사원</t>
    <phoneticPr fontId="3" type="noConversion"/>
  </si>
  <si>
    <t>이봉숙</t>
  </si>
  <si>
    <t>한성권</t>
  </si>
  <si>
    <t>이미희</t>
  </si>
  <si>
    <t>cleaner</t>
    <phoneticPr fontId="3" type="noConversion"/>
  </si>
  <si>
    <t>[표3] 상품별 최고가 상품</t>
    <phoneticPr fontId="3" type="noConversion"/>
  </si>
  <si>
    <t>[표4] 분기별 상품의 판매금액 합계</t>
    <phoneticPr fontId="3" type="noConversion"/>
  </si>
  <si>
    <t>우명관</t>
  </si>
  <si>
    <t>2018 동계 올림픽 순위</t>
    <phoneticPr fontId="3" type="noConversion"/>
  </si>
  <si>
    <t>순위</t>
  </si>
  <si>
    <t>국가</t>
  </si>
  <si>
    <t>금메달</t>
  </si>
  <si>
    <t>은메달</t>
  </si>
  <si>
    <t>동메달</t>
  </si>
  <si>
    <t>노르웨이</t>
  </si>
  <si>
    <t>독일</t>
  </si>
  <si>
    <t>캐나다</t>
  </si>
  <si>
    <t>미국</t>
  </si>
  <si>
    <t>네덜란드</t>
  </si>
  <si>
    <t>스웨덴</t>
  </si>
  <si>
    <t>대한민국</t>
  </si>
  <si>
    <t>스위스</t>
  </si>
  <si>
    <t>프랑스</t>
  </si>
  <si>
    <t>오스트리아</t>
  </si>
  <si>
    <t>1반</t>
    <phoneticPr fontId="4" type="noConversion"/>
  </si>
  <si>
    <t>2반</t>
    <phoneticPr fontId="4" type="noConversion"/>
  </si>
  <si>
    <t>3반</t>
    <phoneticPr fontId="4" type="noConversion"/>
  </si>
  <si>
    <t>김익래</t>
  </si>
  <si>
    <t>김익래</t>
    <phoneticPr fontId="4" type="noConversion"/>
  </si>
  <si>
    <t>곽명식</t>
  </si>
  <si>
    <t>곽선자</t>
  </si>
  <si>
    <t>김동철</t>
  </si>
  <si>
    <t>김석환</t>
  </si>
  <si>
    <t>김윤선</t>
  </si>
  <si>
    <t>김은희</t>
  </si>
  <si>
    <t>남궁현숙</t>
  </si>
  <si>
    <t>박준홍</t>
  </si>
  <si>
    <t>안명숙</t>
  </si>
  <si>
    <t>유경자</t>
  </si>
  <si>
    <t>이석민</t>
  </si>
  <si>
    <t>이성룡</t>
  </si>
  <si>
    <t>이순복</t>
  </si>
  <si>
    <t>이승렬</t>
  </si>
  <si>
    <t>이일선</t>
  </si>
  <si>
    <t>이호춘</t>
  </si>
  <si>
    <t>장현진</t>
  </si>
  <si>
    <t>번호</t>
    <phoneticPr fontId="3" type="noConversion"/>
  </si>
  <si>
    <t>점수</t>
    <phoneticPr fontId="3" type="noConversion"/>
  </si>
  <si>
    <t>사원코드</t>
    <phoneticPr fontId="3" type="noConversion"/>
  </si>
  <si>
    <t>팀명</t>
    <phoneticPr fontId="3" type="noConversion"/>
  </si>
  <si>
    <t>사원명</t>
    <phoneticPr fontId="3" type="noConversion"/>
  </si>
  <si>
    <t>몸무게</t>
    <phoneticPr fontId="3" type="noConversion"/>
  </si>
  <si>
    <t>키</t>
    <phoneticPr fontId="3" type="noConversion"/>
  </si>
  <si>
    <t>BMI</t>
    <phoneticPr fontId="3" type="noConversion"/>
  </si>
  <si>
    <t>판정</t>
    <phoneticPr fontId="3" type="noConversion"/>
  </si>
  <si>
    <t>검진일</t>
    <phoneticPr fontId="3" type="noConversion"/>
  </si>
  <si>
    <t>김익래</t>
    <phoneticPr fontId="3" type="noConversion"/>
  </si>
  <si>
    <t>직급</t>
    <phoneticPr fontId="3" type="noConversion"/>
  </si>
  <si>
    <t>사원</t>
  </si>
  <si>
    <t>사원</t>
    <phoneticPr fontId="3" type="noConversion"/>
  </si>
  <si>
    <t>부장</t>
  </si>
  <si>
    <t>부장</t>
    <phoneticPr fontId="3" type="noConversion"/>
  </si>
  <si>
    <t>차장</t>
    <phoneticPr fontId="3" type="noConversion"/>
  </si>
  <si>
    <t>대리</t>
    <phoneticPr fontId="3" type="noConversion"/>
  </si>
  <si>
    <t>과체중</t>
  </si>
  <si>
    <t>인사팀</t>
  </si>
  <si>
    <t>저체중</t>
  </si>
  <si>
    <t>영업팀</t>
  </si>
  <si>
    <t>상품</t>
    <phoneticPr fontId="3" type="noConversion"/>
  </si>
  <si>
    <t>조건</t>
    <phoneticPr fontId="3" type="noConversion"/>
  </si>
  <si>
    <t>담당쌤</t>
  </si>
  <si>
    <t>김선주</t>
  </si>
  <si>
    <t>교육장소</t>
  </si>
  <si>
    <t>광주</t>
  </si>
  <si>
    <t>대구</t>
  </si>
  <si>
    <t>부산</t>
  </si>
  <si>
    <t>서울</t>
  </si>
  <si>
    <t>합계 : 모집정원</t>
  </si>
  <si>
    <t>값</t>
  </si>
  <si>
    <t>합계 : 가격</t>
  </si>
  <si>
    <t>*</t>
  </si>
  <si>
    <t>합계 : 매출액</t>
  </si>
  <si>
    <t>생산팀</t>
  </si>
  <si>
    <t>차장</t>
  </si>
  <si>
    <t>봉사출석현황</t>
  </si>
  <si>
    <t>1차개강</t>
  </si>
  <si>
    <t>2차개강</t>
  </si>
  <si>
    <t>개강</t>
  </si>
  <si>
    <t>과정명</t>
  </si>
  <si>
    <t>가격</t>
  </si>
  <si>
    <t>접수인원</t>
  </si>
  <si>
    <t>모집정원</t>
  </si>
  <si>
    <t>엑셀을 활용한 사무자동화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</si>
</sst>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5">
    <numFmt numFmtId="41" formatCode="_-* #,##0_-;\-* #,##0_-;_-* &quot;-&quot;_-;_-@_-"/>
    <numFmt numFmtId="176" formatCode="m\/d"/>
    <numFmt numFmtId="177" formatCode="#,##0_ ;[Red]\-#,##0\ "/>
    <numFmt numFmtId="178" formatCode="0&quot;월&quot;"/>
    <numFmt numFmtId="179" formatCode="[Blue][=1]\●&quot;출&quot;&quot;석&quot;* 0;[Red][=0]\○&quot;출&quot;&quot;석&quot;* 0"/>
  </numFmts>
  <fonts count="16" x14ac:knownFonts="1">
    <font>
      <sz val="11"/>
      <color theme="1"/>
      <name val="맑은 고딕"/>
      <family val="2"/>
      <charset val="129"/>
      <scheme val="minor"/>
    </font>
    <font>
      <sz val="11"/>
      <color theme="1"/>
      <name val="맑은 고딕"/>
      <family val="2"/>
      <charset val="129"/>
      <scheme val="minor"/>
    </font>
    <font>
      <sz val="11"/>
      <color theme="0"/>
      <name val="맑은 고딕"/>
      <family val="2"/>
      <charset val="129"/>
      <scheme val="minor"/>
    </font>
    <font>
      <sz val="8"/>
      <name val="맑은 고딕"/>
      <family val="2"/>
      <charset val="129"/>
      <scheme val="minor"/>
    </font>
    <font>
      <sz val="8"/>
      <name val="맑은 고딕"/>
      <family val="2"/>
      <charset val="129"/>
    </font>
    <font>
      <sz val="11"/>
      <color theme="1"/>
      <name val="맑은 고딕"/>
      <family val="3"/>
      <charset val="129"/>
      <scheme val="minor"/>
    </font>
    <font>
      <sz val="11"/>
      <color rgb="FF000000"/>
      <name val="맑은 고딕"/>
      <family val="3"/>
      <charset val="129"/>
    </font>
    <font>
      <sz val="10"/>
      <color rgb="FF000000"/>
      <name val="맑은 고딕"/>
      <family val="3"/>
      <charset val="129"/>
    </font>
    <font>
      <b/>
      <sz val="11"/>
      <color theme="0"/>
      <name val="맑은 고딕"/>
      <family val="3"/>
      <charset val="129"/>
      <scheme val="minor"/>
    </font>
    <font>
      <b/>
      <sz val="11"/>
      <color theme="1"/>
      <name val="맑은 고딕"/>
      <family val="3"/>
      <charset val="129"/>
      <scheme val="minor"/>
    </font>
    <font>
      <sz val="10"/>
      <color theme="1"/>
      <name val="맑은 고딕"/>
      <family val="2"/>
      <charset val="129"/>
      <scheme val="minor"/>
    </font>
    <font>
      <sz val="10"/>
      <color theme="1"/>
      <name val="맑은 고딕"/>
      <family val="3"/>
      <charset val="129"/>
      <scheme val="minor"/>
    </font>
    <font>
      <b/>
      <sz val="18"/>
      <color theme="3"/>
      <name val="맑은 고딕"/>
      <family val="2"/>
      <charset val="129"/>
      <scheme val="major"/>
    </font>
    <font>
      <b/>
      <sz val="11"/>
      <color rgb="FF000000"/>
      <name val="맑은 고딕"/>
      <family val="3"/>
      <charset val="129"/>
    </font>
    <font>
      <sz val="11"/>
      <color theme="0"/>
      <name val="맑은 고딕"/>
      <family val="3"/>
      <charset val="129"/>
      <scheme val="minor"/>
    </font>
    <font>
      <sz val="8"/>
      <name val="맑은 고딕"/>
      <family val="3"/>
      <charset val="129"/>
      <scheme val="minor"/>
    </font>
  </fonts>
  <fills count="10">
    <fill>
      <patternFill patternType="none"/>
    </fill>
    <fill>
      <patternFill patternType="gray125"/>
    </fill>
    <fill>
      <patternFill patternType="solid">
        <fgColor theme="4" tint="0.79998168889431442"/>
        <bgColor indexed="65"/>
      </patternFill>
    </fill>
    <fill>
      <patternFill patternType="solid">
        <fgColor theme="4" tint="0.39997558519241921"/>
        <bgColor indexed="65"/>
      </patternFill>
    </fill>
    <fill>
      <patternFill patternType="solid">
        <fgColor theme="5" tint="0.79998168889431442"/>
        <bgColor indexed="65"/>
      </patternFill>
    </fill>
    <fill>
      <patternFill patternType="solid">
        <fgColor theme="6" tint="0.79998168889431442"/>
        <bgColor indexed="65"/>
      </patternFill>
    </fill>
    <fill>
      <patternFill patternType="solid">
        <fgColor theme="7" tint="0.79998168889431442"/>
        <bgColor indexed="65"/>
      </patternFill>
    </fill>
    <fill>
      <patternFill patternType="solid">
        <fgColor theme="4"/>
        <bgColor indexed="64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rgb="FFFFFF00"/>
        <bgColor indexed="64"/>
      </patternFill>
    </fill>
  </fills>
  <borders count="4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/>
      <diagonal/>
    </border>
    <border>
      <left style="thin">
        <color indexed="64"/>
      </left>
      <right/>
      <top/>
      <bottom/>
      <diagonal/>
    </border>
  </borders>
  <cellStyleXfs count="9">
    <xf numFmtId="0" fontId="0" fillId="0" borderId="0">
      <alignment vertical="center"/>
    </xf>
    <xf numFmtId="41" fontId="1" fillId="0" borderId="0" applyFont="0" applyFill="0" applyBorder="0" applyAlignment="0" applyProtection="0">
      <alignment vertical="center"/>
    </xf>
    <xf numFmtId="0" fontId="1" fillId="2" borderId="0" applyNumberFormat="0" applyBorder="0" applyAlignment="0" applyProtection="0">
      <alignment vertical="center"/>
    </xf>
    <xf numFmtId="0" fontId="2" fillId="3" borderId="0" applyNumberFormat="0" applyBorder="0" applyAlignment="0" applyProtection="0">
      <alignment vertical="center"/>
    </xf>
    <xf numFmtId="0" fontId="1" fillId="4" borderId="0" applyNumberFormat="0" applyBorder="0" applyAlignment="0" applyProtection="0">
      <alignment vertical="center"/>
    </xf>
    <xf numFmtId="0" fontId="1" fillId="5" borderId="0" applyNumberFormat="0" applyBorder="0" applyAlignment="0" applyProtection="0">
      <alignment vertical="center"/>
    </xf>
    <xf numFmtId="0" fontId="1" fillId="6" borderId="0" applyNumberFormat="0" applyBorder="0" applyAlignment="0" applyProtection="0">
      <alignment vertical="center"/>
    </xf>
    <xf numFmtId="0" fontId="12" fillId="0" borderId="0" applyNumberFormat="0" applyFill="0" applyBorder="0" applyAlignment="0" applyProtection="0">
      <alignment vertical="center"/>
    </xf>
    <xf numFmtId="0" fontId="1" fillId="0" borderId="0">
      <alignment vertical="center"/>
    </xf>
  </cellStyleXfs>
  <cellXfs count="53">
    <xf numFmtId="0" fontId="0" fillId="0" borderId="0" xfId="0">
      <alignment vertical="center"/>
    </xf>
    <xf numFmtId="0" fontId="0" fillId="0" borderId="1" xfId="0" applyBorder="1" applyAlignment="1">
      <alignment horizontal="center" vertical="center"/>
    </xf>
    <xf numFmtId="0" fontId="0" fillId="0" borderId="1" xfId="0" applyBorder="1" applyAlignment="1">
      <alignment horizontal="center" vertical="center" shrinkToFit="1"/>
    </xf>
    <xf numFmtId="0" fontId="5" fillId="0" borderId="1" xfId="6" applyFont="1" applyFill="1" applyBorder="1" applyAlignment="1">
      <alignment horizontal="center" vertical="center" wrapText="1"/>
    </xf>
    <xf numFmtId="0" fontId="1" fillId="0" borderId="1" xfId="6" applyFill="1" applyBorder="1" applyAlignment="1">
      <alignment horizontal="center" vertical="center" wrapText="1"/>
    </xf>
    <xf numFmtId="0" fontId="6" fillId="0" borderId="1" xfId="0" applyFont="1" applyBorder="1" applyAlignment="1">
      <alignment horizontal="center" vertical="center" wrapText="1"/>
    </xf>
    <xf numFmtId="0" fontId="5" fillId="0" borderId="1" xfId="4" applyFont="1" applyFill="1" applyBorder="1" applyAlignment="1">
      <alignment horizontal="center" vertical="center" wrapText="1"/>
    </xf>
    <xf numFmtId="0" fontId="1" fillId="0" borderId="1" xfId="4" applyFill="1" applyBorder="1" applyAlignment="1">
      <alignment horizontal="center" vertical="center" wrapText="1"/>
    </xf>
    <xf numFmtId="0" fontId="5" fillId="0" borderId="1" xfId="5" applyFont="1" applyFill="1" applyBorder="1" applyAlignment="1">
      <alignment horizontal="center" vertical="center" wrapText="1"/>
    </xf>
    <xf numFmtId="0" fontId="1" fillId="0" borderId="1" xfId="5" applyFill="1" applyBorder="1" applyAlignment="1">
      <alignment horizontal="center" vertical="center" wrapText="1"/>
    </xf>
    <xf numFmtId="0" fontId="5" fillId="0" borderId="1" xfId="2" applyFont="1" applyFill="1" applyBorder="1" applyAlignment="1">
      <alignment horizontal="center" vertical="center" wrapText="1"/>
    </xf>
    <xf numFmtId="0" fontId="1" fillId="0" borderId="1" xfId="2" applyFill="1" applyBorder="1" applyAlignment="1">
      <alignment horizontal="center" vertical="center" shrinkToFit="1"/>
    </xf>
    <xf numFmtId="0" fontId="1" fillId="0" borderId="1" xfId="2" applyFill="1" applyBorder="1" applyAlignment="1">
      <alignment horizontal="center" vertical="center" wrapText="1"/>
    </xf>
    <xf numFmtId="0" fontId="1" fillId="0" borderId="1" xfId="2" applyFill="1" applyBorder="1" applyAlignment="1">
      <alignment horizontal="center" vertical="center"/>
    </xf>
    <xf numFmtId="0" fontId="1" fillId="0" borderId="1" xfId="0" applyFont="1" applyBorder="1" applyAlignment="1">
      <alignment horizontal="center" vertical="center" wrapText="1"/>
    </xf>
    <xf numFmtId="0" fontId="7" fillId="0" borderId="1" xfId="0" applyFont="1" applyBorder="1" applyAlignment="1">
      <alignment horizontal="center" vertical="center" wrapText="1"/>
    </xf>
    <xf numFmtId="0" fontId="5" fillId="0" borderId="0" xfId="0" applyFont="1">
      <alignment vertical="center"/>
    </xf>
    <xf numFmtId="0" fontId="5" fillId="0" borderId="1" xfId="0" applyFont="1" applyBorder="1">
      <alignment vertical="center"/>
    </xf>
    <xf numFmtId="0" fontId="5" fillId="0" borderId="1" xfId="0" applyFont="1" applyBorder="1" applyAlignment="1">
      <alignment horizontal="center" vertical="center"/>
    </xf>
    <xf numFmtId="0" fontId="10" fillId="0" borderId="1" xfId="0" applyFont="1" applyBorder="1" applyAlignment="1">
      <alignment horizontal="center" vertical="center"/>
    </xf>
    <xf numFmtId="14" fontId="11" fillId="0" borderId="1" xfId="0" applyNumberFormat="1" applyFont="1" applyBorder="1" applyAlignment="1">
      <alignment horizontal="center" vertical="center"/>
    </xf>
    <xf numFmtId="176" fontId="9" fillId="0" borderId="1" xfId="0" applyNumberFormat="1" applyFont="1" applyBorder="1" applyAlignment="1">
      <alignment horizontal="center" vertical="center" shrinkToFit="1"/>
    </xf>
    <xf numFmtId="0" fontId="13" fillId="0" borderId="1" xfId="0" applyFont="1" applyBorder="1" applyAlignment="1">
      <alignment horizontal="center" vertical="center" wrapText="1"/>
    </xf>
    <xf numFmtId="0" fontId="13" fillId="0" borderId="1" xfId="0" applyFont="1" applyBorder="1" applyAlignment="1">
      <alignment horizontal="center" vertical="center"/>
    </xf>
    <xf numFmtId="14" fontId="0" fillId="0" borderId="1" xfId="0" applyNumberFormat="1" applyBorder="1" applyAlignment="1">
      <alignment horizontal="center" vertical="center"/>
    </xf>
    <xf numFmtId="0" fontId="0" fillId="8" borderId="1" xfId="0" applyFill="1" applyBorder="1" applyAlignment="1">
      <alignment horizontal="center" vertical="center"/>
    </xf>
    <xf numFmtId="0" fontId="0" fillId="0" borderId="0" xfId="0" applyAlignment="1">
      <alignment horizontal="center" vertical="center"/>
    </xf>
    <xf numFmtId="3" fontId="0" fillId="0" borderId="1" xfId="0" applyNumberFormat="1" applyBorder="1">
      <alignment vertical="center"/>
    </xf>
    <xf numFmtId="177" fontId="0" fillId="0" borderId="1" xfId="0" applyNumberFormat="1" applyBorder="1" applyAlignment="1">
      <alignment horizontal="center" vertical="center"/>
    </xf>
    <xf numFmtId="0" fontId="0" fillId="9" borderId="1" xfId="0" applyFill="1" applyBorder="1" applyAlignment="1">
      <alignment horizontal="center" vertical="center"/>
    </xf>
    <xf numFmtId="41" fontId="5" fillId="0" borderId="1" xfId="1" applyFont="1" applyBorder="1">
      <alignment vertical="center"/>
    </xf>
    <xf numFmtId="0" fontId="5" fillId="8" borderId="1" xfId="0" applyFont="1" applyFill="1" applyBorder="1" applyAlignment="1">
      <alignment horizontal="center" vertical="center"/>
    </xf>
    <xf numFmtId="0" fontId="0" fillId="0" borderId="0" xfId="0" applyAlignment="1">
      <alignment horizontal="left" vertical="center"/>
    </xf>
    <xf numFmtId="0" fontId="5" fillId="0" borderId="0" xfId="0" applyFont="1" applyAlignment="1">
      <alignment horizontal="left" vertical="center"/>
    </xf>
    <xf numFmtId="178" fontId="5" fillId="8" borderId="1" xfId="0" applyNumberFormat="1" applyFont="1" applyFill="1" applyBorder="1" applyAlignment="1">
      <alignment horizontal="center" vertical="center"/>
    </xf>
    <xf numFmtId="177" fontId="0" fillId="0" borderId="1" xfId="0" applyNumberFormat="1" applyBorder="1" applyAlignment="1">
      <alignment horizontal="right" vertical="center"/>
    </xf>
    <xf numFmtId="0" fontId="5" fillId="0" borderId="1" xfId="1" applyNumberFormat="1" applyFont="1" applyBorder="1" applyAlignment="1">
      <alignment horizontal="center" vertical="center"/>
    </xf>
    <xf numFmtId="14" fontId="5" fillId="0" borderId="0" xfId="0" applyNumberFormat="1" applyFont="1" applyAlignment="1">
      <alignment horizontal="center" vertical="center"/>
    </xf>
    <xf numFmtId="0" fontId="8" fillId="7" borderId="1" xfId="1" applyNumberFormat="1" applyFont="1" applyFill="1" applyBorder="1" applyAlignment="1">
      <alignment horizontal="center" vertical="center"/>
    </xf>
    <xf numFmtId="0" fontId="14" fillId="0" borderId="0" xfId="1" applyNumberFormat="1" applyFont="1" applyFill="1" applyBorder="1" applyAlignment="1">
      <alignment horizontal="center" vertical="center"/>
    </xf>
    <xf numFmtId="0" fontId="5" fillId="0" borderId="0" xfId="1" applyNumberFormat="1" applyFont="1">
      <alignment vertical="center"/>
    </xf>
    <xf numFmtId="0" fontId="5" fillId="0" borderId="0" xfId="0" applyFont="1" applyAlignment="1">
      <alignment horizontal="center" vertical="center"/>
    </xf>
    <xf numFmtId="0" fontId="8" fillId="7" borderId="1" xfId="3" applyNumberFormat="1" applyFont="1" applyFill="1" applyBorder="1" applyAlignment="1">
      <alignment horizontal="center" vertical="center"/>
    </xf>
    <xf numFmtId="0" fontId="5" fillId="0" borderId="0" xfId="1" applyNumberFormat="1" applyFont="1" applyAlignment="1">
      <alignment horizontal="center" vertical="center"/>
    </xf>
    <xf numFmtId="0" fontId="5" fillId="0" borderId="2" xfId="0" applyFont="1" applyBorder="1" applyAlignment="1">
      <alignment horizontal="center" vertical="center"/>
    </xf>
    <xf numFmtId="0" fontId="0" fillId="8" borderId="3" xfId="0" applyFill="1" applyBorder="1" applyAlignment="1">
      <alignment horizontal="center" vertical="center"/>
    </xf>
    <xf numFmtId="0" fontId="0" fillId="0" borderId="0" xfId="0" pivotButton="1" applyAlignment="1">
      <alignment horizontal="center" vertical="center"/>
    </xf>
    <xf numFmtId="0" fontId="0" fillId="0" borderId="0" xfId="0" applyAlignment="1">
      <alignment horizontal="center" vertical="center" wrapText="1"/>
    </xf>
    <xf numFmtId="41" fontId="0" fillId="0" borderId="0" xfId="0" applyNumberFormat="1">
      <alignment vertical="center"/>
    </xf>
    <xf numFmtId="179" fontId="0" fillId="0" borderId="1" xfId="0" applyNumberFormat="1" applyBorder="1" applyAlignment="1">
      <alignment horizontal="center" vertical="center" shrinkToFit="1"/>
    </xf>
    <xf numFmtId="0" fontId="5" fillId="8" borderId="1" xfId="0" applyFont="1" applyFill="1" applyBorder="1" applyAlignment="1">
      <alignment horizontal="center" vertical="center"/>
    </xf>
    <xf numFmtId="0" fontId="0" fillId="0" borderId="0" xfId="0" applyAlignment="1">
      <alignment horizontal="center" vertical="center" wrapText="1"/>
    </xf>
    <xf numFmtId="0" fontId="0" fillId="0" borderId="0" xfId="0" applyAlignment="1">
      <alignment horizontal="center" vertical="center"/>
    </xf>
  </cellXfs>
  <cellStyles count="9">
    <cellStyle name="20% - 강조색1" xfId="2" builtinId="30"/>
    <cellStyle name="20% - 강조색2" xfId="4" builtinId="34"/>
    <cellStyle name="20% - 강조색3" xfId="5" builtinId="38"/>
    <cellStyle name="20% - 강조색4" xfId="6" builtinId="42"/>
    <cellStyle name="60% - 강조색1" xfId="3" builtinId="32"/>
    <cellStyle name="쉼표 [0]" xfId="1" builtinId="6"/>
    <cellStyle name="제목 5" xfId="7" xr:uid="{00000000-0005-0000-0000-000006000000}"/>
    <cellStyle name="표준" xfId="0" builtinId="0"/>
    <cellStyle name="표준 2" xfId="8" xr:uid="{00000000-0005-0000-0000-000008000000}"/>
  </cellStyles>
  <dxfs count="1">
    <dxf>
      <fill>
        <patternFill>
          <bgColor rgb="FFFFFF00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connections" Target="connections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theme" Target="theme/theme1.xml"/><Relationship Id="rId17" Type="http://schemas.microsoft.com/office/2006/relationships/vbaProject" Target="vbaProject.bin"/><Relationship Id="rId2" Type="http://schemas.openxmlformats.org/officeDocument/2006/relationships/worksheet" Target="worksheets/sheet2.xml"/><Relationship Id="rId16" Type="http://schemas.openxmlformats.org/officeDocument/2006/relationships/calcChain" Target="calcChain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pivotCacheDefinition" Target="pivotCache/pivotCacheDefinition1.xml"/><Relationship Id="rId5" Type="http://schemas.openxmlformats.org/officeDocument/2006/relationships/worksheet" Target="worksheets/sheet5.xml"/><Relationship Id="rId15" Type="http://schemas.openxmlformats.org/officeDocument/2006/relationships/sharedStrings" Target="sharedStrings.xml"/><Relationship Id="rId10" Type="http://schemas.openxmlformats.org/officeDocument/2006/relationships/externalLink" Target="externalLinks/externalLink1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styles" Target="styles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activeX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ko-K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'기타작업-1'!$A$1</c:f>
          <c:strCache>
            <c:ptCount val="1"/>
            <c:pt idx="0">
              <c:v>2018 동계 올림픽 순위</c:v>
            </c:pt>
          </c:strCache>
        </c:strRef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ko-KR"/>
        </a:p>
      </c:txPr>
    </c:title>
    <c:autoTitleDeleted val="0"/>
    <c:plotArea>
      <c:layout/>
      <c:barChart>
        <c:barDir val="col"/>
        <c:grouping val="stacked"/>
        <c:varyColors val="0"/>
        <c:ser>
          <c:idx val="0"/>
          <c:order val="0"/>
          <c:tx>
            <c:strRef>
              <c:f>'기타작업-1'!$C$3</c:f>
              <c:strCache>
                <c:ptCount val="1"/>
                <c:pt idx="0">
                  <c:v>금메달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ko-KR"/>
              </a:p>
            </c:txPr>
            <c:dLblPos val="in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extLst>
                <c:ext xmlns:c15="http://schemas.microsoft.com/office/drawing/2012/chart" uri="{02D57815-91ED-43cb-92C2-25804820EDAC}">
                  <c15:fullRef>
                    <c15:sqref>'기타작업-1'!$B$4:$B$13</c15:sqref>
                  </c15:fullRef>
                </c:ext>
              </c:extLst>
              <c:f>'기타작업-1'!$B$4:$B$8</c:f>
              <c:strCache>
                <c:ptCount val="5"/>
                <c:pt idx="0">
                  <c:v>노르웨이</c:v>
                </c:pt>
                <c:pt idx="1">
                  <c:v>독일</c:v>
                </c:pt>
                <c:pt idx="2">
                  <c:v>캐나다</c:v>
                </c:pt>
                <c:pt idx="3">
                  <c:v>미국</c:v>
                </c:pt>
                <c:pt idx="4">
                  <c:v>네덜란드</c:v>
                </c:pt>
              </c:strCache>
            </c:strRef>
          </c:cat>
          <c:val>
            <c:numRef>
              <c:extLst>
                <c:ext xmlns:c15="http://schemas.microsoft.com/office/drawing/2012/chart" uri="{02D57815-91ED-43cb-92C2-25804820EDAC}">
                  <c15:fullRef>
                    <c15:sqref>'기타작업-1'!$C$4:$C$13</c15:sqref>
                  </c15:fullRef>
                </c:ext>
              </c:extLst>
              <c:f>'기타작업-1'!$C$4:$C$8</c:f>
              <c:numCache>
                <c:formatCode>General</c:formatCode>
                <c:ptCount val="5"/>
                <c:pt idx="0">
                  <c:v>14</c:v>
                </c:pt>
                <c:pt idx="1">
                  <c:v>14</c:v>
                </c:pt>
                <c:pt idx="2">
                  <c:v>11</c:v>
                </c:pt>
                <c:pt idx="3">
                  <c:v>9</c:v>
                </c:pt>
                <c:pt idx="4">
                  <c:v>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24BC-49B8-B71B-E117045FB82F}"/>
            </c:ext>
          </c:extLst>
        </c:ser>
        <c:ser>
          <c:idx val="1"/>
          <c:order val="1"/>
          <c:tx>
            <c:strRef>
              <c:f>'기타작업-1'!$D$3</c:f>
              <c:strCache>
                <c:ptCount val="1"/>
                <c:pt idx="0">
                  <c:v>은메달</c:v>
                </c:pt>
              </c:strCache>
            </c:strRef>
          </c:tx>
          <c:spPr>
            <a:solidFill>
              <a:schemeClr val="accent2"/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ko-KR"/>
              </a:p>
            </c:txPr>
            <c:dLblPos val="in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extLst>
                <c:ext xmlns:c15="http://schemas.microsoft.com/office/drawing/2012/chart" uri="{02D57815-91ED-43cb-92C2-25804820EDAC}">
                  <c15:fullRef>
                    <c15:sqref>'기타작업-1'!$B$4:$B$13</c15:sqref>
                  </c15:fullRef>
                </c:ext>
              </c:extLst>
              <c:f>'기타작업-1'!$B$4:$B$8</c:f>
              <c:strCache>
                <c:ptCount val="5"/>
                <c:pt idx="0">
                  <c:v>노르웨이</c:v>
                </c:pt>
                <c:pt idx="1">
                  <c:v>독일</c:v>
                </c:pt>
                <c:pt idx="2">
                  <c:v>캐나다</c:v>
                </c:pt>
                <c:pt idx="3">
                  <c:v>미국</c:v>
                </c:pt>
                <c:pt idx="4">
                  <c:v>네덜란드</c:v>
                </c:pt>
              </c:strCache>
            </c:strRef>
          </c:cat>
          <c:val>
            <c:numRef>
              <c:extLst>
                <c:ext xmlns:c15="http://schemas.microsoft.com/office/drawing/2012/chart" uri="{02D57815-91ED-43cb-92C2-25804820EDAC}">
                  <c15:fullRef>
                    <c15:sqref>'기타작업-1'!$D$4:$D$13</c15:sqref>
                  </c15:fullRef>
                </c:ext>
              </c:extLst>
              <c:f>'기타작업-1'!$D$4:$D$8</c:f>
              <c:numCache>
                <c:formatCode>General</c:formatCode>
                <c:ptCount val="5"/>
                <c:pt idx="0">
                  <c:v>14</c:v>
                </c:pt>
                <c:pt idx="1">
                  <c:v>10</c:v>
                </c:pt>
                <c:pt idx="2">
                  <c:v>8</c:v>
                </c:pt>
                <c:pt idx="3">
                  <c:v>8</c:v>
                </c:pt>
                <c:pt idx="4">
                  <c:v>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24BC-49B8-B71B-E117045FB82F}"/>
            </c:ext>
          </c:extLst>
        </c:ser>
        <c:ser>
          <c:idx val="2"/>
          <c:order val="2"/>
          <c:tx>
            <c:strRef>
              <c:f>'기타작업-1'!$E$3</c:f>
              <c:strCache>
                <c:ptCount val="1"/>
                <c:pt idx="0">
                  <c:v>동메달</c:v>
                </c:pt>
              </c:strCache>
            </c:strRef>
          </c:tx>
          <c:spPr>
            <a:solidFill>
              <a:schemeClr val="accent3"/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ko-KR"/>
              </a:p>
            </c:txPr>
            <c:dLblPos val="in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extLst>
                <c:ext xmlns:c15="http://schemas.microsoft.com/office/drawing/2012/chart" uri="{02D57815-91ED-43cb-92C2-25804820EDAC}">
                  <c15:fullRef>
                    <c15:sqref>'기타작업-1'!$B$4:$B$13</c15:sqref>
                  </c15:fullRef>
                </c:ext>
              </c:extLst>
              <c:f>'기타작업-1'!$B$4:$B$8</c:f>
              <c:strCache>
                <c:ptCount val="5"/>
                <c:pt idx="0">
                  <c:v>노르웨이</c:v>
                </c:pt>
                <c:pt idx="1">
                  <c:v>독일</c:v>
                </c:pt>
                <c:pt idx="2">
                  <c:v>캐나다</c:v>
                </c:pt>
                <c:pt idx="3">
                  <c:v>미국</c:v>
                </c:pt>
                <c:pt idx="4">
                  <c:v>네덜란드</c:v>
                </c:pt>
              </c:strCache>
            </c:strRef>
          </c:cat>
          <c:val>
            <c:numRef>
              <c:extLst>
                <c:ext xmlns:c15="http://schemas.microsoft.com/office/drawing/2012/chart" uri="{02D57815-91ED-43cb-92C2-25804820EDAC}">
                  <c15:fullRef>
                    <c15:sqref>'기타작업-1'!$E$4:$E$13</c15:sqref>
                  </c15:fullRef>
                </c:ext>
              </c:extLst>
              <c:f>'기타작업-1'!$E$4:$E$8</c:f>
              <c:numCache>
                <c:formatCode>General</c:formatCode>
                <c:ptCount val="5"/>
                <c:pt idx="0">
                  <c:v>11</c:v>
                </c:pt>
                <c:pt idx="1">
                  <c:v>7</c:v>
                </c:pt>
                <c:pt idx="2">
                  <c:v>10</c:v>
                </c:pt>
                <c:pt idx="3">
                  <c:v>6</c:v>
                </c:pt>
                <c:pt idx="4">
                  <c:v>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24BC-49B8-B71B-E117045FB82F}"/>
            </c:ext>
          </c:extLst>
        </c:ser>
        <c:dLbls>
          <c:dLblPos val="inEnd"/>
          <c:showLegendKey val="0"/>
          <c:showVal val="1"/>
          <c:showCatName val="0"/>
          <c:showSerName val="0"/>
          <c:showPercent val="0"/>
          <c:showBubbleSize val="0"/>
        </c:dLbls>
        <c:gapWidth val="100"/>
        <c:axId val="455582815"/>
        <c:axId val="455594047"/>
      </c:barChart>
      <c:catAx>
        <c:axId val="455582815"/>
        <c:scaling>
          <c:orientation val="minMax"/>
        </c:scaling>
        <c:delete val="0"/>
        <c:axPos val="t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ko-KR"/>
          </a:p>
        </c:txPr>
        <c:crossAx val="455594047"/>
        <c:crosses val="autoZero"/>
        <c:auto val="1"/>
        <c:lblAlgn val="ctr"/>
        <c:lblOffset val="100"/>
        <c:noMultiLvlLbl val="0"/>
      </c:catAx>
      <c:valAx>
        <c:axId val="455594047"/>
        <c:scaling>
          <c:orientation val="maxMin"/>
          <c:max val="4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ko-KR"/>
          </a:p>
        </c:txPr>
        <c:crossAx val="455582815"/>
        <c:crosses val="autoZero"/>
        <c:crossBetween val="between"/>
        <c:majorUnit val="10"/>
      </c:valAx>
      <c:spPr>
        <a:noFill/>
        <a:ln>
          <a:noFill/>
        </a:ln>
        <a:effectLst/>
      </c:spPr>
    </c:plotArea>
    <c:legend>
      <c:legendPos val="t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ko-KR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ko-KR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_rels/vmlDrawing2.v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6</xdr:col>
      <xdr:colOff>0</xdr:colOff>
      <xdr:row>1</xdr:row>
      <xdr:rowOff>0</xdr:rowOff>
    </xdr:from>
    <xdr:to>
      <xdr:col>14</xdr:col>
      <xdr:colOff>4762</xdr:colOff>
      <xdr:row>15</xdr:row>
      <xdr:rowOff>0</xdr:rowOff>
    </xdr:to>
    <xdr:graphicFrame macro="">
      <xdr:nvGraphicFramePr>
        <xdr:cNvPr id="2" name="차트 1">
          <a:extLst>
            <a:ext uri="{FF2B5EF4-FFF2-40B4-BE49-F238E27FC236}">
              <a16:creationId xmlns:a16="http://schemas.microsoft.com/office/drawing/2014/main" id="{00000000-0008-0000-05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0</xdr:colOff>
          <xdr:row>3</xdr:row>
          <xdr:rowOff>0</xdr:rowOff>
        </xdr:from>
        <xdr:to>
          <xdr:col>16</xdr:col>
          <xdr:colOff>0</xdr:colOff>
          <xdr:row>5</xdr:row>
          <xdr:rowOff>0</xdr:rowOff>
        </xdr:to>
        <xdr:sp macro="" textlink="">
          <xdr:nvSpPr>
            <xdr:cNvPr id="8193" name="Button 1" hidden="1">
              <a:extLst>
                <a:ext uri="{63B3BB69-23CF-44E3-9099-C40C66FF867C}">
                  <a14:compatExt spid="_x0000_s8193"/>
                </a:ext>
                <a:ext uri="{FF2B5EF4-FFF2-40B4-BE49-F238E27FC236}">
                  <a16:creationId xmlns:a16="http://schemas.microsoft.com/office/drawing/2014/main" id="{00000000-0008-0000-0600-000001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59436" rIns="45720" bIns="59436" anchor="ctr" upright="1"/>
            <a:lstStyle/>
            <a:p>
              <a:pPr algn="ctr" rtl="0">
                <a:defRPr sz="1000"/>
              </a:pPr>
              <a:r>
                <a:rPr lang="ko-KR" altLang="en-US" sz="1100" b="0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서식적용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0</xdr:colOff>
          <xdr:row>6</xdr:row>
          <xdr:rowOff>0</xdr:rowOff>
        </xdr:from>
        <xdr:to>
          <xdr:col>16</xdr:col>
          <xdr:colOff>0</xdr:colOff>
          <xdr:row>8</xdr:row>
          <xdr:rowOff>0</xdr:rowOff>
        </xdr:to>
        <xdr:sp macro="" textlink="">
          <xdr:nvSpPr>
            <xdr:cNvPr id="8194" name="Button 2" hidden="1">
              <a:extLst>
                <a:ext uri="{63B3BB69-23CF-44E3-9099-C40C66FF867C}">
                  <a14:compatExt spid="_x0000_s8194"/>
                </a:ext>
                <a:ext uri="{FF2B5EF4-FFF2-40B4-BE49-F238E27FC236}">
                  <a16:creationId xmlns:a16="http://schemas.microsoft.com/office/drawing/2014/main" id="{00000000-0008-0000-0600-000002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59436" rIns="45720" bIns="59436" anchor="ctr" upright="1"/>
            <a:lstStyle/>
            <a:p>
              <a:pPr algn="ctr" rtl="0">
                <a:defRPr sz="1000"/>
              </a:pPr>
              <a:r>
                <a:rPr lang="ko-KR" altLang="en-US" sz="1100" b="0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그래프보기</a:t>
              </a:r>
            </a:p>
          </xdr:txBody>
        </xdr:sp>
        <xdr:clientData fPrintsWithSheet="0"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661988</xdr:colOff>
          <xdr:row>0</xdr:row>
          <xdr:rowOff>100013</xdr:rowOff>
        </xdr:from>
        <xdr:to>
          <xdr:col>6</xdr:col>
          <xdr:colOff>642938</xdr:colOff>
          <xdr:row>2</xdr:row>
          <xdr:rowOff>85725</xdr:rowOff>
        </xdr:to>
        <xdr:sp macro="" textlink="">
          <xdr:nvSpPr>
            <xdr:cNvPr id="2050" name="cmd건강검신" hidden="1">
              <a:extLst>
                <a:ext uri="{63B3BB69-23CF-44E3-9099-C40C66FF867C}">
                  <a14:compatExt spid="_x0000_s2050"/>
                </a:ext>
                <a:ext uri="{FF2B5EF4-FFF2-40B4-BE49-F238E27FC236}">
                  <a16:creationId xmlns:a16="http://schemas.microsoft.com/office/drawing/2014/main" id="{00000000-0008-0000-0700-000002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/Users/User/SynologyDrive/01_&#51473;&#50836;&#51088;&#47308;/04_&#52980;&#54876;2&#44553;&#49892;&#44592;/01_&#44592;&#52636;&#47928;&#51228;%20&#49884;&#47532;&#51592;/34_&#52980;&#54876;2&#44553;&#49892;&#44592;_&#49345;&#49884;&#48373;&#50896;&#44592;&#52636;&#47928;&#51228;_2023&#45380;%201&#54924;/&#52980;&#54876;2&#44553;&#49892;&#44592;_&#49345;&#49884;&#48373;&#50896;&#44592;&#52636;&#47928;&#51228;_2023&#45380;%201&#54924;_&#47928;&#51228;.xlsm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sheetNames>
      <sheetName val="기본작업-1"/>
      <sheetName val="기본작업-2"/>
      <sheetName val="기본작업-3"/>
      <sheetName val="계산작업"/>
      <sheetName val="분석작업-1"/>
      <sheetName val="분석작업-2"/>
      <sheetName val="매크로작업"/>
      <sheetName val="차트작업"/>
    </sheetNames>
    <sheetDataSet>
      <sheetData sheetId="0" refreshError="1"/>
      <sheetData sheetId="1"/>
      <sheetData sheetId="2" refreshError="1"/>
      <sheetData sheetId="3" refreshError="1"/>
      <sheetData sheetId="4" refreshError="1"/>
      <sheetData sheetId="5" refreshError="1"/>
      <sheetData sheetId="6" refreshError="1"/>
      <sheetData sheetId="7">
        <row r="3">
          <cell r="C3" t="str">
            <v>금메달</v>
          </cell>
        </row>
      </sheetData>
    </sheetDataSet>
  </externalBook>
</externalLink>
</file>

<file path=xl/pivotCache/_rels/pivotCacheDefinition1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1.xml"/></Relationships>
</file>

<file path=xl/pivotCache/pivotCacheDefinition1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edBy="Jieun Park" refreshedDate="45130.925627893521" backgroundQuery="1" createdVersion="8" refreshedVersion="8" minRefreshableVersion="3" recordCount="37" xr:uid="{EB109434-7F15-4A15-97E7-171FC07446BE}">
  <cacheSource type="external" connectionId="4"/>
  <cacheFields count="8">
    <cacheField name="담당쌤" numFmtId="0" sqlType="-9">
      <sharedItems count="5">
        <s v="곽경미"/>
        <s v="박준홍"/>
        <s v="김선주"/>
        <s v="신은희"/>
        <s v="우명관"/>
      </sharedItems>
    </cacheField>
    <cacheField name="과정명" numFmtId="0" sqlType="-9">
      <sharedItems count="5">
        <s v="엑셀을 활용한 사무자동화"/>
        <s v="PPT 강의자료 개발"/>
        <s v="한글을 활용한 사무행정"/>
        <s v="4차산업혁명과 미래"/>
        <s v="동영상 강의자료 제작"/>
      </sharedItems>
    </cacheField>
    <cacheField name="가격" numFmtId="0" sqlType="2">
      <sharedItems containsSemiMixedTypes="0" containsString="0" containsNumber="1" containsInteger="1" minValue="50000" maxValue="95000" count="4">
        <n v="80000"/>
        <n v="95000"/>
        <n v="69000"/>
        <n v="50000"/>
      </sharedItems>
    </cacheField>
    <cacheField name="교육장소" numFmtId="0" sqlType="-9">
      <sharedItems count="4">
        <s v="서울"/>
        <s v="부산"/>
        <s v="광주"/>
        <s v="대구"/>
      </sharedItems>
      <fieldGroup par="7"/>
    </cacheField>
    <cacheField name="접수인원" numFmtId="0" sqlType="5">
      <sharedItems containsSemiMixedTypes="0" containsString="0" containsNumber="1" containsInteger="1" minValue="4" maxValue="40" count="20">
        <n v="12"/>
        <n v="4"/>
        <n v="17"/>
        <n v="5"/>
        <n v="25"/>
        <n v="20"/>
        <n v="10"/>
        <n v="6"/>
        <n v="21"/>
        <n v="30"/>
        <n v="19"/>
        <n v="7"/>
        <n v="22"/>
        <n v="40"/>
        <n v="35"/>
        <n v="23"/>
        <n v="13"/>
        <n v="11"/>
        <n v="15"/>
        <n v="9"/>
      </sharedItems>
    </cacheField>
    <cacheField name="모집정원" numFmtId="0" sqlType="5">
      <sharedItems containsSemiMixedTypes="0" containsString="0" containsNumber="1" containsInteger="1" minValue="8" maxValue="15" count="7">
        <n v="8"/>
        <n v="10"/>
        <n v="15"/>
        <n v="12"/>
        <n v="14"/>
        <n v="13"/>
        <n v="11"/>
      </sharedItems>
    </cacheField>
    <cacheField name="매출액" numFmtId="0" formula="가격*접수인원" databaseField="0"/>
    <cacheField name="교육장소2" numFmtId="0" databaseField="0">
      <fieldGroup base="3">
        <discretePr count="4">
          <x v="0"/>
          <x v="1"/>
          <x v="0"/>
          <x v="1"/>
        </discretePr>
        <groupItems count="2">
          <s v="그룹1"/>
          <s v="그룹2"/>
        </groupItems>
      </fieldGroup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Records1.xml><?xml version="1.0" encoding="utf-8"?>
<pivotCacheRecords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count="37">
  <r>
    <x v="0"/>
    <x v="0"/>
    <x v="0"/>
    <x v="0"/>
    <x v="0"/>
    <x v="0"/>
  </r>
  <r>
    <x v="1"/>
    <x v="1"/>
    <x v="1"/>
    <x v="0"/>
    <x v="1"/>
    <x v="1"/>
  </r>
  <r>
    <x v="1"/>
    <x v="1"/>
    <x v="1"/>
    <x v="1"/>
    <x v="2"/>
    <x v="2"/>
  </r>
  <r>
    <x v="2"/>
    <x v="2"/>
    <x v="2"/>
    <x v="2"/>
    <x v="3"/>
    <x v="3"/>
  </r>
  <r>
    <x v="3"/>
    <x v="3"/>
    <x v="3"/>
    <x v="0"/>
    <x v="0"/>
    <x v="1"/>
  </r>
  <r>
    <x v="3"/>
    <x v="3"/>
    <x v="3"/>
    <x v="0"/>
    <x v="4"/>
    <x v="2"/>
  </r>
  <r>
    <x v="0"/>
    <x v="0"/>
    <x v="0"/>
    <x v="3"/>
    <x v="5"/>
    <x v="3"/>
  </r>
  <r>
    <x v="4"/>
    <x v="4"/>
    <x v="0"/>
    <x v="3"/>
    <x v="6"/>
    <x v="4"/>
  </r>
  <r>
    <x v="3"/>
    <x v="3"/>
    <x v="3"/>
    <x v="1"/>
    <x v="7"/>
    <x v="2"/>
  </r>
  <r>
    <x v="2"/>
    <x v="2"/>
    <x v="2"/>
    <x v="2"/>
    <x v="3"/>
    <x v="3"/>
  </r>
  <r>
    <x v="4"/>
    <x v="4"/>
    <x v="0"/>
    <x v="3"/>
    <x v="0"/>
    <x v="4"/>
  </r>
  <r>
    <x v="0"/>
    <x v="0"/>
    <x v="0"/>
    <x v="0"/>
    <x v="8"/>
    <x v="3"/>
  </r>
  <r>
    <x v="1"/>
    <x v="1"/>
    <x v="1"/>
    <x v="1"/>
    <x v="5"/>
    <x v="2"/>
  </r>
  <r>
    <x v="2"/>
    <x v="2"/>
    <x v="2"/>
    <x v="2"/>
    <x v="9"/>
    <x v="2"/>
  </r>
  <r>
    <x v="4"/>
    <x v="4"/>
    <x v="0"/>
    <x v="1"/>
    <x v="6"/>
    <x v="3"/>
  </r>
  <r>
    <x v="3"/>
    <x v="3"/>
    <x v="3"/>
    <x v="2"/>
    <x v="2"/>
    <x v="2"/>
  </r>
  <r>
    <x v="1"/>
    <x v="1"/>
    <x v="1"/>
    <x v="3"/>
    <x v="1"/>
    <x v="3"/>
  </r>
  <r>
    <x v="0"/>
    <x v="0"/>
    <x v="0"/>
    <x v="0"/>
    <x v="8"/>
    <x v="4"/>
  </r>
  <r>
    <x v="1"/>
    <x v="1"/>
    <x v="1"/>
    <x v="0"/>
    <x v="10"/>
    <x v="4"/>
  </r>
  <r>
    <x v="1"/>
    <x v="1"/>
    <x v="1"/>
    <x v="1"/>
    <x v="5"/>
    <x v="3"/>
  </r>
  <r>
    <x v="1"/>
    <x v="1"/>
    <x v="1"/>
    <x v="0"/>
    <x v="3"/>
    <x v="5"/>
  </r>
  <r>
    <x v="4"/>
    <x v="4"/>
    <x v="0"/>
    <x v="3"/>
    <x v="11"/>
    <x v="2"/>
  </r>
  <r>
    <x v="4"/>
    <x v="4"/>
    <x v="0"/>
    <x v="3"/>
    <x v="12"/>
    <x v="3"/>
  </r>
  <r>
    <x v="0"/>
    <x v="0"/>
    <x v="0"/>
    <x v="0"/>
    <x v="13"/>
    <x v="6"/>
  </r>
  <r>
    <x v="3"/>
    <x v="3"/>
    <x v="3"/>
    <x v="3"/>
    <x v="14"/>
    <x v="2"/>
  </r>
  <r>
    <x v="1"/>
    <x v="1"/>
    <x v="1"/>
    <x v="1"/>
    <x v="15"/>
    <x v="5"/>
  </r>
  <r>
    <x v="4"/>
    <x v="4"/>
    <x v="0"/>
    <x v="0"/>
    <x v="0"/>
    <x v="1"/>
  </r>
  <r>
    <x v="4"/>
    <x v="4"/>
    <x v="0"/>
    <x v="3"/>
    <x v="16"/>
    <x v="6"/>
  </r>
  <r>
    <x v="3"/>
    <x v="3"/>
    <x v="3"/>
    <x v="3"/>
    <x v="5"/>
    <x v="4"/>
  </r>
  <r>
    <x v="2"/>
    <x v="2"/>
    <x v="2"/>
    <x v="2"/>
    <x v="8"/>
    <x v="6"/>
  </r>
  <r>
    <x v="3"/>
    <x v="3"/>
    <x v="3"/>
    <x v="0"/>
    <x v="3"/>
    <x v="2"/>
  </r>
  <r>
    <x v="3"/>
    <x v="3"/>
    <x v="3"/>
    <x v="0"/>
    <x v="5"/>
    <x v="1"/>
  </r>
  <r>
    <x v="0"/>
    <x v="0"/>
    <x v="0"/>
    <x v="0"/>
    <x v="17"/>
    <x v="6"/>
  </r>
  <r>
    <x v="2"/>
    <x v="2"/>
    <x v="2"/>
    <x v="2"/>
    <x v="18"/>
    <x v="5"/>
  </r>
  <r>
    <x v="1"/>
    <x v="1"/>
    <x v="1"/>
    <x v="3"/>
    <x v="18"/>
    <x v="2"/>
  </r>
  <r>
    <x v="0"/>
    <x v="0"/>
    <x v="0"/>
    <x v="0"/>
    <x v="19"/>
    <x v="1"/>
  </r>
  <r>
    <x v="4"/>
    <x v="4"/>
    <x v="0"/>
    <x v="1"/>
    <x v="16"/>
    <x v="1"/>
  </r>
</pivotCacheRecords>
</file>

<file path=xl/pivotTables/_rels/pivotTable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pivotTable1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7BC2A274-16A9-4509-9D1C-DC2AD863E1D2}" name="피벗 테이블2" cacheId="0" dataOnRows="1" applyNumberFormats="0" applyBorderFormats="0" applyFontFormats="0" applyPatternFormats="0" applyAlignmentFormats="0" applyWidthHeightFormats="1" dataCaption="값" missingCaption="*" updatedVersion="8" minRefreshableVersion="3" useAutoFormatting="1" rowGrandTotals="0" colGrandTotals="0" itemPrintTitles="1" mergeItem="1" createdVersion="8" indent="0" compact="0" compactData="0" multipleFieldFilters="0" fieldListSortAscending="1">
  <location ref="B4:G21" firstHeaderRow="1" firstDataRow="3" firstDataCol="2"/>
  <pivotFields count="8">
    <pivotField axis="axisRow" compact="0" outline="0" showAll="0">
      <items count="6">
        <item x="0"/>
        <item x="2"/>
        <item x="1"/>
        <item x="3"/>
        <item x="4"/>
        <item t="default"/>
      </items>
    </pivotField>
    <pivotField compact="0" outline="0" showAll="0"/>
    <pivotField dataField="1" compact="0" outline="0" showAll="0"/>
    <pivotField axis="axisCol" compact="0" outline="0" showAll="0">
      <items count="5">
        <item x="1"/>
        <item x="0"/>
        <item x="2"/>
        <item x="3"/>
        <item t="default"/>
      </items>
    </pivotField>
    <pivotField compact="0" outline="0" showAll="0"/>
    <pivotField dataField="1" compact="0" outline="0" showAll="0"/>
    <pivotField dataField="1" compact="0" outline="0" dragToRow="0" dragToCol="0" dragToPage="0" showAll="0" defaultSubtotal="0"/>
    <pivotField name="개강" axis="axisCol" compact="0" outline="0" showAll="0" sortType="ascending" defaultSubtotal="0">
      <items count="2">
        <item n="1차개강" x="0"/>
        <item n="2차개강" x="1"/>
      </items>
    </pivotField>
  </pivotFields>
  <rowFields count="2">
    <field x="0"/>
    <field x="-2"/>
  </rowFields>
  <rowItems count="15">
    <i>
      <x/>
      <x/>
    </i>
    <i r="1" i="1">
      <x v="1"/>
    </i>
    <i r="1" i="2">
      <x v="2"/>
    </i>
    <i>
      <x v="1"/>
      <x/>
    </i>
    <i r="1" i="1">
      <x v="1"/>
    </i>
    <i r="1" i="2">
      <x v="2"/>
    </i>
    <i>
      <x v="2"/>
      <x/>
    </i>
    <i r="1" i="1">
      <x v="1"/>
    </i>
    <i r="1" i="2">
      <x v="2"/>
    </i>
    <i>
      <x v="3"/>
      <x/>
    </i>
    <i r="1" i="1">
      <x v="1"/>
    </i>
    <i r="1" i="2">
      <x v="2"/>
    </i>
    <i>
      <x v="4"/>
      <x/>
    </i>
    <i r="1" i="1">
      <x v="1"/>
    </i>
    <i r="1" i="2">
      <x v="2"/>
    </i>
  </rowItems>
  <colFields count="2">
    <field x="7"/>
    <field x="3"/>
  </colFields>
  <colItems count="4">
    <i>
      <x/>
      <x v="1"/>
    </i>
    <i r="1">
      <x v="2"/>
    </i>
    <i>
      <x v="1"/>
      <x/>
    </i>
    <i r="1">
      <x v="3"/>
    </i>
  </colItems>
  <dataFields count="3">
    <dataField name="합계 : 모집정원" fld="5" baseField="0" baseItem="0" numFmtId="41"/>
    <dataField name="합계 : 가격" fld="2" baseField="0" baseItem="0" numFmtId="41"/>
    <dataField name="합계 : 매출액" fld="6" baseField="0" baseItem="0" numFmtId="41"/>
  </dataFields>
  <pivotTableStyleInfo name="PivotStyleMedium6" showRowHeaders="1" showColHeaders="1" showRowStripes="1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76F24E08-F18A-4975-A64C-5357D1CDF361}" name="표1" displayName="표1" ref="A1:F7" totalsRowShown="0">
  <autoFilter ref="A1:F7" xr:uid="{76F24E08-F18A-4975-A64C-5357D1CDF361}"/>
  <tableColumns count="6">
    <tableColumn id="1" xr3:uid="{6A19766A-EBFF-4BC7-943C-EEB2F2D8A0B5}" name="담당쌤"/>
    <tableColumn id="2" xr3:uid="{1F27F043-0CFC-40CB-B524-3FDA83B9FD92}" name="과정명"/>
    <tableColumn id="3" xr3:uid="{BBA070B5-9DAB-47BA-98B0-808917DD3BF7}" name="가격"/>
    <tableColumn id="4" xr3:uid="{1430B0DA-0B75-4DBE-8298-8B7DAD39267B}" name="교육장소"/>
    <tableColumn id="5" xr3:uid="{97C63924-F831-41BA-8531-3C4C00D2CF7C}" name="접수인원"/>
    <tableColumn id="6" xr3:uid="{C2D075D7-B420-47D2-8D68-1A9E6CDFB25F}" name="모집정원"/>
  </tableColumns>
  <tableStyleInfo name="TableStyleMedium2" showFirstColumn="0" showLastColumn="0" showRowStripes="1" showColumnStripes="0"/>
</table>
</file>

<file path=xl/theme/theme1.xml><?xml version="1.0" encoding="utf-8"?>
<a:theme xmlns:a="http://schemas.openxmlformats.org/drawingml/2006/main" name="Office 테마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.xml"/></Relationships>
</file>

<file path=xl/worksheets/_rels/sheet5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4.bin"/><Relationship Id="rId1" Type="http://schemas.openxmlformats.org/officeDocument/2006/relationships/pivotTable" Target="../pivotTables/pivotTable1.xml"/></Relationships>
</file>

<file path=xl/worksheets/_rels/sheet7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5.bin"/></Relationships>
</file>

<file path=xl/worksheets/_rels/sheet8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6.bin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/Relationships>
</file>

<file path=xl/worksheets/_rels/sheet9.xml.rels><?xml version="1.0" encoding="UTF-8" standalone="yes"?>
<Relationships xmlns="http://schemas.openxmlformats.org/package/2006/relationships"><Relationship Id="rId3" Type="http://schemas.openxmlformats.org/officeDocument/2006/relationships/control" Target="../activeX/activeX1.xml"/><Relationship Id="rId2" Type="http://schemas.openxmlformats.org/officeDocument/2006/relationships/vmlDrawing" Target="../drawings/vmlDrawing2.vml"/><Relationship Id="rId1" Type="http://schemas.openxmlformats.org/officeDocument/2006/relationships/drawing" Target="../drawings/drawing3.xml"/><Relationship Id="rId4" Type="http://schemas.openxmlformats.org/officeDocument/2006/relationships/image" Target="../media/image1.emf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5"/>
  <dimension ref="A1:I29"/>
  <sheetViews>
    <sheetView zoomScaleNormal="100" workbookViewId="0">
      <selection activeCell="J1" sqref="J1"/>
    </sheetView>
  </sheetViews>
  <sheetFormatPr defaultRowHeight="16.899999999999999" x14ac:dyDescent="0.6"/>
  <cols>
    <col min="1" max="1" width="10" bestFit="1" customWidth="1"/>
    <col min="2" max="2" width="11.0625" bestFit="1" customWidth="1"/>
    <col min="4" max="4" width="13.9375" bestFit="1" customWidth="1"/>
    <col min="5" max="8" width="6.125" customWidth="1"/>
    <col min="9" max="9" width="7.0625" customWidth="1"/>
  </cols>
  <sheetData>
    <row r="1" spans="1:9" x14ac:dyDescent="0.6">
      <c r="A1" t="s">
        <v>5</v>
      </c>
    </row>
    <row r="2" spans="1:9" x14ac:dyDescent="0.6">
      <c r="A2" s="25" t="s">
        <v>58</v>
      </c>
      <c r="B2" s="25" t="s">
        <v>120</v>
      </c>
      <c r="C2" s="25" t="s">
        <v>1</v>
      </c>
      <c r="D2" s="25" t="s">
        <v>59</v>
      </c>
      <c r="E2" s="25" t="s">
        <v>116</v>
      </c>
      <c r="F2" s="25" t="s">
        <v>117</v>
      </c>
      <c r="G2" s="25" t="s">
        <v>118</v>
      </c>
      <c r="H2" s="25" t="s">
        <v>119</v>
      </c>
      <c r="I2" s="25" t="s">
        <v>115</v>
      </c>
    </row>
    <row r="3" spans="1:9" x14ac:dyDescent="0.6">
      <c r="A3" s="1">
        <v>202034155</v>
      </c>
      <c r="B3" s="24">
        <v>43892</v>
      </c>
      <c r="C3" s="1" t="s">
        <v>60</v>
      </c>
      <c r="D3" s="1" t="s">
        <v>61</v>
      </c>
      <c r="E3" s="2" t="s">
        <v>0</v>
      </c>
      <c r="F3" s="2" t="s">
        <v>0</v>
      </c>
      <c r="G3" s="2" t="s">
        <v>0</v>
      </c>
      <c r="H3" s="2" t="s">
        <v>0</v>
      </c>
      <c r="I3" s="2">
        <v>80</v>
      </c>
    </row>
    <row r="4" spans="1:9" x14ac:dyDescent="0.6">
      <c r="A4" s="1" t="s">
        <v>62</v>
      </c>
      <c r="B4" s="24">
        <v>43526</v>
      </c>
      <c r="C4" s="1" t="s">
        <v>63</v>
      </c>
      <c r="D4" s="1" t="s">
        <v>61</v>
      </c>
      <c r="E4" s="2" t="s">
        <v>0</v>
      </c>
      <c r="F4" s="2" t="s">
        <v>0</v>
      </c>
      <c r="G4" s="2"/>
      <c r="H4" s="2" t="s">
        <v>0</v>
      </c>
      <c r="I4" s="2">
        <v>87</v>
      </c>
    </row>
    <row r="5" spans="1:9" x14ac:dyDescent="0.6">
      <c r="A5" s="1" t="s">
        <v>64</v>
      </c>
      <c r="B5" s="24">
        <v>43892</v>
      </c>
      <c r="C5" s="1" t="s">
        <v>65</v>
      </c>
      <c r="D5" s="1" t="s">
        <v>61</v>
      </c>
      <c r="E5" s="2"/>
      <c r="F5" s="2" t="s">
        <v>0</v>
      </c>
      <c r="G5" s="2" t="s">
        <v>0</v>
      </c>
      <c r="H5" s="2" t="s">
        <v>0</v>
      </c>
      <c r="I5" s="2">
        <v>83</v>
      </c>
    </row>
    <row r="6" spans="1:9" x14ac:dyDescent="0.6">
      <c r="A6" s="1" t="s">
        <v>66</v>
      </c>
      <c r="B6" s="24">
        <v>44257</v>
      </c>
      <c r="C6" s="1" t="s">
        <v>67</v>
      </c>
      <c r="D6" s="1" t="s">
        <v>68</v>
      </c>
      <c r="E6" s="2" t="s">
        <v>0</v>
      </c>
      <c r="F6" s="2" t="s">
        <v>0</v>
      </c>
      <c r="G6" s="2" t="s">
        <v>0</v>
      </c>
      <c r="H6" s="2" t="s">
        <v>0</v>
      </c>
      <c r="I6" s="2">
        <v>66</v>
      </c>
    </row>
    <row r="7" spans="1:9" x14ac:dyDescent="0.6">
      <c r="A7" s="1" t="s">
        <v>69</v>
      </c>
      <c r="B7" s="24">
        <v>44257</v>
      </c>
      <c r="C7" s="1" t="s">
        <v>70</v>
      </c>
      <c r="D7" s="1" t="s">
        <v>71</v>
      </c>
      <c r="E7" s="2"/>
      <c r="F7" s="2" t="s">
        <v>0</v>
      </c>
      <c r="G7" s="2" t="s">
        <v>0</v>
      </c>
      <c r="H7" s="2" t="s">
        <v>0</v>
      </c>
      <c r="I7" s="2">
        <v>58</v>
      </c>
    </row>
    <row r="8" spans="1:9" x14ac:dyDescent="0.6">
      <c r="A8" s="1" t="s">
        <v>72</v>
      </c>
      <c r="B8" s="24">
        <v>43526</v>
      </c>
      <c r="C8" s="1" t="s">
        <v>73</v>
      </c>
      <c r="D8" s="1" t="s">
        <v>71</v>
      </c>
      <c r="E8" s="2" t="s">
        <v>0</v>
      </c>
      <c r="F8" s="2" t="s">
        <v>0</v>
      </c>
      <c r="G8" s="2" t="s">
        <v>0</v>
      </c>
      <c r="H8" s="2" t="s">
        <v>0</v>
      </c>
      <c r="I8" s="2">
        <v>83</v>
      </c>
    </row>
    <row r="9" spans="1:9" x14ac:dyDescent="0.6">
      <c r="A9" s="1" t="s">
        <v>74</v>
      </c>
      <c r="B9" s="24">
        <v>43526</v>
      </c>
      <c r="C9" s="1" t="s">
        <v>75</v>
      </c>
      <c r="D9" s="1" t="s">
        <v>71</v>
      </c>
      <c r="E9" s="2"/>
      <c r="F9" s="2" t="s">
        <v>0</v>
      </c>
      <c r="G9" s="2" t="s">
        <v>0</v>
      </c>
      <c r="H9" s="2" t="s">
        <v>0</v>
      </c>
      <c r="I9" s="2">
        <v>81</v>
      </c>
    </row>
    <row r="10" spans="1:9" x14ac:dyDescent="0.6">
      <c r="A10" s="1" t="s">
        <v>76</v>
      </c>
      <c r="B10" s="24">
        <v>44257</v>
      </c>
      <c r="C10" s="1" t="s">
        <v>77</v>
      </c>
      <c r="D10" s="1" t="s">
        <v>68</v>
      </c>
      <c r="E10" s="2" t="s">
        <v>0</v>
      </c>
      <c r="F10" s="2" t="s">
        <v>0</v>
      </c>
      <c r="G10" s="2" t="s">
        <v>0</v>
      </c>
      <c r="H10" s="2" t="s">
        <v>0</v>
      </c>
      <c r="I10" s="2">
        <v>81</v>
      </c>
    </row>
    <row r="11" spans="1:9" x14ac:dyDescent="0.6">
      <c r="A11" s="1" t="s">
        <v>78</v>
      </c>
      <c r="B11" s="24">
        <v>43526</v>
      </c>
      <c r="C11" s="1" t="s">
        <v>79</v>
      </c>
      <c r="D11" s="1" t="s">
        <v>61</v>
      </c>
      <c r="E11" s="2" t="s">
        <v>0</v>
      </c>
      <c r="F11" s="2"/>
      <c r="G11" s="2" t="s">
        <v>0</v>
      </c>
      <c r="H11" s="2" t="s">
        <v>0</v>
      </c>
      <c r="I11" s="2">
        <v>97</v>
      </c>
    </row>
    <row r="12" spans="1:9" x14ac:dyDescent="0.6">
      <c r="A12" s="1" t="s">
        <v>80</v>
      </c>
      <c r="B12" s="24">
        <v>43526</v>
      </c>
      <c r="C12" s="1" t="s">
        <v>81</v>
      </c>
      <c r="D12" s="1" t="s">
        <v>68</v>
      </c>
      <c r="E12" s="2" t="s">
        <v>0</v>
      </c>
      <c r="F12" s="2" t="s">
        <v>0</v>
      </c>
      <c r="G12" s="2" t="s">
        <v>0</v>
      </c>
      <c r="H12" s="2"/>
      <c r="I12" s="2">
        <v>68</v>
      </c>
    </row>
    <row r="13" spans="1:9" x14ac:dyDescent="0.6">
      <c r="A13" s="1" t="s">
        <v>82</v>
      </c>
      <c r="B13" s="24">
        <v>43892</v>
      </c>
      <c r="C13" s="1" t="s">
        <v>83</v>
      </c>
      <c r="D13" s="1" t="s">
        <v>71</v>
      </c>
      <c r="E13" s="2" t="s">
        <v>0</v>
      </c>
      <c r="F13" s="2" t="s">
        <v>0</v>
      </c>
      <c r="G13" s="2" t="s">
        <v>0</v>
      </c>
      <c r="H13" s="2" t="s">
        <v>0</v>
      </c>
      <c r="I13" s="2">
        <v>53</v>
      </c>
    </row>
    <row r="14" spans="1:9" x14ac:dyDescent="0.6">
      <c r="A14" s="1" t="s">
        <v>84</v>
      </c>
      <c r="B14" s="24">
        <v>43526</v>
      </c>
      <c r="C14" s="1" t="s">
        <v>85</v>
      </c>
      <c r="D14" s="1" t="s">
        <v>61</v>
      </c>
      <c r="E14" s="2" t="s">
        <v>0</v>
      </c>
      <c r="F14" s="2" t="s">
        <v>0</v>
      </c>
      <c r="G14" s="2" t="s">
        <v>0</v>
      </c>
      <c r="H14" s="2" t="s">
        <v>0</v>
      </c>
      <c r="I14" s="2">
        <v>80</v>
      </c>
    </row>
    <row r="15" spans="1:9" x14ac:dyDescent="0.6">
      <c r="A15" s="1">
        <v>201934431</v>
      </c>
      <c r="B15" s="24">
        <v>43526</v>
      </c>
      <c r="C15" s="1" t="s">
        <v>86</v>
      </c>
      <c r="D15" s="1" t="s">
        <v>68</v>
      </c>
      <c r="E15" s="2" t="s">
        <v>0</v>
      </c>
      <c r="F15" s="2" t="s">
        <v>0</v>
      </c>
      <c r="G15" s="2"/>
      <c r="H15" s="2" t="s">
        <v>0</v>
      </c>
      <c r="I15" s="2">
        <v>91</v>
      </c>
    </row>
    <row r="16" spans="1:9" x14ac:dyDescent="0.6">
      <c r="A16" s="1" t="s">
        <v>87</v>
      </c>
      <c r="B16" s="24">
        <v>44257</v>
      </c>
      <c r="C16" s="1" t="s">
        <v>88</v>
      </c>
      <c r="D16" s="1" t="s">
        <v>71</v>
      </c>
      <c r="E16" s="2" t="s">
        <v>0</v>
      </c>
      <c r="F16" s="2" t="s">
        <v>0</v>
      </c>
      <c r="G16" s="2" t="s">
        <v>0</v>
      </c>
      <c r="H16" s="2" t="s">
        <v>0</v>
      </c>
      <c r="I16" s="2">
        <v>59</v>
      </c>
    </row>
    <row r="17" spans="1:9" x14ac:dyDescent="0.6">
      <c r="A17" s="1" t="s">
        <v>89</v>
      </c>
      <c r="B17" s="24">
        <v>44257</v>
      </c>
      <c r="C17" s="1" t="s">
        <v>90</v>
      </c>
      <c r="D17" s="1" t="s">
        <v>68</v>
      </c>
      <c r="E17" s="2" t="s">
        <v>0</v>
      </c>
      <c r="F17" s="2"/>
      <c r="G17" s="2" t="s">
        <v>0</v>
      </c>
      <c r="H17" s="2" t="s">
        <v>0</v>
      </c>
      <c r="I17" s="2">
        <v>96</v>
      </c>
    </row>
    <row r="18" spans="1:9" x14ac:dyDescent="0.6">
      <c r="A18" s="1" t="s">
        <v>91</v>
      </c>
      <c r="B18" s="24">
        <v>43892</v>
      </c>
      <c r="C18" s="1" t="s">
        <v>92</v>
      </c>
      <c r="D18" s="1" t="s">
        <v>61</v>
      </c>
      <c r="E18" s="2" t="s">
        <v>0</v>
      </c>
      <c r="F18" s="2" t="s">
        <v>0</v>
      </c>
      <c r="G18" s="2" t="s">
        <v>0</v>
      </c>
      <c r="H18" s="2" t="s">
        <v>0</v>
      </c>
      <c r="I18" s="2">
        <v>93</v>
      </c>
    </row>
    <row r="19" spans="1:9" x14ac:dyDescent="0.6">
      <c r="A19" s="1" t="s">
        <v>93</v>
      </c>
      <c r="B19" s="24">
        <v>43526</v>
      </c>
      <c r="C19" s="1" t="s">
        <v>94</v>
      </c>
      <c r="D19" s="1" t="s">
        <v>61</v>
      </c>
      <c r="E19" s="2" t="s">
        <v>0</v>
      </c>
      <c r="F19" s="2" t="s">
        <v>0</v>
      </c>
      <c r="G19" s="2"/>
      <c r="H19" s="2" t="s">
        <v>0</v>
      </c>
      <c r="I19" s="2">
        <v>56</v>
      </c>
    </row>
    <row r="20" spans="1:9" x14ac:dyDescent="0.6">
      <c r="A20" s="1" t="s">
        <v>95</v>
      </c>
      <c r="B20" s="24">
        <v>44257</v>
      </c>
      <c r="C20" s="1" t="s">
        <v>96</v>
      </c>
      <c r="D20" s="1" t="s">
        <v>68</v>
      </c>
      <c r="E20" s="2" t="s">
        <v>0</v>
      </c>
      <c r="F20" s="2" t="s">
        <v>0</v>
      </c>
      <c r="G20" s="2" t="s">
        <v>0</v>
      </c>
      <c r="H20" s="2" t="s">
        <v>0</v>
      </c>
      <c r="I20" s="2">
        <v>67</v>
      </c>
    </row>
    <row r="21" spans="1:9" x14ac:dyDescent="0.6">
      <c r="A21" s="1" t="s">
        <v>97</v>
      </c>
      <c r="B21" s="24">
        <v>43892</v>
      </c>
      <c r="C21" s="1" t="s">
        <v>98</v>
      </c>
      <c r="D21" s="1" t="s">
        <v>99</v>
      </c>
      <c r="E21" s="2" t="s">
        <v>0</v>
      </c>
      <c r="F21" s="2"/>
      <c r="G21" s="2" t="s">
        <v>0</v>
      </c>
      <c r="H21" s="2" t="s">
        <v>0</v>
      </c>
      <c r="I21" s="2">
        <v>97</v>
      </c>
    </row>
    <row r="22" spans="1:9" x14ac:dyDescent="0.6">
      <c r="A22" s="1" t="s">
        <v>100</v>
      </c>
      <c r="B22" s="24">
        <v>44257</v>
      </c>
      <c r="C22" s="1" t="s">
        <v>101</v>
      </c>
      <c r="D22" s="1" t="s">
        <v>61</v>
      </c>
      <c r="E22" s="2" t="s">
        <v>0</v>
      </c>
      <c r="F22" s="2" t="s">
        <v>0</v>
      </c>
      <c r="G22" s="2"/>
      <c r="H22" s="2" t="s">
        <v>0</v>
      </c>
      <c r="I22" s="2">
        <v>75</v>
      </c>
    </row>
    <row r="23" spans="1:9" x14ac:dyDescent="0.6">
      <c r="A23" s="1" t="s">
        <v>102</v>
      </c>
      <c r="B23" s="24">
        <v>44257</v>
      </c>
      <c r="C23" s="1" t="s">
        <v>103</v>
      </c>
      <c r="D23" s="1" t="s">
        <v>99</v>
      </c>
      <c r="E23" s="2"/>
      <c r="F23" s="2" t="s">
        <v>0</v>
      </c>
      <c r="G23" s="2" t="s">
        <v>0</v>
      </c>
      <c r="H23" s="2"/>
      <c r="I23" s="2">
        <v>68</v>
      </c>
    </row>
    <row r="24" spans="1:9" x14ac:dyDescent="0.6">
      <c r="A24" s="1" t="s">
        <v>104</v>
      </c>
      <c r="B24" s="24">
        <v>43526</v>
      </c>
      <c r="C24" s="1" t="s">
        <v>105</v>
      </c>
      <c r="D24" s="1" t="s">
        <v>99</v>
      </c>
      <c r="E24" s="2" t="s">
        <v>0</v>
      </c>
      <c r="F24" s="2" t="s">
        <v>0</v>
      </c>
      <c r="G24" s="2" t="s">
        <v>0</v>
      </c>
      <c r="H24" s="2" t="s">
        <v>0</v>
      </c>
      <c r="I24" s="2">
        <v>73</v>
      </c>
    </row>
    <row r="25" spans="1:9" x14ac:dyDescent="0.6">
      <c r="A25" s="1" t="s">
        <v>106</v>
      </c>
      <c r="B25" s="24">
        <v>43526</v>
      </c>
      <c r="C25" s="1" t="s">
        <v>107</v>
      </c>
      <c r="D25" s="1" t="s">
        <v>99</v>
      </c>
      <c r="E25" s="2" t="s">
        <v>0</v>
      </c>
      <c r="F25" s="2" t="s">
        <v>0</v>
      </c>
      <c r="G25" s="2" t="s">
        <v>0</v>
      </c>
      <c r="H25" s="2" t="s">
        <v>0</v>
      </c>
      <c r="I25" s="2">
        <v>80</v>
      </c>
    </row>
    <row r="26" spans="1:9" x14ac:dyDescent="0.6">
      <c r="A26" s="1">
        <v>201934160</v>
      </c>
      <c r="B26" s="24">
        <v>43526</v>
      </c>
      <c r="C26" s="1" t="s">
        <v>108</v>
      </c>
      <c r="D26" s="1" t="s">
        <v>99</v>
      </c>
      <c r="E26" s="2" t="s">
        <v>0</v>
      </c>
      <c r="F26" s="2" t="s">
        <v>0</v>
      </c>
      <c r="G26" s="2" t="s">
        <v>0</v>
      </c>
      <c r="H26" s="2" t="s">
        <v>0</v>
      </c>
      <c r="I26" s="2">
        <v>91</v>
      </c>
    </row>
    <row r="27" spans="1:9" x14ac:dyDescent="0.6">
      <c r="A27" s="1" t="s">
        <v>109</v>
      </c>
      <c r="B27" s="24">
        <v>43526</v>
      </c>
      <c r="C27" s="1" t="s">
        <v>110</v>
      </c>
      <c r="D27" s="1" t="s">
        <v>68</v>
      </c>
      <c r="E27" s="2" t="s">
        <v>0</v>
      </c>
      <c r="F27" s="2" t="s">
        <v>0</v>
      </c>
      <c r="G27" s="2" t="s">
        <v>0</v>
      </c>
      <c r="H27" s="2" t="s">
        <v>0</v>
      </c>
      <c r="I27" s="2">
        <v>95</v>
      </c>
    </row>
    <row r="28" spans="1:9" x14ac:dyDescent="0.6">
      <c r="A28" s="1" t="s">
        <v>111</v>
      </c>
      <c r="B28" s="24">
        <v>43892</v>
      </c>
      <c r="C28" s="1" t="s">
        <v>112</v>
      </c>
      <c r="D28" s="1" t="s">
        <v>68</v>
      </c>
      <c r="E28" s="2"/>
      <c r="F28" s="2" t="s">
        <v>0</v>
      </c>
      <c r="G28" s="2" t="s">
        <v>0</v>
      </c>
      <c r="H28" s="2" t="s">
        <v>0</v>
      </c>
      <c r="I28" s="2">
        <v>77</v>
      </c>
    </row>
    <row r="29" spans="1:9" x14ac:dyDescent="0.6">
      <c r="A29" s="1" t="s">
        <v>113</v>
      </c>
      <c r="B29" s="24">
        <v>43526</v>
      </c>
      <c r="C29" s="1" t="s">
        <v>114</v>
      </c>
      <c r="D29" s="1" t="s">
        <v>71</v>
      </c>
      <c r="E29" s="2"/>
      <c r="F29" s="2"/>
      <c r="G29" s="2" t="s">
        <v>0</v>
      </c>
      <c r="H29" s="2" t="s">
        <v>0</v>
      </c>
      <c r="I29" s="2">
        <v>91</v>
      </c>
    </row>
  </sheetData>
  <sheetProtection formatCells="0"/>
  <phoneticPr fontId="3" type="noConversion"/>
  <printOptions horizontalCentered="1" verticalCentered="1"/>
  <pageMargins left="0.70866141732283472" right="0.70866141732283472" top="0.74803149606299213" bottom="0.74803149606299213" header="0.31496062992125984" footer="0.31496062992125984"/>
  <pageSetup paperSize="9" orientation="portrait" r:id="rId1"/>
  <headerFooter>
    <oddHeader>&amp;L&amp;"-,굵게"&amp;K0070C0오늘 날짜 : &amp;D</oddHeader>
  </headerFooter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9"/>
  <dimension ref="A1:M29"/>
  <sheetViews>
    <sheetView zoomScaleNormal="100" workbookViewId="0">
      <selection activeCell="J1" sqref="J1"/>
    </sheetView>
  </sheetViews>
  <sheetFormatPr defaultRowHeight="16.899999999999999" x14ac:dyDescent="0.6"/>
  <cols>
    <col min="1" max="1" width="10" bestFit="1" customWidth="1"/>
    <col min="2" max="2" width="11.0625" bestFit="1" customWidth="1"/>
    <col min="4" max="4" width="13.9375" bestFit="1" customWidth="1"/>
    <col min="5" max="8" width="6.125" customWidth="1"/>
    <col min="9" max="9" width="7.0625" customWidth="1"/>
  </cols>
  <sheetData>
    <row r="1" spans="1:13" x14ac:dyDescent="0.6">
      <c r="A1" t="s">
        <v>5</v>
      </c>
    </row>
    <row r="2" spans="1:13" x14ac:dyDescent="0.6">
      <c r="A2" s="25" t="s">
        <v>58</v>
      </c>
      <c r="B2" s="25" t="s">
        <v>120</v>
      </c>
      <c r="C2" s="25" t="s">
        <v>1</v>
      </c>
      <c r="D2" s="25" t="s">
        <v>59</v>
      </c>
      <c r="E2" s="25" t="s">
        <v>116</v>
      </c>
      <c r="F2" s="25" t="s">
        <v>117</v>
      </c>
      <c r="G2" s="25" t="s">
        <v>118</v>
      </c>
      <c r="H2" s="25" t="s">
        <v>119</v>
      </c>
      <c r="I2" s="25" t="s">
        <v>115</v>
      </c>
      <c r="K2" s="45" t="s">
        <v>233</v>
      </c>
    </row>
    <row r="3" spans="1:13" x14ac:dyDescent="0.6">
      <c r="A3" s="1">
        <v>202034155</v>
      </c>
      <c r="B3" s="24">
        <v>43892</v>
      </c>
      <c r="C3" s="1" t="s">
        <v>60</v>
      </c>
      <c r="D3" s="1" t="s">
        <v>61</v>
      </c>
      <c r="E3" s="2" t="s">
        <v>0</v>
      </c>
      <c r="F3" s="2" t="s">
        <v>0</v>
      </c>
      <c r="G3" s="2" t="s">
        <v>0</v>
      </c>
      <c r="H3" s="2" t="s">
        <v>0</v>
      </c>
      <c r="I3" s="2">
        <v>80</v>
      </c>
      <c r="K3" t="b">
        <f>AND(COUNTA(E3:H3)=4,YEAR(B3)=2019)</f>
        <v>0</v>
      </c>
    </row>
    <row r="4" spans="1:13" x14ac:dyDescent="0.6">
      <c r="A4" s="1" t="s">
        <v>62</v>
      </c>
      <c r="B4" s="24">
        <v>43526</v>
      </c>
      <c r="C4" s="1" t="s">
        <v>63</v>
      </c>
      <c r="D4" s="1" t="s">
        <v>61</v>
      </c>
      <c r="E4" s="2" t="s">
        <v>0</v>
      </c>
      <c r="F4" s="2" t="s">
        <v>0</v>
      </c>
      <c r="G4" s="2"/>
      <c r="H4" s="2" t="s">
        <v>0</v>
      </c>
      <c r="I4" s="2">
        <v>87</v>
      </c>
    </row>
    <row r="5" spans="1:13" x14ac:dyDescent="0.6">
      <c r="A5" s="1" t="s">
        <v>64</v>
      </c>
      <c r="B5" s="24">
        <v>43892</v>
      </c>
      <c r="C5" s="1" t="s">
        <v>65</v>
      </c>
      <c r="D5" s="1" t="s">
        <v>61</v>
      </c>
      <c r="E5" s="2"/>
      <c r="F5" s="2" t="s">
        <v>0</v>
      </c>
      <c r="G5" s="2" t="s">
        <v>0</v>
      </c>
      <c r="H5" s="2" t="s">
        <v>0</v>
      </c>
      <c r="I5" s="2">
        <v>83</v>
      </c>
      <c r="K5" s="25" t="s">
        <v>58</v>
      </c>
      <c r="L5" s="25" t="s">
        <v>1</v>
      </c>
      <c r="M5" s="25" t="s">
        <v>59</v>
      </c>
    </row>
    <row r="6" spans="1:13" x14ac:dyDescent="0.6">
      <c r="A6" s="1" t="s">
        <v>66</v>
      </c>
      <c r="B6" s="24">
        <v>44257</v>
      </c>
      <c r="C6" s="1" t="s">
        <v>67</v>
      </c>
      <c r="D6" s="1" t="s">
        <v>68</v>
      </c>
      <c r="E6" s="2" t="s">
        <v>0</v>
      </c>
      <c r="F6" s="2" t="s">
        <v>0</v>
      </c>
      <c r="G6" s="2" t="s">
        <v>0</v>
      </c>
      <c r="H6" s="2" t="s">
        <v>0</v>
      </c>
      <c r="I6" s="2">
        <v>66</v>
      </c>
      <c r="K6" s="1" t="s">
        <v>72</v>
      </c>
      <c r="L6" s="1" t="s">
        <v>73</v>
      </c>
      <c r="M6" s="1" t="s">
        <v>71</v>
      </c>
    </row>
    <row r="7" spans="1:13" x14ac:dyDescent="0.6">
      <c r="A7" s="1" t="s">
        <v>69</v>
      </c>
      <c r="B7" s="24">
        <v>44257</v>
      </c>
      <c r="C7" s="1" t="s">
        <v>70</v>
      </c>
      <c r="D7" s="1" t="s">
        <v>71</v>
      </c>
      <c r="E7" s="2"/>
      <c r="F7" s="2" t="s">
        <v>0</v>
      </c>
      <c r="G7" s="2" t="s">
        <v>0</v>
      </c>
      <c r="H7" s="2" t="s">
        <v>0</v>
      </c>
      <c r="I7" s="2">
        <v>58</v>
      </c>
      <c r="K7" s="1" t="s">
        <v>84</v>
      </c>
      <c r="L7" s="1" t="s">
        <v>85</v>
      </c>
      <c r="M7" s="1" t="s">
        <v>61</v>
      </c>
    </row>
    <row r="8" spans="1:13" x14ac:dyDescent="0.6">
      <c r="A8" s="1" t="s">
        <v>72</v>
      </c>
      <c r="B8" s="24">
        <v>43526</v>
      </c>
      <c r="C8" s="1" t="s">
        <v>73</v>
      </c>
      <c r="D8" s="1" t="s">
        <v>71</v>
      </c>
      <c r="E8" s="2" t="s">
        <v>0</v>
      </c>
      <c r="F8" s="2" t="s">
        <v>0</v>
      </c>
      <c r="G8" s="2" t="s">
        <v>0</v>
      </c>
      <c r="H8" s="2" t="s">
        <v>0</v>
      </c>
      <c r="I8" s="2">
        <v>83</v>
      </c>
      <c r="K8" s="1" t="s">
        <v>104</v>
      </c>
      <c r="L8" s="1" t="s">
        <v>105</v>
      </c>
      <c r="M8" s="1" t="s">
        <v>99</v>
      </c>
    </row>
    <row r="9" spans="1:13" x14ac:dyDescent="0.6">
      <c r="A9" s="1" t="s">
        <v>74</v>
      </c>
      <c r="B9" s="24">
        <v>43526</v>
      </c>
      <c r="C9" s="1" t="s">
        <v>75</v>
      </c>
      <c r="D9" s="1" t="s">
        <v>71</v>
      </c>
      <c r="E9" s="2"/>
      <c r="F9" s="2" t="s">
        <v>0</v>
      </c>
      <c r="G9" s="2" t="s">
        <v>0</v>
      </c>
      <c r="H9" s="2" t="s">
        <v>0</v>
      </c>
      <c r="I9" s="2">
        <v>81</v>
      </c>
      <c r="K9" s="1" t="s">
        <v>106</v>
      </c>
      <c r="L9" s="1" t="s">
        <v>107</v>
      </c>
      <c r="M9" s="1" t="s">
        <v>99</v>
      </c>
    </row>
    <row r="10" spans="1:13" x14ac:dyDescent="0.6">
      <c r="A10" s="1" t="s">
        <v>76</v>
      </c>
      <c r="B10" s="24">
        <v>44257</v>
      </c>
      <c r="C10" s="1" t="s">
        <v>77</v>
      </c>
      <c r="D10" s="1" t="s">
        <v>68</v>
      </c>
      <c r="E10" s="2" t="s">
        <v>0</v>
      </c>
      <c r="F10" s="2" t="s">
        <v>0</v>
      </c>
      <c r="G10" s="2" t="s">
        <v>0</v>
      </c>
      <c r="H10" s="2" t="s">
        <v>0</v>
      </c>
      <c r="I10" s="2">
        <v>81</v>
      </c>
      <c r="K10" s="1">
        <v>201934160</v>
      </c>
      <c r="L10" s="1" t="s">
        <v>108</v>
      </c>
      <c r="M10" s="1" t="s">
        <v>99</v>
      </c>
    </row>
    <row r="11" spans="1:13" x14ac:dyDescent="0.6">
      <c r="A11" s="1" t="s">
        <v>78</v>
      </c>
      <c r="B11" s="24">
        <v>43526</v>
      </c>
      <c r="C11" s="1" t="s">
        <v>79</v>
      </c>
      <c r="D11" s="1" t="s">
        <v>61</v>
      </c>
      <c r="E11" s="2" t="s">
        <v>0</v>
      </c>
      <c r="F11" s="2"/>
      <c r="G11" s="2" t="s">
        <v>0</v>
      </c>
      <c r="H11" s="2" t="s">
        <v>0</v>
      </c>
      <c r="I11" s="2">
        <v>97</v>
      </c>
      <c r="K11" s="1" t="s">
        <v>109</v>
      </c>
      <c r="L11" s="1" t="s">
        <v>110</v>
      </c>
      <c r="M11" s="1" t="s">
        <v>68</v>
      </c>
    </row>
    <row r="12" spans="1:13" x14ac:dyDescent="0.6">
      <c r="A12" s="1" t="s">
        <v>80</v>
      </c>
      <c r="B12" s="24">
        <v>43526</v>
      </c>
      <c r="C12" s="1" t="s">
        <v>81</v>
      </c>
      <c r="D12" s="1" t="s">
        <v>68</v>
      </c>
      <c r="E12" s="2" t="s">
        <v>0</v>
      </c>
      <c r="F12" s="2" t="s">
        <v>0</v>
      </c>
      <c r="G12" s="2" t="s">
        <v>0</v>
      </c>
      <c r="H12" s="2"/>
      <c r="I12" s="2">
        <v>68</v>
      </c>
    </row>
    <row r="13" spans="1:13" x14ac:dyDescent="0.6">
      <c r="A13" s="1" t="s">
        <v>82</v>
      </c>
      <c r="B13" s="24">
        <v>43892</v>
      </c>
      <c r="C13" s="1" t="s">
        <v>83</v>
      </c>
      <c r="D13" s="1" t="s">
        <v>71</v>
      </c>
      <c r="E13" s="2" t="s">
        <v>0</v>
      </c>
      <c r="F13" s="2" t="s">
        <v>0</v>
      </c>
      <c r="G13" s="2" t="s">
        <v>0</v>
      </c>
      <c r="H13" s="2" t="s">
        <v>0</v>
      </c>
      <c r="I13" s="2">
        <v>53</v>
      </c>
    </row>
    <row r="14" spans="1:13" x14ac:dyDescent="0.6">
      <c r="A14" s="1" t="s">
        <v>84</v>
      </c>
      <c r="B14" s="24">
        <v>43526</v>
      </c>
      <c r="C14" s="1" t="s">
        <v>85</v>
      </c>
      <c r="D14" s="1" t="s">
        <v>61</v>
      </c>
      <c r="E14" s="2" t="s">
        <v>0</v>
      </c>
      <c r="F14" s="2" t="s">
        <v>0</v>
      </c>
      <c r="G14" s="2" t="s">
        <v>0</v>
      </c>
      <c r="H14" s="2" t="s">
        <v>0</v>
      </c>
      <c r="I14" s="2">
        <v>80</v>
      </c>
    </row>
    <row r="15" spans="1:13" x14ac:dyDescent="0.6">
      <c r="A15" s="1">
        <v>201934431</v>
      </c>
      <c r="B15" s="24">
        <v>43526</v>
      </c>
      <c r="C15" s="1" t="s">
        <v>86</v>
      </c>
      <c r="D15" s="1" t="s">
        <v>68</v>
      </c>
      <c r="E15" s="2" t="s">
        <v>0</v>
      </c>
      <c r="F15" s="2" t="s">
        <v>0</v>
      </c>
      <c r="G15" s="2"/>
      <c r="H15" s="2" t="s">
        <v>0</v>
      </c>
      <c r="I15" s="2">
        <v>91</v>
      </c>
    </row>
    <row r="16" spans="1:13" x14ac:dyDescent="0.6">
      <c r="A16" s="1" t="s">
        <v>87</v>
      </c>
      <c r="B16" s="24">
        <v>44257</v>
      </c>
      <c r="C16" s="1" t="s">
        <v>88</v>
      </c>
      <c r="D16" s="1" t="s">
        <v>71</v>
      </c>
      <c r="E16" s="2" t="s">
        <v>0</v>
      </c>
      <c r="F16" s="2" t="s">
        <v>0</v>
      </c>
      <c r="G16" s="2" t="s">
        <v>0</v>
      </c>
      <c r="H16" s="2" t="s">
        <v>0</v>
      </c>
      <c r="I16" s="2">
        <v>59</v>
      </c>
    </row>
    <row r="17" spans="1:9" x14ac:dyDescent="0.6">
      <c r="A17" s="1" t="s">
        <v>89</v>
      </c>
      <c r="B17" s="24">
        <v>44257</v>
      </c>
      <c r="C17" s="1" t="s">
        <v>90</v>
      </c>
      <c r="D17" s="1" t="s">
        <v>68</v>
      </c>
      <c r="E17" s="2" t="s">
        <v>0</v>
      </c>
      <c r="F17" s="2"/>
      <c r="G17" s="2" t="s">
        <v>0</v>
      </c>
      <c r="H17" s="2" t="s">
        <v>0</v>
      </c>
      <c r="I17" s="2">
        <v>96</v>
      </c>
    </row>
    <row r="18" spans="1:9" x14ac:dyDescent="0.6">
      <c r="A18" s="1" t="s">
        <v>91</v>
      </c>
      <c r="B18" s="24">
        <v>43892</v>
      </c>
      <c r="C18" s="1" t="s">
        <v>92</v>
      </c>
      <c r="D18" s="1" t="s">
        <v>61</v>
      </c>
      <c r="E18" s="2" t="s">
        <v>0</v>
      </c>
      <c r="F18" s="2" t="s">
        <v>0</v>
      </c>
      <c r="G18" s="2" t="s">
        <v>0</v>
      </c>
      <c r="H18" s="2" t="s">
        <v>0</v>
      </c>
      <c r="I18" s="2">
        <v>93</v>
      </c>
    </row>
    <row r="19" spans="1:9" x14ac:dyDescent="0.6">
      <c r="A19" s="1" t="s">
        <v>93</v>
      </c>
      <c r="B19" s="24">
        <v>43526</v>
      </c>
      <c r="C19" s="1" t="s">
        <v>94</v>
      </c>
      <c r="D19" s="1" t="s">
        <v>61</v>
      </c>
      <c r="E19" s="2" t="s">
        <v>0</v>
      </c>
      <c r="F19" s="2" t="s">
        <v>0</v>
      </c>
      <c r="G19" s="2"/>
      <c r="H19" s="2" t="s">
        <v>0</v>
      </c>
      <c r="I19" s="2">
        <v>56</v>
      </c>
    </row>
    <row r="20" spans="1:9" x14ac:dyDescent="0.6">
      <c r="A20" s="1" t="s">
        <v>95</v>
      </c>
      <c r="B20" s="24">
        <v>44257</v>
      </c>
      <c r="C20" s="1" t="s">
        <v>96</v>
      </c>
      <c r="D20" s="1" t="s">
        <v>68</v>
      </c>
      <c r="E20" s="2" t="s">
        <v>0</v>
      </c>
      <c r="F20" s="2" t="s">
        <v>0</v>
      </c>
      <c r="G20" s="2" t="s">
        <v>0</v>
      </c>
      <c r="H20" s="2" t="s">
        <v>0</v>
      </c>
      <c r="I20" s="2">
        <v>67</v>
      </c>
    </row>
    <row r="21" spans="1:9" x14ac:dyDescent="0.6">
      <c r="A21" s="1" t="s">
        <v>97</v>
      </c>
      <c r="B21" s="24">
        <v>43892</v>
      </c>
      <c r="C21" s="1" t="s">
        <v>98</v>
      </c>
      <c r="D21" s="1" t="s">
        <v>99</v>
      </c>
      <c r="E21" s="2" t="s">
        <v>0</v>
      </c>
      <c r="F21" s="2"/>
      <c r="G21" s="2" t="s">
        <v>0</v>
      </c>
      <c r="H21" s="2" t="s">
        <v>0</v>
      </c>
      <c r="I21" s="2">
        <v>97</v>
      </c>
    </row>
    <row r="22" spans="1:9" x14ac:dyDescent="0.6">
      <c r="A22" s="1" t="s">
        <v>100</v>
      </c>
      <c r="B22" s="24">
        <v>44257</v>
      </c>
      <c r="C22" s="1" t="s">
        <v>101</v>
      </c>
      <c r="D22" s="1" t="s">
        <v>61</v>
      </c>
      <c r="E22" s="2" t="s">
        <v>0</v>
      </c>
      <c r="F22" s="2" t="s">
        <v>0</v>
      </c>
      <c r="G22" s="2"/>
      <c r="H22" s="2" t="s">
        <v>0</v>
      </c>
      <c r="I22" s="2">
        <v>75</v>
      </c>
    </row>
    <row r="23" spans="1:9" x14ac:dyDescent="0.6">
      <c r="A23" s="1" t="s">
        <v>102</v>
      </c>
      <c r="B23" s="24">
        <v>44257</v>
      </c>
      <c r="C23" s="1" t="s">
        <v>103</v>
      </c>
      <c r="D23" s="1" t="s">
        <v>99</v>
      </c>
      <c r="E23" s="2"/>
      <c r="F23" s="2" t="s">
        <v>0</v>
      </c>
      <c r="G23" s="2" t="s">
        <v>0</v>
      </c>
      <c r="H23" s="2"/>
      <c r="I23" s="2">
        <v>68</v>
      </c>
    </row>
    <row r="24" spans="1:9" x14ac:dyDescent="0.6">
      <c r="A24" s="1" t="s">
        <v>104</v>
      </c>
      <c r="B24" s="24">
        <v>43526</v>
      </c>
      <c r="C24" s="1" t="s">
        <v>105</v>
      </c>
      <c r="D24" s="1" t="s">
        <v>99</v>
      </c>
      <c r="E24" s="2" t="s">
        <v>0</v>
      </c>
      <c r="F24" s="2" t="s">
        <v>0</v>
      </c>
      <c r="G24" s="2" t="s">
        <v>0</v>
      </c>
      <c r="H24" s="2" t="s">
        <v>0</v>
      </c>
      <c r="I24" s="2">
        <v>73</v>
      </c>
    </row>
    <row r="25" spans="1:9" x14ac:dyDescent="0.6">
      <c r="A25" s="1" t="s">
        <v>106</v>
      </c>
      <c r="B25" s="24">
        <v>43526</v>
      </c>
      <c r="C25" s="1" t="s">
        <v>107</v>
      </c>
      <c r="D25" s="1" t="s">
        <v>99</v>
      </c>
      <c r="E25" s="2" t="s">
        <v>0</v>
      </c>
      <c r="F25" s="2" t="s">
        <v>0</v>
      </c>
      <c r="G25" s="2" t="s">
        <v>0</v>
      </c>
      <c r="H25" s="2" t="s">
        <v>0</v>
      </c>
      <c r="I25" s="2">
        <v>80</v>
      </c>
    </row>
    <row r="26" spans="1:9" x14ac:dyDescent="0.6">
      <c r="A26" s="1">
        <v>201934160</v>
      </c>
      <c r="B26" s="24">
        <v>43526</v>
      </c>
      <c r="C26" s="1" t="s">
        <v>108</v>
      </c>
      <c r="D26" s="1" t="s">
        <v>99</v>
      </c>
      <c r="E26" s="2" t="s">
        <v>0</v>
      </c>
      <c r="F26" s="2" t="s">
        <v>0</v>
      </c>
      <c r="G26" s="2" t="s">
        <v>0</v>
      </c>
      <c r="H26" s="2" t="s">
        <v>0</v>
      </c>
      <c r="I26" s="2">
        <v>91</v>
      </c>
    </row>
    <row r="27" spans="1:9" x14ac:dyDescent="0.6">
      <c r="A27" s="1" t="s">
        <v>109</v>
      </c>
      <c r="B27" s="24">
        <v>43526</v>
      </c>
      <c r="C27" s="1" t="s">
        <v>110</v>
      </c>
      <c r="D27" s="1" t="s">
        <v>68</v>
      </c>
      <c r="E27" s="2" t="s">
        <v>0</v>
      </c>
      <c r="F27" s="2" t="s">
        <v>0</v>
      </c>
      <c r="G27" s="2" t="s">
        <v>0</v>
      </c>
      <c r="H27" s="2" t="s">
        <v>0</v>
      </c>
      <c r="I27" s="2">
        <v>95</v>
      </c>
    </row>
    <row r="28" spans="1:9" x14ac:dyDescent="0.6">
      <c r="A28" s="1" t="s">
        <v>111</v>
      </c>
      <c r="B28" s="24">
        <v>43892</v>
      </c>
      <c r="C28" s="1" t="s">
        <v>112</v>
      </c>
      <c r="D28" s="1" t="s">
        <v>68</v>
      </c>
      <c r="E28" s="2"/>
      <c r="F28" s="2" t="s">
        <v>0</v>
      </c>
      <c r="G28" s="2" t="s">
        <v>0</v>
      </c>
      <c r="H28" s="2" t="s">
        <v>0</v>
      </c>
      <c r="I28" s="2">
        <v>77</v>
      </c>
    </row>
    <row r="29" spans="1:9" x14ac:dyDescent="0.6">
      <c r="A29" s="1" t="s">
        <v>113</v>
      </c>
      <c r="B29" s="24">
        <v>43526</v>
      </c>
      <c r="C29" s="1" t="s">
        <v>114</v>
      </c>
      <c r="D29" s="1" t="s">
        <v>71</v>
      </c>
      <c r="E29" s="2"/>
      <c r="F29" s="2"/>
      <c r="G29" s="2" t="s">
        <v>0</v>
      </c>
      <c r="H29" s="2" t="s">
        <v>0</v>
      </c>
      <c r="I29" s="2">
        <v>91</v>
      </c>
    </row>
  </sheetData>
  <sheetProtection formatCells="0"/>
  <phoneticPr fontId="3" type="noConversion"/>
  <conditionalFormatting sqref="A3:I29">
    <cfRule type="expression" dxfId="0" priority="1">
      <formula>ISEVEN(QUOTIENT(ROW(),3))</formula>
    </cfRule>
  </conditionalFormatting>
  <printOptions horizontalCentered="1" verticalCentered="1"/>
  <pageMargins left="0.70866141732283472" right="0.70866141732283472" top="0.74803149606299213" bottom="0.74803149606299213" header="0.31496062992125984" footer="0.31496062992125984"/>
  <pageSetup paperSize="9" orientation="portrait" r:id="rId1"/>
  <headerFooter>
    <oddHeader>&amp;L오늘 날짜 : &amp;D</oddHeader>
  </headerFooter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8"/>
  <dimension ref="A1:J69"/>
  <sheetViews>
    <sheetView topLeftCell="A25" zoomScaleNormal="100" workbookViewId="0">
      <selection activeCell="E48" sqref="E48"/>
    </sheetView>
  </sheetViews>
  <sheetFormatPr defaultColWidth="9" defaultRowHeight="19.5" customHeight="1" x14ac:dyDescent="0.6"/>
  <cols>
    <col min="1" max="1" width="9" style="16"/>
    <col min="2" max="2" width="11.0625" style="16" bestFit="1" customWidth="1"/>
    <col min="3" max="3" width="10.5625" style="16" bestFit="1" customWidth="1"/>
    <col min="4" max="4" width="9" style="16"/>
    <col min="5" max="5" width="32.9375" style="16" bestFit="1" customWidth="1"/>
    <col min="6" max="6" width="11.1875" style="16" bestFit="1" customWidth="1"/>
    <col min="7" max="7" width="11.25" style="16" bestFit="1" customWidth="1"/>
    <col min="8" max="8" width="13.3125" style="16" customWidth="1"/>
    <col min="9" max="10" width="10.8125" style="16" customWidth="1"/>
    <col min="11" max="16384" width="9" style="16"/>
  </cols>
  <sheetData>
    <row r="1" spans="1:9" ht="19.5" customHeight="1" x14ac:dyDescent="0.6">
      <c r="A1" s="16" t="s">
        <v>5</v>
      </c>
    </row>
    <row r="2" spans="1:9" ht="19.5" customHeight="1" x14ac:dyDescent="0.6">
      <c r="A2" s="29" t="s">
        <v>121</v>
      </c>
      <c r="B2" s="1" t="s">
        <v>164</v>
      </c>
      <c r="C2" s="1" t="s">
        <v>122</v>
      </c>
      <c r="D2" s="1" t="s">
        <v>123</v>
      </c>
      <c r="E2" s="1" t="s">
        <v>124</v>
      </c>
      <c r="F2" s="1" t="s">
        <v>125</v>
      </c>
      <c r="G2" s="1" t="s">
        <v>162</v>
      </c>
      <c r="H2" s="29" t="s">
        <v>163</v>
      </c>
      <c r="I2" s="29" t="s">
        <v>156</v>
      </c>
    </row>
    <row r="3" spans="1:9" ht="19.5" customHeight="1" x14ac:dyDescent="0.6">
      <c r="A3" s="1"/>
      <c r="B3" s="1" t="s">
        <v>166</v>
      </c>
      <c r="C3" s="24">
        <v>44562</v>
      </c>
      <c r="D3" s="1" t="s">
        <v>126</v>
      </c>
      <c r="E3" s="1" t="s">
        <v>127</v>
      </c>
      <c r="F3" s="27">
        <v>1890000</v>
      </c>
      <c r="G3" s="1">
        <v>5</v>
      </c>
      <c r="H3" s="35"/>
      <c r="I3" s="28"/>
    </row>
    <row r="4" spans="1:9" ht="19.5" customHeight="1" x14ac:dyDescent="0.6">
      <c r="A4" s="1"/>
      <c r="B4" s="1" t="s">
        <v>165</v>
      </c>
      <c r="C4" s="24">
        <v>44569</v>
      </c>
      <c r="D4" s="1" t="s">
        <v>128</v>
      </c>
      <c r="E4" s="1" t="s">
        <v>129</v>
      </c>
      <c r="F4" s="27">
        <v>1037000</v>
      </c>
      <c r="G4" s="1">
        <v>8</v>
      </c>
      <c r="H4" s="35"/>
      <c r="I4" s="28"/>
    </row>
    <row r="5" spans="1:9" ht="19.5" customHeight="1" x14ac:dyDescent="0.6">
      <c r="A5" s="1"/>
      <c r="B5" s="1" t="s">
        <v>167</v>
      </c>
      <c r="C5" s="24">
        <v>44576</v>
      </c>
      <c r="D5" s="1" t="s">
        <v>128</v>
      </c>
      <c r="E5" s="1" t="s">
        <v>130</v>
      </c>
      <c r="F5" s="27">
        <v>1871000</v>
      </c>
      <c r="G5" s="1">
        <v>8</v>
      </c>
      <c r="H5" s="35"/>
      <c r="I5" s="28"/>
    </row>
    <row r="6" spans="1:9" ht="19.5" customHeight="1" x14ac:dyDescent="0.6">
      <c r="A6" s="1"/>
      <c r="B6" s="1" t="s">
        <v>166</v>
      </c>
      <c r="C6" s="24">
        <v>44583</v>
      </c>
      <c r="D6" s="1" t="s">
        <v>128</v>
      </c>
      <c r="E6" s="1" t="s">
        <v>131</v>
      </c>
      <c r="F6" s="27">
        <v>1222230</v>
      </c>
      <c r="G6" s="1">
        <v>4</v>
      </c>
      <c r="H6" s="35"/>
      <c r="I6" s="28"/>
    </row>
    <row r="7" spans="1:9" ht="19.5" customHeight="1" x14ac:dyDescent="0.6">
      <c r="A7" s="1"/>
      <c r="B7" s="1" t="s">
        <v>167</v>
      </c>
      <c r="C7" s="24">
        <v>44590</v>
      </c>
      <c r="D7" s="1" t="s">
        <v>132</v>
      </c>
      <c r="E7" s="1" t="s">
        <v>133</v>
      </c>
      <c r="F7" s="27">
        <v>1419000</v>
      </c>
      <c r="G7" s="1">
        <v>2</v>
      </c>
      <c r="H7" s="35"/>
      <c r="I7" s="28"/>
    </row>
    <row r="8" spans="1:9" ht="19.5" customHeight="1" x14ac:dyDescent="0.6">
      <c r="A8" s="1"/>
      <c r="B8" s="1" t="s">
        <v>85</v>
      </c>
      <c r="C8" s="24">
        <v>44597</v>
      </c>
      <c r="D8" s="1" t="s">
        <v>132</v>
      </c>
      <c r="E8" s="1" t="s">
        <v>134</v>
      </c>
      <c r="F8" s="27">
        <v>1649000</v>
      </c>
      <c r="G8" s="1">
        <v>8</v>
      </c>
      <c r="H8" s="35"/>
      <c r="I8" s="28"/>
    </row>
    <row r="9" spans="1:9" ht="19.5" customHeight="1" x14ac:dyDescent="0.6">
      <c r="A9" s="1"/>
      <c r="B9" s="1" t="s">
        <v>85</v>
      </c>
      <c r="C9" s="24">
        <v>44604</v>
      </c>
      <c r="D9" s="1" t="s">
        <v>135</v>
      </c>
      <c r="E9" s="1" t="s">
        <v>136</v>
      </c>
      <c r="F9" s="27">
        <v>1889000</v>
      </c>
      <c r="G9" s="1">
        <v>2</v>
      </c>
      <c r="H9" s="35"/>
      <c r="I9" s="28"/>
    </row>
    <row r="10" spans="1:9" ht="19.5" customHeight="1" x14ac:dyDescent="0.6">
      <c r="A10" s="1"/>
      <c r="B10" s="1" t="s">
        <v>165</v>
      </c>
      <c r="C10" s="24">
        <v>44611</v>
      </c>
      <c r="D10" s="1" t="s">
        <v>135</v>
      </c>
      <c r="E10" s="1" t="s">
        <v>137</v>
      </c>
      <c r="F10" s="27">
        <v>2867000</v>
      </c>
      <c r="G10" s="1">
        <v>7</v>
      </c>
      <c r="H10" s="35"/>
      <c r="I10" s="28"/>
    </row>
    <row r="11" spans="1:9" ht="19.5" customHeight="1" x14ac:dyDescent="0.6">
      <c r="A11" s="1"/>
      <c r="B11" s="1" t="s">
        <v>167</v>
      </c>
      <c r="C11" s="24">
        <v>44618</v>
      </c>
      <c r="D11" s="1" t="s">
        <v>135</v>
      </c>
      <c r="E11" s="1" t="s">
        <v>138</v>
      </c>
      <c r="F11" s="27">
        <v>939000</v>
      </c>
      <c r="G11" s="1">
        <v>4</v>
      </c>
      <c r="H11" s="35"/>
      <c r="I11" s="28"/>
    </row>
    <row r="12" spans="1:9" ht="19.5" customHeight="1" x14ac:dyDescent="0.6">
      <c r="A12" s="1"/>
      <c r="B12" s="1" t="s">
        <v>167</v>
      </c>
      <c r="C12" s="24">
        <v>44625</v>
      </c>
      <c r="D12" s="1" t="s">
        <v>126</v>
      </c>
      <c r="E12" s="1" t="s">
        <v>127</v>
      </c>
      <c r="F12" s="27">
        <v>1890000</v>
      </c>
      <c r="G12" s="1">
        <v>2</v>
      </c>
      <c r="H12" s="35"/>
      <c r="I12" s="28"/>
    </row>
    <row r="13" spans="1:9" ht="19.5" customHeight="1" x14ac:dyDescent="0.6">
      <c r="A13" s="1"/>
      <c r="B13" s="1" t="s">
        <v>167</v>
      </c>
      <c r="C13" s="24">
        <v>44632</v>
      </c>
      <c r="D13" s="1" t="s">
        <v>139</v>
      </c>
      <c r="E13" s="1" t="s">
        <v>140</v>
      </c>
      <c r="F13" s="27">
        <v>743000</v>
      </c>
      <c r="G13" s="1">
        <v>6</v>
      </c>
      <c r="H13" s="35"/>
      <c r="I13" s="28"/>
    </row>
    <row r="14" spans="1:9" ht="19.5" customHeight="1" x14ac:dyDescent="0.6">
      <c r="A14" s="1"/>
      <c r="B14" s="1" t="s">
        <v>165</v>
      </c>
      <c r="C14" s="24">
        <v>44639</v>
      </c>
      <c r="D14" s="1" t="s">
        <v>139</v>
      </c>
      <c r="E14" s="1" t="s">
        <v>141</v>
      </c>
      <c r="F14" s="27">
        <v>239000</v>
      </c>
      <c r="G14" s="1">
        <v>2</v>
      </c>
      <c r="H14" s="35"/>
      <c r="I14" s="28"/>
    </row>
    <row r="15" spans="1:9" ht="19.5" customHeight="1" x14ac:dyDescent="0.6">
      <c r="A15" s="1"/>
      <c r="B15" s="1" t="s">
        <v>85</v>
      </c>
      <c r="C15" s="24">
        <v>44646</v>
      </c>
      <c r="D15" s="1" t="s">
        <v>128</v>
      </c>
      <c r="E15" s="1" t="s">
        <v>129</v>
      </c>
      <c r="F15" s="27">
        <v>1037000</v>
      </c>
      <c r="G15" s="1">
        <v>4</v>
      </c>
      <c r="H15" s="35"/>
      <c r="I15" s="28"/>
    </row>
    <row r="16" spans="1:9" ht="19.5" customHeight="1" x14ac:dyDescent="0.6">
      <c r="A16" s="1"/>
      <c r="B16" s="1" t="s">
        <v>166</v>
      </c>
      <c r="C16" s="24">
        <v>44653</v>
      </c>
      <c r="D16" s="1" t="s">
        <v>128</v>
      </c>
      <c r="E16" s="1" t="s">
        <v>142</v>
      </c>
      <c r="F16" s="27">
        <v>1262000</v>
      </c>
      <c r="G16" s="1">
        <v>7</v>
      </c>
      <c r="H16" s="35"/>
      <c r="I16" s="28"/>
    </row>
    <row r="17" spans="1:9" ht="19.5" customHeight="1" x14ac:dyDescent="0.6">
      <c r="A17" s="1"/>
      <c r="B17" s="1" t="s">
        <v>167</v>
      </c>
      <c r="C17" s="24">
        <v>44660</v>
      </c>
      <c r="D17" s="1" t="s">
        <v>128</v>
      </c>
      <c r="E17" s="1" t="s">
        <v>143</v>
      </c>
      <c r="F17" s="27">
        <v>689000</v>
      </c>
      <c r="G17" s="1">
        <v>3</v>
      </c>
      <c r="H17" s="35"/>
      <c r="I17" s="28"/>
    </row>
    <row r="18" spans="1:9" ht="19.5" customHeight="1" x14ac:dyDescent="0.6">
      <c r="A18" s="1"/>
      <c r="B18" s="1" t="s">
        <v>167</v>
      </c>
      <c r="C18" s="24">
        <v>44667</v>
      </c>
      <c r="D18" s="1" t="s">
        <v>132</v>
      </c>
      <c r="E18" s="1" t="s">
        <v>144</v>
      </c>
      <c r="F18" s="27">
        <v>859000</v>
      </c>
      <c r="G18" s="1">
        <v>2</v>
      </c>
      <c r="H18" s="35"/>
      <c r="I18" s="28"/>
    </row>
    <row r="19" spans="1:9" ht="19.5" customHeight="1" x14ac:dyDescent="0.6">
      <c r="A19" s="1"/>
      <c r="B19" s="1" t="s">
        <v>166</v>
      </c>
      <c r="C19" s="24">
        <v>44674</v>
      </c>
      <c r="D19" s="1" t="s">
        <v>132</v>
      </c>
      <c r="E19" s="1" t="s">
        <v>133</v>
      </c>
      <c r="F19" s="27">
        <v>1419000</v>
      </c>
      <c r="G19" s="1">
        <v>6</v>
      </c>
      <c r="H19" s="35"/>
      <c r="I19" s="28"/>
    </row>
    <row r="20" spans="1:9" ht="19.5" customHeight="1" x14ac:dyDescent="0.6">
      <c r="A20" s="1"/>
      <c r="B20" s="1" t="s">
        <v>85</v>
      </c>
      <c r="C20" s="24">
        <v>44681</v>
      </c>
      <c r="D20" s="1" t="s">
        <v>132</v>
      </c>
      <c r="E20" s="1" t="s">
        <v>145</v>
      </c>
      <c r="F20" s="27">
        <v>1179000</v>
      </c>
      <c r="G20" s="1">
        <v>7</v>
      </c>
      <c r="H20" s="35"/>
      <c r="I20" s="28"/>
    </row>
    <row r="21" spans="1:9" ht="19.5" customHeight="1" x14ac:dyDescent="0.6">
      <c r="A21" s="1"/>
      <c r="B21" s="1" t="s">
        <v>166</v>
      </c>
      <c r="C21" s="24">
        <v>44688</v>
      </c>
      <c r="D21" s="1" t="s">
        <v>135</v>
      </c>
      <c r="E21" s="1" t="s">
        <v>136</v>
      </c>
      <c r="F21" s="27">
        <v>1889000</v>
      </c>
      <c r="G21" s="1">
        <v>6</v>
      </c>
      <c r="H21" s="35"/>
      <c r="I21" s="28"/>
    </row>
    <row r="22" spans="1:9" ht="19.5" customHeight="1" x14ac:dyDescent="0.6">
      <c r="A22" s="1"/>
      <c r="B22" s="1" t="s">
        <v>166</v>
      </c>
      <c r="C22" s="24">
        <v>44695</v>
      </c>
      <c r="D22" s="1" t="s">
        <v>135</v>
      </c>
      <c r="E22" s="1" t="s">
        <v>137</v>
      </c>
      <c r="F22" s="27">
        <v>2867000</v>
      </c>
      <c r="G22" s="1">
        <v>8</v>
      </c>
      <c r="H22" s="35"/>
      <c r="I22" s="28"/>
    </row>
    <row r="23" spans="1:9" ht="19.5" customHeight="1" x14ac:dyDescent="0.6">
      <c r="A23" s="1"/>
      <c r="B23" s="1" t="s">
        <v>167</v>
      </c>
      <c r="C23" s="24">
        <v>44702</v>
      </c>
      <c r="D23" s="1" t="s">
        <v>135</v>
      </c>
      <c r="E23" s="1" t="s">
        <v>146</v>
      </c>
      <c r="F23" s="27">
        <v>613000</v>
      </c>
      <c r="G23" s="1">
        <v>3</v>
      </c>
      <c r="H23" s="35"/>
      <c r="I23" s="28"/>
    </row>
    <row r="24" spans="1:9" ht="19.5" customHeight="1" x14ac:dyDescent="0.6">
      <c r="A24" s="1"/>
      <c r="B24" s="1" t="s">
        <v>165</v>
      </c>
      <c r="C24" s="24">
        <v>44709</v>
      </c>
      <c r="D24" s="1" t="s">
        <v>139</v>
      </c>
      <c r="E24" s="1" t="s">
        <v>147</v>
      </c>
      <c r="F24" s="27">
        <v>781000</v>
      </c>
      <c r="G24" s="1">
        <v>2</v>
      </c>
      <c r="H24" s="35"/>
      <c r="I24" s="28"/>
    </row>
    <row r="25" spans="1:9" ht="19.5" customHeight="1" x14ac:dyDescent="0.6">
      <c r="A25" s="1"/>
      <c r="B25" s="1" t="s">
        <v>166</v>
      </c>
      <c r="C25" s="24">
        <v>44716</v>
      </c>
      <c r="D25" s="1" t="s">
        <v>139</v>
      </c>
      <c r="E25" s="1" t="s">
        <v>148</v>
      </c>
      <c r="F25" s="27">
        <v>845000</v>
      </c>
      <c r="G25" s="1">
        <v>6</v>
      </c>
      <c r="H25" s="35"/>
      <c r="I25" s="28"/>
    </row>
    <row r="26" spans="1:9" ht="19.5" customHeight="1" x14ac:dyDescent="0.6">
      <c r="A26" s="1"/>
      <c r="B26" s="1" t="s">
        <v>165</v>
      </c>
      <c r="C26" s="24">
        <v>44723</v>
      </c>
      <c r="D26" s="1" t="s">
        <v>139</v>
      </c>
      <c r="E26" s="1" t="s">
        <v>141</v>
      </c>
      <c r="F26" s="27">
        <v>239000</v>
      </c>
      <c r="G26" s="1">
        <v>3</v>
      </c>
      <c r="H26" s="35"/>
      <c r="I26" s="28"/>
    </row>
    <row r="27" spans="1:9" ht="19.5" customHeight="1" x14ac:dyDescent="0.6">
      <c r="A27" s="1"/>
      <c r="B27" s="1" t="s">
        <v>85</v>
      </c>
      <c r="C27" s="24">
        <v>44730</v>
      </c>
      <c r="D27" s="1" t="s">
        <v>128</v>
      </c>
      <c r="E27" s="1" t="s">
        <v>129</v>
      </c>
      <c r="F27" s="27">
        <v>1037000</v>
      </c>
      <c r="G27" s="1">
        <v>2</v>
      </c>
      <c r="H27" s="35"/>
      <c r="I27" s="28"/>
    </row>
    <row r="28" spans="1:9" ht="16.899999999999999" x14ac:dyDescent="0.6">
      <c r="A28" s="1"/>
      <c r="B28" s="1" t="s">
        <v>167</v>
      </c>
      <c r="C28" s="24">
        <v>44737</v>
      </c>
      <c r="D28" s="1" t="s">
        <v>128</v>
      </c>
      <c r="E28" s="1" t="s">
        <v>130</v>
      </c>
      <c r="F28" s="27">
        <v>1871000</v>
      </c>
      <c r="G28" s="1">
        <v>4</v>
      </c>
      <c r="H28" s="35"/>
      <c r="I28" s="28"/>
    </row>
    <row r="29" spans="1:9" ht="16.899999999999999" x14ac:dyDescent="0.6">
      <c r="A29" s="1"/>
      <c r="B29" s="1" t="s">
        <v>166</v>
      </c>
      <c r="C29" s="24">
        <v>44744</v>
      </c>
      <c r="D29" s="1" t="s">
        <v>128</v>
      </c>
      <c r="E29" s="1" t="s">
        <v>142</v>
      </c>
      <c r="F29" s="27">
        <v>1262000</v>
      </c>
      <c r="G29" s="1">
        <v>6</v>
      </c>
      <c r="H29" s="35"/>
      <c r="I29" s="28"/>
    </row>
    <row r="30" spans="1:9" ht="16.899999999999999" x14ac:dyDescent="0.6">
      <c r="A30" s="1"/>
      <c r="B30" s="1" t="s">
        <v>167</v>
      </c>
      <c r="C30" s="24">
        <v>44751</v>
      </c>
      <c r="D30" s="1" t="s">
        <v>132</v>
      </c>
      <c r="E30" s="1" t="s">
        <v>133</v>
      </c>
      <c r="F30" s="27">
        <v>1419000</v>
      </c>
      <c r="G30" s="1">
        <v>8</v>
      </c>
      <c r="H30" s="35"/>
      <c r="I30" s="28"/>
    </row>
    <row r="31" spans="1:9" ht="16.899999999999999" x14ac:dyDescent="0.6">
      <c r="A31" s="1"/>
      <c r="B31" s="1" t="s">
        <v>165</v>
      </c>
      <c r="C31" s="24">
        <v>44758</v>
      </c>
      <c r="D31" s="1" t="s">
        <v>132</v>
      </c>
      <c r="E31" s="1" t="s">
        <v>149</v>
      </c>
      <c r="F31" s="27">
        <v>859000</v>
      </c>
      <c r="G31" s="1">
        <v>4</v>
      </c>
      <c r="H31" s="35"/>
      <c r="I31" s="28"/>
    </row>
    <row r="32" spans="1:9" ht="16.899999999999999" x14ac:dyDescent="0.6">
      <c r="A32" s="1"/>
      <c r="B32" s="1" t="s">
        <v>167</v>
      </c>
      <c r="C32" s="24">
        <v>44765</v>
      </c>
      <c r="D32" s="1" t="s">
        <v>135</v>
      </c>
      <c r="E32" s="1" t="s">
        <v>146</v>
      </c>
      <c r="F32" s="27">
        <v>613000</v>
      </c>
      <c r="G32" s="1">
        <v>4</v>
      </c>
      <c r="H32" s="35"/>
      <c r="I32" s="28"/>
    </row>
    <row r="33" spans="1:10" ht="16.899999999999999" x14ac:dyDescent="0.6">
      <c r="A33" s="1"/>
      <c r="B33" s="1" t="s">
        <v>166</v>
      </c>
      <c r="C33" s="24">
        <v>44772</v>
      </c>
      <c r="D33" s="1" t="s">
        <v>135</v>
      </c>
      <c r="E33" s="1" t="s">
        <v>138</v>
      </c>
      <c r="F33" s="27">
        <v>939000</v>
      </c>
      <c r="G33" s="1">
        <v>8</v>
      </c>
      <c r="H33" s="35"/>
      <c r="I33" s="28"/>
    </row>
    <row r="34" spans="1:10" ht="16.899999999999999" x14ac:dyDescent="0.6">
      <c r="A34" s="1"/>
      <c r="B34" s="1" t="s">
        <v>85</v>
      </c>
      <c r="C34" s="24">
        <v>44779</v>
      </c>
      <c r="D34" s="1" t="s">
        <v>135</v>
      </c>
      <c r="E34" s="1" t="s">
        <v>150</v>
      </c>
      <c r="F34" s="27">
        <v>1169000</v>
      </c>
      <c r="G34" s="1">
        <v>7</v>
      </c>
      <c r="H34" s="35"/>
      <c r="I34" s="28"/>
    </row>
    <row r="35" spans="1:10" ht="16.899999999999999" x14ac:dyDescent="0.6"/>
    <row r="36" spans="1:10" ht="16.899999999999999" x14ac:dyDescent="0.6">
      <c r="A36" s="16" t="s">
        <v>151</v>
      </c>
      <c r="D36" s="32" t="s">
        <v>169</v>
      </c>
      <c r="G36" s="33" t="s">
        <v>170</v>
      </c>
    </row>
    <row r="37" spans="1:10" ht="16.899999999999999" x14ac:dyDescent="0.6">
      <c r="A37" s="31" t="s">
        <v>232</v>
      </c>
      <c r="B37" s="31" t="s">
        <v>1</v>
      </c>
      <c r="D37" s="31" t="s">
        <v>164</v>
      </c>
      <c r="E37" s="29" t="s">
        <v>124</v>
      </c>
      <c r="G37" s="31" t="s">
        <v>161</v>
      </c>
      <c r="H37" s="31" t="s">
        <v>157</v>
      </c>
      <c r="I37" s="31" t="s">
        <v>158</v>
      </c>
      <c r="J37" s="31" t="s">
        <v>159</v>
      </c>
    </row>
    <row r="38" spans="1:10" ht="16.899999999999999" x14ac:dyDescent="0.6">
      <c r="A38" s="18" t="s">
        <v>126</v>
      </c>
      <c r="B38" s="17" t="s">
        <v>168</v>
      </c>
      <c r="D38" s="1" t="s">
        <v>166</v>
      </c>
      <c r="E38" s="18"/>
      <c r="G38" s="50" t="s">
        <v>160</v>
      </c>
      <c r="H38" s="34">
        <v>1</v>
      </c>
      <c r="I38" s="34">
        <v>4</v>
      </c>
      <c r="J38" s="34">
        <v>7</v>
      </c>
    </row>
    <row r="39" spans="1:10" ht="16.899999999999999" x14ac:dyDescent="0.6">
      <c r="A39" s="18" t="s">
        <v>132</v>
      </c>
      <c r="B39" s="17" t="s">
        <v>152</v>
      </c>
      <c r="D39" s="1" t="s">
        <v>165</v>
      </c>
      <c r="E39" s="18"/>
      <c r="G39" s="50"/>
      <c r="H39" s="34">
        <v>3</v>
      </c>
      <c r="I39" s="34">
        <v>6</v>
      </c>
      <c r="J39" s="34">
        <v>9</v>
      </c>
    </row>
    <row r="40" spans="1:10" ht="16.899999999999999" x14ac:dyDescent="0.6">
      <c r="A40" s="18" t="s">
        <v>128</v>
      </c>
      <c r="B40" s="17" t="s">
        <v>153</v>
      </c>
      <c r="D40" s="1" t="s">
        <v>167</v>
      </c>
      <c r="E40" s="18"/>
      <c r="G40" s="25" t="s">
        <v>126</v>
      </c>
      <c r="H40" s="30"/>
      <c r="I40" s="30"/>
      <c r="J40" s="30"/>
    </row>
    <row r="41" spans="1:10" ht="16.899999999999999" x14ac:dyDescent="0.6">
      <c r="A41" s="18" t="s">
        <v>139</v>
      </c>
      <c r="B41" s="17" t="s">
        <v>154</v>
      </c>
      <c r="D41" s="1" t="s">
        <v>85</v>
      </c>
      <c r="E41" s="18"/>
      <c r="G41" s="25" t="s">
        <v>128</v>
      </c>
      <c r="H41" s="30"/>
      <c r="I41" s="30"/>
      <c r="J41" s="30"/>
    </row>
    <row r="42" spans="1:10" ht="16.899999999999999" x14ac:dyDescent="0.6">
      <c r="A42" s="18" t="s">
        <v>135</v>
      </c>
      <c r="B42" s="17" t="s">
        <v>155</v>
      </c>
      <c r="D42"/>
      <c r="E42" s="44"/>
      <c r="G42" s="25" t="s">
        <v>132</v>
      </c>
      <c r="H42" s="30"/>
      <c r="I42" s="30"/>
      <c r="J42" s="30"/>
    </row>
    <row r="43" spans="1:10" ht="16.899999999999999" x14ac:dyDescent="0.6">
      <c r="D43"/>
      <c r="G43" s="25" t="s">
        <v>135</v>
      </c>
      <c r="H43" s="30"/>
      <c r="I43" s="30"/>
      <c r="J43" s="30"/>
    </row>
    <row r="44" spans="1:10" ht="16.899999999999999" x14ac:dyDescent="0.6">
      <c r="D44"/>
      <c r="G44" s="25" t="s">
        <v>139</v>
      </c>
      <c r="H44" s="30"/>
      <c r="I44" s="30"/>
      <c r="J44" s="30"/>
    </row>
    <row r="45" spans="1:10" ht="16.899999999999999" x14ac:dyDescent="0.6">
      <c r="D45"/>
    </row>
    <row r="46" spans="1:10" ht="16.899999999999999" x14ac:dyDescent="0.6">
      <c r="D46"/>
    </row>
    <row r="47" spans="1:10" ht="16.899999999999999" x14ac:dyDescent="0.6">
      <c r="D47"/>
    </row>
    <row r="48" spans="1:10" ht="16.899999999999999" x14ac:dyDescent="0.6">
      <c r="D48"/>
    </row>
    <row r="49" spans="4:4" ht="16.899999999999999" x14ac:dyDescent="0.6">
      <c r="D49"/>
    </row>
    <row r="50" spans="4:4" ht="16.899999999999999" x14ac:dyDescent="0.6">
      <c r="D50"/>
    </row>
    <row r="51" spans="4:4" ht="16.899999999999999" x14ac:dyDescent="0.6">
      <c r="D51"/>
    </row>
    <row r="52" spans="4:4" ht="16.899999999999999" x14ac:dyDescent="0.6">
      <c r="D52"/>
    </row>
    <row r="53" spans="4:4" ht="16.899999999999999" x14ac:dyDescent="0.6">
      <c r="D53"/>
    </row>
    <row r="54" spans="4:4" ht="16.899999999999999" x14ac:dyDescent="0.6">
      <c r="D54"/>
    </row>
    <row r="55" spans="4:4" ht="16.899999999999999" x14ac:dyDescent="0.6">
      <c r="D55"/>
    </row>
    <row r="56" spans="4:4" ht="16.899999999999999" x14ac:dyDescent="0.6">
      <c r="D56"/>
    </row>
    <row r="57" spans="4:4" ht="16.899999999999999" x14ac:dyDescent="0.6">
      <c r="D57"/>
    </row>
    <row r="58" spans="4:4" ht="19.5" customHeight="1" x14ac:dyDescent="0.6">
      <c r="D58"/>
    </row>
    <row r="59" spans="4:4" ht="19.5" customHeight="1" x14ac:dyDescent="0.6">
      <c r="D59"/>
    </row>
    <row r="60" spans="4:4" ht="19.5" customHeight="1" x14ac:dyDescent="0.6">
      <c r="D60"/>
    </row>
    <row r="61" spans="4:4" ht="19.5" customHeight="1" x14ac:dyDescent="0.6">
      <c r="D61"/>
    </row>
    <row r="62" spans="4:4" ht="19.5" customHeight="1" x14ac:dyDescent="0.6">
      <c r="D62"/>
    </row>
    <row r="63" spans="4:4" ht="19.5" customHeight="1" x14ac:dyDescent="0.6">
      <c r="D63"/>
    </row>
    <row r="64" spans="4:4" ht="19.5" customHeight="1" x14ac:dyDescent="0.6">
      <c r="D64"/>
    </row>
    <row r="65" spans="4:4" ht="19.5" customHeight="1" x14ac:dyDescent="0.6">
      <c r="D65"/>
    </row>
    <row r="66" spans="4:4" ht="19.5" customHeight="1" x14ac:dyDescent="0.6">
      <c r="D66"/>
    </row>
    <row r="67" spans="4:4" ht="19.5" customHeight="1" x14ac:dyDescent="0.6">
      <c r="D67"/>
    </row>
    <row r="68" spans="4:4" ht="19.5" customHeight="1" x14ac:dyDescent="0.6">
      <c r="D68"/>
    </row>
    <row r="69" spans="4:4" ht="19.5" customHeight="1" x14ac:dyDescent="0.6">
      <c r="D69"/>
    </row>
  </sheetData>
  <mergeCells count="1">
    <mergeCell ref="G38:G39"/>
  </mergeCells>
  <phoneticPr fontId="3" type="noConversion"/>
  <pageMargins left="0.7" right="0.7" top="0.75" bottom="0.75" header="0.3" footer="0.3"/>
  <pageSetup paperSize="9" orientation="portrait"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57FB0D3-F054-4B07-B883-6D353C35958D}">
  <dimension ref="A1:F7"/>
  <sheetViews>
    <sheetView workbookViewId="0">
      <selection sqref="A1:F7"/>
    </sheetView>
  </sheetViews>
  <sheetFormatPr defaultRowHeight="16.899999999999999" x14ac:dyDescent="0.6"/>
  <cols>
    <col min="4" max="6" width="9.6875" customWidth="1"/>
  </cols>
  <sheetData>
    <row r="1" spans="1:6" x14ac:dyDescent="0.6">
      <c r="A1" t="s">
        <v>234</v>
      </c>
      <c r="B1" t="s">
        <v>252</v>
      </c>
      <c r="C1" t="s">
        <v>253</v>
      </c>
      <c r="D1" t="s">
        <v>236</v>
      </c>
      <c r="E1" t="s">
        <v>254</v>
      </c>
      <c r="F1" t="s">
        <v>255</v>
      </c>
    </row>
    <row r="2" spans="1:6" x14ac:dyDescent="0.6">
      <c r="A2" t="s">
        <v>67</v>
      </c>
      <c r="B2" t="s">
        <v>256</v>
      </c>
      <c r="C2">
        <v>80000</v>
      </c>
      <c r="D2" t="s">
        <v>240</v>
      </c>
      <c r="E2">
        <v>12</v>
      </c>
      <c r="F2">
        <v>8</v>
      </c>
    </row>
    <row r="3" spans="1:6" x14ac:dyDescent="0.6">
      <c r="A3" t="s">
        <v>67</v>
      </c>
      <c r="B3" t="s">
        <v>256</v>
      </c>
      <c r="C3">
        <v>80000</v>
      </c>
      <c r="D3" t="s">
        <v>240</v>
      </c>
      <c r="E3">
        <v>9</v>
      </c>
      <c r="F3">
        <v>10</v>
      </c>
    </row>
    <row r="4" spans="1:6" x14ac:dyDescent="0.6">
      <c r="A4" t="s">
        <v>67</v>
      </c>
      <c r="B4" t="s">
        <v>256</v>
      </c>
      <c r="C4">
        <v>80000</v>
      </c>
      <c r="D4" t="s">
        <v>240</v>
      </c>
      <c r="E4">
        <v>11</v>
      </c>
      <c r="F4">
        <v>11</v>
      </c>
    </row>
    <row r="5" spans="1:6" x14ac:dyDescent="0.6">
      <c r="A5" t="s">
        <v>67</v>
      </c>
      <c r="B5" t="s">
        <v>256</v>
      </c>
      <c r="C5">
        <v>80000</v>
      </c>
      <c r="D5" t="s">
        <v>240</v>
      </c>
      <c r="E5">
        <v>40</v>
      </c>
      <c r="F5">
        <v>11</v>
      </c>
    </row>
    <row r="6" spans="1:6" x14ac:dyDescent="0.6">
      <c r="A6" t="s">
        <v>67</v>
      </c>
      <c r="B6" t="s">
        <v>256</v>
      </c>
      <c r="C6">
        <v>80000</v>
      </c>
      <c r="D6" t="s">
        <v>240</v>
      </c>
      <c r="E6">
        <v>21</v>
      </c>
      <c r="F6">
        <v>14</v>
      </c>
    </row>
    <row r="7" spans="1:6" x14ac:dyDescent="0.6">
      <c r="A7" t="s">
        <v>67</v>
      </c>
      <c r="B7" t="s">
        <v>256</v>
      </c>
      <c r="C7">
        <v>80000</v>
      </c>
      <c r="D7" t="s">
        <v>240</v>
      </c>
      <c r="E7">
        <v>21</v>
      </c>
      <c r="F7">
        <v>12</v>
      </c>
    </row>
  </sheetData>
  <phoneticPr fontId="3" type="noConversion"/>
  <pageMargins left="0.7" right="0.7" top="0.75" bottom="0.75" header="0.3" footer="0.3"/>
  <tableParts count="1">
    <tablePart r:id="rId1"/>
  </tableParts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Sheet2"/>
  <dimension ref="B4:G21"/>
  <sheetViews>
    <sheetView tabSelected="1" workbookViewId="0"/>
  </sheetViews>
  <sheetFormatPr defaultRowHeight="16.899999999999999" x14ac:dyDescent="0.6"/>
  <cols>
    <col min="2" max="2" width="8.5" bestFit="1" customWidth="1"/>
    <col min="3" max="3" width="13.6875" bestFit="1" customWidth="1"/>
    <col min="4" max="7" width="12.375" bestFit="1" customWidth="1"/>
    <col min="8" max="8" width="11.3125" bestFit="1" customWidth="1"/>
    <col min="9" max="9" width="11.8125" bestFit="1" customWidth="1"/>
    <col min="10" max="10" width="11.3125" bestFit="1" customWidth="1"/>
    <col min="11" max="11" width="18.1875" bestFit="1" customWidth="1"/>
    <col min="12" max="12" width="14.375" bestFit="1" customWidth="1"/>
  </cols>
  <sheetData>
    <row r="4" spans="2:7" x14ac:dyDescent="0.6">
      <c r="B4" s="26"/>
      <c r="C4" s="26"/>
      <c r="D4" s="46" t="s">
        <v>251</v>
      </c>
      <c r="E4" s="46" t="s">
        <v>236</v>
      </c>
      <c r="F4" s="26"/>
      <c r="G4" s="26"/>
    </row>
    <row r="5" spans="2:7" x14ac:dyDescent="0.6">
      <c r="B5" s="26"/>
      <c r="C5" s="26"/>
      <c r="D5" s="51" t="s">
        <v>249</v>
      </c>
      <c r="E5" s="52"/>
      <c r="F5" s="51" t="s">
        <v>250</v>
      </c>
      <c r="G5" s="52"/>
    </row>
    <row r="6" spans="2:7" x14ac:dyDescent="0.6">
      <c r="B6" s="46" t="s">
        <v>234</v>
      </c>
      <c r="C6" s="46" t="s">
        <v>242</v>
      </c>
      <c r="D6" s="47" t="s">
        <v>240</v>
      </c>
      <c r="E6" s="47" t="s">
        <v>237</v>
      </c>
      <c r="F6" s="47" t="s">
        <v>239</v>
      </c>
      <c r="G6" s="47" t="s">
        <v>238</v>
      </c>
    </row>
    <row r="7" spans="2:7" x14ac:dyDescent="0.6">
      <c r="B7" s="51" t="s">
        <v>67</v>
      </c>
      <c r="C7" s="47" t="s">
        <v>241</v>
      </c>
      <c r="D7" s="48">
        <v>66</v>
      </c>
      <c r="E7" s="48" t="s">
        <v>244</v>
      </c>
      <c r="F7" s="48" t="s">
        <v>244</v>
      </c>
      <c r="G7" s="48">
        <v>12</v>
      </c>
    </row>
    <row r="8" spans="2:7" x14ac:dyDescent="0.6">
      <c r="B8" s="52"/>
      <c r="C8" s="47" t="s">
        <v>243</v>
      </c>
      <c r="D8" s="48">
        <v>480000</v>
      </c>
      <c r="E8" s="48" t="s">
        <v>244</v>
      </c>
      <c r="F8" s="48" t="s">
        <v>244</v>
      </c>
      <c r="G8" s="48">
        <v>80000</v>
      </c>
    </row>
    <row r="9" spans="2:7" x14ac:dyDescent="0.6">
      <c r="B9" s="52"/>
      <c r="C9" s="47" t="s">
        <v>245</v>
      </c>
      <c r="D9" s="48">
        <v>54720000</v>
      </c>
      <c r="E9" s="48">
        <v>0</v>
      </c>
      <c r="F9" s="48">
        <v>0</v>
      </c>
      <c r="G9" s="48">
        <v>1600000</v>
      </c>
    </row>
    <row r="10" spans="2:7" x14ac:dyDescent="0.6">
      <c r="B10" s="51" t="s">
        <v>235</v>
      </c>
      <c r="C10" s="47" t="s">
        <v>241</v>
      </c>
      <c r="D10" s="48" t="s">
        <v>244</v>
      </c>
      <c r="E10" s="48">
        <v>63</v>
      </c>
      <c r="F10" s="48" t="s">
        <v>244</v>
      </c>
      <c r="G10" s="48" t="s">
        <v>244</v>
      </c>
    </row>
    <row r="11" spans="2:7" x14ac:dyDescent="0.6">
      <c r="B11" s="52"/>
      <c r="C11" s="47" t="s">
        <v>243</v>
      </c>
      <c r="D11" s="48" t="s">
        <v>244</v>
      </c>
      <c r="E11" s="48">
        <v>345000</v>
      </c>
      <c r="F11" s="48" t="s">
        <v>244</v>
      </c>
      <c r="G11" s="48" t="s">
        <v>244</v>
      </c>
    </row>
    <row r="12" spans="2:7" x14ac:dyDescent="0.6">
      <c r="B12" s="52"/>
      <c r="C12" s="47" t="s">
        <v>245</v>
      </c>
      <c r="D12" s="48">
        <v>0</v>
      </c>
      <c r="E12" s="48">
        <v>26220000</v>
      </c>
      <c r="F12" s="48">
        <v>0</v>
      </c>
      <c r="G12" s="48">
        <v>0</v>
      </c>
    </row>
    <row r="13" spans="2:7" x14ac:dyDescent="0.6">
      <c r="B13" s="51" t="s">
        <v>200</v>
      </c>
      <c r="C13" s="47" t="s">
        <v>241</v>
      </c>
      <c r="D13" s="48">
        <v>37</v>
      </c>
      <c r="E13" s="48" t="s">
        <v>244</v>
      </c>
      <c r="F13" s="48">
        <v>55</v>
      </c>
      <c r="G13" s="48">
        <v>27</v>
      </c>
    </row>
    <row r="14" spans="2:7" x14ac:dyDescent="0.6">
      <c r="B14" s="52"/>
      <c r="C14" s="47" t="s">
        <v>243</v>
      </c>
      <c r="D14" s="48">
        <v>285000</v>
      </c>
      <c r="E14" s="48" t="s">
        <v>244</v>
      </c>
      <c r="F14" s="48">
        <v>380000</v>
      </c>
      <c r="G14" s="48">
        <v>190000</v>
      </c>
    </row>
    <row r="15" spans="2:7" x14ac:dyDescent="0.6">
      <c r="B15" s="52"/>
      <c r="C15" s="47" t="s">
        <v>245</v>
      </c>
      <c r="D15" s="48">
        <v>7980000</v>
      </c>
      <c r="E15" s="48">
        <v>0</v>
      </c>
      <c r="F15" s="48">
        <v>30400000</v>
      </c>
      <c r="G15" s="48">
        <v>3610000</v>
      </c>
    </row>
    <row r="16" spans="2:7" x14ac:dyDescent="0.6">
      <c r="B16" s="51" t="s">
        <v>107</v>
      </c>
      <c r="C16" s="47" t="s">
        <v>241</v>
      </c>
      <c r="D16" s="48">
        <v>50</v>
      </c>
      <c r="E16" s="48">
        <v>15</v>
      </c>
      <c r="F16" s="48">
        <v>15</v>
      </c>
      <c r="G16" s="48">
        <v>29</v>
      </c>
    </row>
    <row r="17" spans="2:7" x14ac:dyDescent="0.6">
      <c r="B17" s="52"/>
      <c r="C17" s="47" t="s">
        <v>243</v>
      </c>
      <c r="D17" s="48">
        <v>200000</v>
      </c>
      <c r="E17" s="48">
        <v>50000</v>
      </c>
      <c r="F17" s="48">
        <v>50000</v>
      </c>
      <c r="G17" s="48">
        <v>100000</v>
      </c>
    </row>
    <row r="18" spans="2:7" x14ac:dyDescent="0.6">
      <c r="B18" s="52"/>
      <c r="C18" s="47" t="s">
        <v>245</v>
      </c>
      <c r="D18" s="48">
        <v>12400000</v>
      </c>
      <c r="E18" s="48">
        <v>850000</v>
      </c>
      <c r="F18" s="48">
        <v>300000</v>
      </c>
      <c r="G18" s="48">
        <v>5500000</v>
      </c>
    </row>
    <row r="19" spans="2:7" x14ac:dyDescent="0.6">
      <c r="B19" s="51" t="s">
        <v>171</v>
      </c>
      <c r="C19" s="47" t="s">
        <v>241</v>
      </c>
      <c r="D19" s="48">
        <v>10</v>
      </c>
      <c r="E19" s="48" t="s">
        <v>244</v>
      </c>
      <c r="F19" s="48">
        <v>22</v>
      </c>
      <c r="G19" s="48">
        <v>66</v>
      </c>
    </row>
    <row r="20" spans="2:7" x14ac:dyDescent="0.6">
      <c r="B20" s="52"/>
      <c r="C20" s="47" t="s">
        <v>243</v>
      </c>
      <c r="D20" s="48">
        <v>80000</v>
      </c>
      <c r="E20" s="48" t="s">
        <v>244</v>
      </c>
      <c r="F20" s="48">
        <v>160000</v>
      </c>
      <c r="G20" s="48">
        <v>400000</v>
      </c>
    </row>
    <row r="21" spans="2:7" x14ac:dyDescent="0.6">
      <c r="B21" s="52"/>
      <c r="C21" s="47" t="s">
        <v>245</v>
      </c>
      <c r="D21" s="48">
        <v>960000</v>
      </c>
      <c r="E21" s="48">
        <v>0</v>
      </c>
      <c r="F21" s="48">
        <v>3680000</v>
      </c>
      <c r="G21" s="48">
        <v>25600000</v>
      </c>
    </row>
  </sheetData>
  <mergeCells count="7">
    <mergeCell ref="B19:B21"/>
    <mergeCell ref="D5:E5"/>
    <mergeCell ref="F5:G5"/>
    <mergeCell ref="B7:B9"/>
    <mergeCell ref="B10:B12"/>
    <mergeCell ref="B13:B15"/>
    <mergeCell ref="B16:B18"/>
  </mergeCells>
  <phoneticPr fontId="3" type="noConversion"/>
  <pageMargins left="0.7" right="0.7" top="0.75" bottom="0.75" header="0.3" footer="0.3"/>
  <pageSetup paperSize="9" orientation="portrait" r:id="rId2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Sheet3"/>
  <dimension ref="B1:G27"/>
  <sheetViews>
    <sheetView workbookViewId="0">
      <selection activeCell="H1" sqref="H1"/>
    </sheetView>
  </sheetViews>
  <sheetFormatPr defaultRowHeight="16.899999999999999" x14ac:dyDescent="0.6"/>
  <cols>
    <col min="1" max="1" width="3.375" customWidth="1"/>
    <col min="2" max="2" width="7.125" bestFit="1" customWidth="1"/>
    <col min="3" max="3" width="8.875" customWidth="1"/>
    <col min="4" max="4" width="7" customWidth="1"/>
    <col min="5" max="5" width="13.25" customWidth="1"/>
    <col min="6" max="6" width="17.25" customWidth="1"/>
    <col min="7" max="7" width="10.625" customWidth="1"/>
  </cols>
  <sheetData>
    <row r="1" spans="2:7" x14ac:dyDescent="0.6">
      <c r="B1" t="s">
        <v>5</v>
      </c>
    </row>
    <row r="2" spans="2:7" x14ac:dyDescent="0.6">
      <c r="B2" s="19" t="s">
        <v>2</v>
      </c>
      <c r="C2" s="19" t="s">
        <v>57</v>
      </c>
      <c r="D2" s="19" t="s">
        <v>56</v>
      </c>
      <c r="E2" s="19" t="s">
        <v>55</v>
      </c>
      <c r="F2" s="19" t="s">
        <v>54</v>
      </c>
      <c r="G2" s="19" t="s">
        <v>53</v>
      </c>
    </row>
    <row r="3" spans="2:7" x14ac:dyDescent="0.6">
      <c r="B3" s="19" t="s">
        <v>41</v>
      </c>
      <c r="C3" s="19" t="s">
        <v>52</v>
      </c>
      <c r="D3" s="19" t="s">
        <v>10</v>
      </c>
      <c r="E3" s="20">
        <v>39121</v>
      </c>
      <c r="F3" s="19" t="s">
        <v>51</v>
      </c>
      <c r="G3" s="19">
        <v>15</v>
      </c>
    </row>
    <row r="4" spans="2:7" x14ac:dyDescent="0.6">
      <c r="B4" s="19" t="s">
        <v>41</v>
      </c>
      <c r="C4" s="19" t="s">
        <v>48</v>
      </c>
      <c r="D4" s="19" t="s">
        <v>7</v>
      </c>
      <c r="E4" s="20">
        <v>39262</v>
      </c>
      <c r="F4" s="19" t="s">
        <v>47</v>
      </c>
      <c r="G4" s="19">
        <v>15</v>
      </c>
    </row>
    <row r="5" spans="2:7" x14ac:dyDescent="0.6">
      <c r="B5" s="19" t="s">
        <v>41</v>
      </c>
      <c r="C5" s="19" t="s">
        <v>42</v>
      </c>
      <c r="D5" s="19" t="s">
        <v>10</v>
      </c>
      <c r="E5" s="20">
        <v>39143</v>
      </c>
      <c r="F5" s="19"/>
      <c r="G5" s="19">
        <v>15</v>
      </c>
    </row>
    <row r="6" spans="2:7" x14ac:dyDescent="0.6">
      <c r="B6" s="19" t="s">
        <v>41</v>
      </c>
      <c r="C6" s="19" t="s">
        <v>40</v>
      </c>
      <c r="D6" s="19" t="s">
        <v>7</v>
      </c>
      <c r="E6" s="20">
        <v>39346</v>
      </c>
      <c r="F6" s="19" t="s">
        <v>39</v>
      </c>
      <c r="G6" s="19">
        <v>15</v>
      </c>
    </row>
    <row r="7" spans="2:7" x14ac:dyDescent="0.6">
      <c r="B7" s="19" t="s">
        <v>24</v>
      </c>
      <c r="C7" s="19" t="s">
        <v>37</v>
      </c>
      <c r="D7" s="19" t="s">
        <v>10</v>
      </c>
      <c r="E7" s="20">
        <v>39189</v>
      </c>
      <c r="F7" s="19" t="s">
        <v>36</v>
      </c>
      <c r="G7" s="19">
        <v>15</v>
      </c>
    </row>
    <row r="8" spans="2:7" x14ac:dyDescent="0.6">
      <c r="B8" s="19" t="s">
        <v>24</v>
      </c>
      <c r="C8" s="19" t="s">
        <v>33</v>
      </c>
      <c r="D8" s="19" t="s">
        <v>10</v>
      </c>
      <c r="E8" s="20">
        <v>39121</v>
      </c>
      <c r="F8" s="19"/>
      <c r="G8" s="19">
        <v>15</v>
      </c>
    </row>
    <row r="9" spans="2:7" x14ac:dyDescent="0.6">
      <c r="B9" s="19" t="s">
        <v>24</v>
      </c>
      <c r="C9" s="19" t="s">
        <v>26</v>
      </c>
      <c r="D9" s="19" t="s">
        <v>7</v>
      </c>
      <c r="E9" s="20">
        <v>39423</v>
      </c>
      <c r="F9" s="19" t="s">
        <v>25</v>
      </c>
      <c r="G9" s="19">
        <v>15</v>
      </c>
    </row>
    <row r="10" spans="2:7" x14ac:dyDescent="0.6">
      <c r="B10" s="19" t="s">
        <v>24</v>
      </c>
      <c r="C10" s="19" t="s">
        <v>23</v>
      </c>
      <c r="D10" s="19" t="s">
        <v>10</v>
      </c>
      <c r="E10" s="20">
        <v>39202</v>
      </c>
      <c r="F10" s="19" t="s">
        <v>22</v>
      </c>
      <c r="G10" s="19">
        <v>15</v>
      </c>
    </row>
    <row r="11" spans="2:7" x14ac:dyDescent="0.6">
      <c r="B11" s="19" t="s">
        <v>9</v>
      </c>
      <c r="C11" s="19" t="s">
        <v>15</v>
      </c>
      <c r="D11" s="19" t="s">
        <v>7</v>
      </c>
      <c r="E11" s="20">
        <v>39365</v>
      </c>
      <c r="F11" s="19" t="s">
        <v>14</v>
      </c>
      <c r="G11" s="19">
        <v>15</v>
      </c>
    </row>
    <row r="12" spans="2:7" x14ac:dyDescent="0.6">
      <c r="B12" s="19" t="s">
        <v>9</v>
      </c>
      <c r="C12" s="19" t="s">
        <v>13</v>
      </c>
      <c r="D12" s="19" t="s">
        <v>10</v>
      </c>
      <c r="E12" s="20">
        <v>39334</v>
      </c>
      <c r="F12" s="19" t="s">
        <v>12</v>
      </c>
      <c r="G12" s="19">
        <v>15</v>
      </c>
    </row>
    <row r="13" spans="2:7" x14ac:dyDescent="0.6">
      <c r="B13" s="19" t="s">
        <v>9</v>
      </c>
      <c r="C13" s="19" t="s">
        <v>11</v>
      </c>
      <c r="D13" s="19" t="s">
        <v>10</v>
      </c>
      <c r="E13" s="20">
        <v>39251</v>
      </c>
      <c r="F13" s="19"/>
      <c r="G13" s="19">
        <v>15</v>
      </c>
    </row>
    <row r="14" spans="2:7" x14ac:dyDescent="0.6">
      <c r="B14" s="19" t="s">
        <v>41</v>
      </c>
      <c r="C14" s="19" t="s">
        <v>50</v>
      </c>
      <c r="D14" s="19" t="s">
        <v>7</v>
      </c>
      <c r="E14" s="20">
        <v>39223</v>
      </c>
      <c r="F14" s="19" t="s">
        <v>49</v>
      </c>
      <c r="G14" s="19">
        <v>13</v>
      </c>
    </row>
    <row r="15" spans="2:7" x14ac:dyDescent="0.6">
      <c r="B15" s="19" t="s">
        <v>41</v>
      </c>
      <c r="C15" s="19" t="s">
        <v>50</v>
      </c>
      <c r="D15" s="19" t="s">
        <v>7</v>
      </c>
      <c r="E15" s="20">
        <v>39304</v>
      </c>
      <c r="F15" s="19" t="s">
        <v>49</v>
      </c>
      <c r="G15" s="19">
        <v>12</v>
      </c>
    </row>
    <row r="16" spans="2:7" x14ac:dyDescent="0.6">
      <c r="B16" s="19" t="s">
        <v>41</v>
      </c>
      <c r="C16" s="19" t="s">
        <v>46</v>
      </c>
      <c r="D16" s="19" t="s">
        <v>7</v>
      </c>
      <c r="E16" s="20">
        <v>39137</v>
      </c>
      <c r="F16" s="19" t="s">
        <v>12</v>
      </c>
      <c r="G16" s="19">
        <v>14</v>
      </c>
    </row>
    <row r="17" spans="2:7" x14ac:dyDescent="0.6">
      <c r="B17" s="19" t="s">
        <v>41</v>
      </c>
      <c r="C17" s="19" t="s">
        <v>44</v>
      </c>
      <c r="D17" s="19" t="s">
        <v>7</v>
      </c>
      <c r="E17" s="20">
        <v>39336</v>
      </c>
      <c r="F17" s="19" t="s">
        <v>45</v>
      </c>
      <c r="G17" s="19">
        <v>13</v>
      </c>
    </row>
    <row r="18" spans="2:7" x14ac:dyDescent="0.6">
      <c r="B18" s="19" t="s">
        <v>41</v>
      </c>
      <c r="C18" s="19" t="s">
        <v>44</v>
      </c>
      <c r="D18" s="19" t="s">
        <v>7</v>
      </c>
      <c r="E18" s="20">
        <v>39336</v>
      </c>
      <c r="F18" s="19" t="s">
        <v>43</v>
      </c>
      <c r="G18" s="19">
        <v>11</v>
      </c>
    </row>
    <row r="19" spans="2:7" x14ac:dyDescent="0.6">
      <c r="B19" s="19" t="s">
        <v>24</v>
      </c>
      <c r="C19" s="19" t="s">
        <v>38</v>
      </c>
      <c r="D19" s="19" t="s">
        <v>7</v>
      </c>
      <c r="E19" s="20">
        <v>39116</v>
      </c>
      <c r="F19" s="19" t="s">
        <v>14</v>
      </c>
      <c r="G19" s="19">
        <v>10</v>
      </c>
    </row>
    <row r="20" spans="2:7" x14ac:dyDescent="0.6">
      <c r="B20" s="19" t="s">
        <v>24</v>
      </c>
      <c r="C20" s="19" t="s">
        <v>35</v>
      </c>
      <c r="D20" s="19" t="s">
        <v>10</v>
      </c>
      <c r="E20" s="20">
        <v>39426</v>
      </c>
      <c r="F20" s="19" t="s">
        <v>34</v>
      </c>
      <c r="G20" s="19">
        <v>13</v>
      </c>
    </row>
    <row r="21" spans="2:7" x14ac:dyDescent="0.6">
      <c r="B21" s="19" t="s">
        <v>24</v>
      </c>
      <c r="C21" s="19" t="s">
        <v>32</v>
      </c>
      <c r="D21" s="19" t="s">
        <v>10</v>
      </c>
      <c r="E21" s="20">
        <v>39303</v>
      </c>
      <c r="F21" s="19" t="s">
        <v>31</v>
      </c>
      <c r="G21" s="19">
        <v>14</v>
      </c>
    </row>
    <row r="22" spans="2:7" x14ac:dyDescent="0.6">
      <c r="B22" s="19" t="s">
        <v>24</v>
      </c>
      <c r="C22" s="19" t="s">
        <v>30</v>
      </c>
      <c r="D22" s="19" t="s">
        <v>10</v>
      </c>
      <c r="E22" s="20">
        <v>39341</v>
      </c>
      <c r="F22" s="19" t="s">
        <v>29</v>
      </c>
      <c r="G22" s="19">
        <v>13</v>
      </c>
    </row>
    <row r="23" spans="2:7" x14ac:dyDescent="0.6">
      <c r="B23" s="19" t="s">
        <v>24</v>
      </c>
      <c r="C23" s="19" t="s">
        <v>28</v>
      </c>
      <c r="D23" s="19" t="s">
        <v>7</v>
      </c>
      <c r="E23" s="20">
        <v>39085</v>
      </c>
      <c r="F23" s="19" t="s">
        <v>27</v>
      </c>
      <c r="G23" s="19">
        <v>12</v>
      </c>
    </row>
    <row r="24" spans="2:7" x14ac:dyDescent="0.6">
      <c r="B24" s="19" t="s">
        <v>9</v>
      </c>
      <c r="C24" s="19" t="s">
        <v>21</v>
      </c>
      <c r="D24" s="19" t="s">
        <v>10</v>
      </c>
      <c r="E24" s="20">
        <v>39084</v>
      </c>
      <c r="F24" s="19" t="s">
        <v>20</v>
      </c>
      <c r="G24" s="19">
        <v>14</v>
      </c>
    </row>
    <row r="25" spans="2:7" x14ac:dyDescent="0.6">
      <c r="B25" s="19" t="s">
        <v>9</v>
      </c>
      <c r="C25" s="19" t="s">
        <v>19</v>
      </c>
      <c r="D25" s="19" t="s">
        <v>10</v>
      </c>
      <c r="E25" s="20">
        <v>39331</v>
      </c>
      <c r="F25" s="19" t="s">
        <v>18</v>
      </c>
      <c r="G25" s="19">
        <v>12</v>
      </c>
    </row>
    <row r="26" spans="2:7" x14ac:dyDescent="0.6">
      <c r="B26" s="19" t="s">
        <v>9</v>
      </c>
      <c r="C26" s="19" t="s">
        <v>17</v>
      </c>
      <c r="D26" s="19" t="s">
        <v>7</v>
      </c>
      <c r="E26" s="20">
        <v>39440</v>
      </c>
      <c r="F26" s="19" t="s">
        <v>16</v>
      </c>
      <c r="G26" s="19">
        <v>9</v>
      </c>
    </row>
    <row r="27" spans="2:7" x14ac:dyDescent="0.6">
      <c r="B27" s="19" t="s">
        <v>9</v>
      </c>
      <c r="C27" s="19" t="s">
        <v>8</v>
      </c>
      <c r="D27" s="19" t="s">
        <v>7</v>
      </c>
      <c r="E27" s="20">
        <v>39321</v>
      </c>
      <c r="F27" s="19" t="s">
        <v>6</v>
      </c>
      <c r="G27" s="19">
        <v>14</v>
      </c>
    </row>
  </sheetData>
  <sortState xmlns:x14="http://schemas.microsoft.com/office/spreadsheetml/2009/9/main" xmlns:xlrd2="http://schemas.microsoft.com/office/spreadsheetml/2017/richdata2" ref="B3:G27">
    <mc:AlternateContent xmlns:mc="http://schemas.openxmlformats.org/markup-compatibility/2006">
      <mc:Choice Requires="x14">
        <x14:sortCondition sortBy="icon" ref="G3:G27" iconSet="3Stars" iconId="2"/>
      </mc:Choice>
    </mc:AlternateContent>
  </sortState>
  <phoneticPr fontId="3" type="noConversion"/>
  <pageMargins left="0.7" right="0.7" top="0.75" bottom="0.75" header="0.3" footer="0.3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iconSet" priority="1" id="{94693A06-7FEF-457F-8E4A-59222549C41E}">
            <x14:iconSet iconSet="3Stars">
              <x14:cfvo type="percent">
                <xm:f>0</xm:f>
              </x14:cfvo>
              <x14:cfvo type="num">
                <xm:f>12</xm:f>
              </x14:cfvo>
              <x14:cfvo type="num">
                <xm:f>15</xm:f>
              </x14:cfvo>
            </x14:iconSet>
          </x14:cfRule>
          <xm:sqref>G3:G27</xm:sqref>
        </x14:conditionalFormatting>
      </x14:conditionalFormattings>
    </ext>
  </extLst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sheetPr codeName="Sheet10"/>
  <dimension ref="A1:E13"/>
  <sheetViews>
    <sheetView zoomScaleNormal="100" workbookViewId="0">
      <selection activeCell="F1" sqref="F1"/>
    </sheetView>
  </sheetViews>
  <sheetFormatPr defaultRowHeight="16.899999999999999" x14ac:dyDescent="0.6"/>
  <cols>
    <col min="2" max="2" width="10.0625" bestFit="1" customWidth="1"/>
    <col min="6" max="6" width="5.3125" customWidth="1"/>
  </cols>
  <sheetData>
    <row r="1" spans="1:5" x14ac:dyDescent="0.6">
      <c r="A1" t="s">
        <v>172</v>
      </c>
    </row>
    <row r="3" spans="1:5" x14ac:dyDescent="0.6">
      <c r="A3" s="26" t="s">
        <v>173</v>
      </c>
      <c r="B3" s="26" t="s">
        <v>174</v>
      </c>
      <c r="C3" s="26" t="s">
        <v>175</v>
      </c>
      <c r="D3" s="26" t="s">
        <v>176</v>
      </c>
      <c r="E3" s="26" t="s">
        <v>177</v>
      </c>
    </row>
    <row r="4" spans="1:5" x14ac:dyDescent="0.6">
      <c r="A4" s="26">
        <v>1</v>
      </c>
      <c r="B4" s="26" t="s">
        <v>178</v>
      </c>
      <c r="C4" s="26">
        <v>14</v>
      </c>
      <c r="D4" s="26">
        <v>14</v>
      </c>
      <c r="E4" s="26">
        <v>11</v>
      </c>
    </row>
    <row r="5" spans="1:5" x14ac:dyDescent="0.6">
      <c r="A5" s="26">
        <v>2</v>
      </c>
      <c r="B5" s="26" t="s">
        <v>179</v>
      </c>
      <c r="C5" s="26">
        <v>14</v>
      </c>
      <c r="D5" s="26">
        <v>10</v>
      </c>
      <c r="E5" s="26">
        <v>7</v>
      </c>
    </row>
    <row r="6" spans="1:5" x14ac:dyDescent="0.6">
      <c r="A6" s="26">
        <v>3</v>
      </c>
      <c r="B6" s="26" t="s">
        <v>180</v>
      </c>
      <c r="C6" s="26">
        <v>11</v>
      </c>
      <c r="D6" s="26">
        <v>8</v>
      </c>
      <c r="E6" s="26">
        <v>10</v>
      </c>
    </row>
    <row r="7" spans="1:5" x14ac:dyDescent="0.6">
      <c r="A7" s="26">
        <v>4</v>
      </c>
      <c r="B7" s="26" t="s">
        <v>181</v>
      </c>
      <c r="C7" s="26">
        <v>9</v>
      </c>
      <c r="D7" s="26">
        <v>8</v>
      </c>
      <c r="E7" s="26">
        <v>6</v>
      </c>
    </row>
    <row r="8" spans="1:5" x14ac:dyDescent="0.6">
      <c r="A8" s="26">
        <v>5</v>
      </c>
      <c r="B8" s="26" t="s">
        <v>182</v>
      </c>
      <c r="C8" s="26">
        <v>8</v>
      </c>
      <c r="D8" s="26">
        <v>6</v>
      </c>
      <c r="E8" s="26">
        <v>6</v>
      </c>
    </row>
    <row r="9" spans="1:5" x14ac:dyDescent="0.6">
      <c r="A9" s="26">
        <v>6</v>
      </c>
      <c r="B9" s="26" t="s">
        <v>183</v>
      </c>
      <c r="C9" s="26">
        <v>7</v>
      </c>
      <c r="D9" s="26">
        <v>6</v>
      </c>
      <c r="E9" s="26">
        <v>1</v>
      </c>
    </row>
    <row r="10" spans="1:5" x14ac:dyDescent="0.6">
      <c r="A10" s="26">
        <v>7</v>
      </c>
      <c r="B10" s="26" t="s">
        <v>184</v>
      </c>
      <c r="C10" s="26">
        <v>5</v>
      </c>
      <c r="D10" s="26">
        <v>8</v>
      </c>
      <c r="E10" s="26">
        <v>4</v>
      </c>
    </row>
    <row r="11" spans="1:5" x14ac:dyDescent="0.6">
      <c r="A11" s="26">
        <v>8</v>
      </c>
      <c r="B11" s="26" t="s">
        <v>185</v>
      </c>
      <c r="C11" s="26">
        <v>5</v>
      </c>
      <c r="D11" s="26">
        <v>6</v>
      </c>
      <c r="E11" s="26">
        <v>4</v>
      </c>
    </row>
    <row r="12" spans="1:5" x14ac:dyDescent="0.6">
      <c r="A12" s="26">
        <v>9</v>
      </c>
      <c r="B12" s="26" t="s">
        <v>186</v>
      </c>
      <c r="C12" s="26">
        <v>5</v>
      </c>
      <c r="D12" s="26">
        <v>4</v>
      </c>
      <c r="E12" s="26">
        <v>6</v>
      </c>
    </row>
    <row r="13" spans="1:5" x14ac:dyDescent="0.6">
      <c r="A13" s="26">
        <v>10</v>
      </c>
      <c r="B13" s="26" t="s">
        <v>187</v>
      </c>
      <c r="C13" s="26">
        <v>5</v>
      </c>
      <c r="D13" s="26">
        <v>3</v>
      </c>
      <c r="E13" s="26">
        <v>6</v>
      </c>
    </row>
  </sheetData>
  <phoneticPr fontId="3" type="noConversion"/>
  <pageMargins left="0.7" right="0.7" top="0.75" bottom="0.75" header="0.3" footer="0.3"/>
  <pageSetup paperSize="9" orientation="portrait" horizontalDpi="4294967292" r:id="rId1"/>
  <drawing r:id="rId2"/>
</worksheet>
</file>

<file path=xl/worksheets/sheet8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600-000000000000}">
  <sheetPr codeName="Sheet6"/>
  <dimension ref="B1:M31"/>
  <sheetViews>
    <sheetView workbookViewId="0"/>
  </sheetViews>
  <sheetFormatPr defaultColWidth="9" defaultRowHeight="18" customHeight="1" x14ac:dyDescent="0.6"/>
  <cols>
    <col min="1" max="4" width="9" style="16"/>
    <col min="5" max="12" width="11.125" style="16" customWidth="1"/>
    <col min="13" max="13" width="8.375" style="16" customWidth="1"/>
    <col min="14" max="16384" width="9" style="16"/>
  </cols>
  <sheetData>
    <row r="1" spans="2:13" ht="18" customHeight="1" x14ac:dyDescent="0.6">
      <c r="B1" s="16" t="s">
        <v>248</v>
      </c>
    </row>
    <row r="3" spans="2:13" ht="18" customHeight="1" x14ac:dyDescent="0.6">
      <c r="B3" s="23" t="s">
        <v>3</v>
      </c>
      <c r="C3" s="22" t="s">
        <v>2</v>
      </c>
      <c r="D3" s="22" t="s">
        <v>1</v>
      </c>
      <c r="E3" s="21">
        <v>45048</v>
      </c>
      <c r="F3" s="21">
        <f>E3+7</f>
        <v>45055</v>
      </c>
      <c r="G3" s="21">
        <f t="shared" ref="G3:L3" si="0">F3+7</f>
        <v>45062</v>
      </c>
      <c r="H3" s="21">
        <f t="shared" si="0"/>
        <v>45069</v>
      </c>
      <c r="I3" s="21">
        <f t="shared" si="0"/>
        <v>45076</v>
      </c>
      <c r="J3" s="21">
        <f t="shared" si="0"/>
        <v>45083</v>
      </c>
      <c r="K3" s="21">
        <f t="shared" si="0"/>
        <v>45090</v>
      </c>
      <c r="L3" s="21">
        <f t="shared" si="0"/>
        <v>45097</v>
      </c>
      <c r="M3" s="18" t="s">
        <v>211</v>
      </c>
    </row>
    <row r="4" spans="2:13" ht="18" customHeight="1" x14ac:dyDescent="0.6">
      <c r="B4" s="10">
        <v>1</v>
      </c>
      <c r="C4" s="13" t="s">
        <v>188</v>
      </c>
      <c r="D4" s="10" t="s">
        <v>195</v>
      </c>
      <c r="E4" s="49">
        <v>1</v>
      </c>
      <c r="F4" s="49">
        <v>1</v>
      </c>
      <c r="G4" s="49">
        <v>-1</v>
      </c>
      <c r="H4" s="49">
        <v>1</v>
      </c>
      <c r="I4" s="49">
        <v>1</v>
      </c>
      <c r="J4" s="49">
        <v>1</v>
      </c>
      <c r="K4" s="49">
        <v>1</v>
      </c>
      <c r="L4" s="49">
        <v>1</v>
      </c>
      <c r="M4" s="17">
        <f>SUM(E4:L4)</f>
        <v>6</v>
      </c>
    </row>
    <row r="5" spans="2:13" ht="18" customHeight="1" x14ac:dyDescent="0.6">
      <c r="B5" s="15">
        <v>1</v>
      </c>
      <c r="C5" s="14" t="s">
        <v>188</v>
      </c>
      <c r="D5" s="10" t="s">
        <v>201</v>
      </c>
      <c r="E5" s="49">
        <v>1</v>
      </c>
      <c r="F5" s="49">
        <v>1</v>
      </c>
      <c r="G5" s="49">
        <v>0</v>
      </c>
      <c r="H5" s="49">
        <v>1</v>
      </c>
      <c r="I5" s="49">
        <v>1</v>
      </c>
      <c r="J5" s="49">
        <v>1</v>
      </c>
      <c r="K5" s="49">
        <v>1</v>
      </c>
      <c r="L5" s="49">
        <v>1</v>
      </c>
      <c r="M5" s="17">
        <f t="shared" ref="M5:M31" si="1">SUM(E5:L5)</f>
        <v>7</v>
      </c>
    </row>
    <row r="6" spans="2:13" ht="18" customHeight="1" x14ac:dyDescent="0.6">
      <c r="B6" s="10">
        <v>1</v>
      </c>
      <c r="C6" s="13" t="s">
        <v>188</v>
      </c>
      <c r="D6" s="10" t="s">
        <v>196</v>
      </c>
      <c r="E6" s="49">
        <v>0</v>
      </c>
      <c r="F6" s="49">
        <v>1</v>
      </c>
      <c r="G6" s="49">
        <v>1</v>
      </c>
      <c r="H6" s="49">
        <v>1</v>
      </c>
      <c r="I6" s="49">
        <v>1</v>
      </c>
      <c r="J6" s="49">
        <v>-1</v>
      </c>
      <c r="K6" s="49">
        <v>1</v>
      </c>
      <c r="L6" s="49">
        <v>1</v>
      </c>
      <c r="M6" s="17">
        <f t="shared" si="1"/>
        <v>5</v>
      </c>
    </row>
    <row r="7" spans="2:13" ht="18" customHeight="1" x14ac:dyDescent="0.6">
      <c r="B7" s="8">
        <v>1</v>
      </c>
      <c r="C7" s="9" t="s">
        <v>188</v>
      </c>
      <c r="D7" s="10" t="s">
        <v>85</v>
      </c>
      <c r="E7" s="49">
        <v>1</v>
      </c>
      <c r="F7" s="49">
        <v>1</v>
      </c>
      <c r="G7" s="49">
        <v>1</v>
      </c>
      <c r="H7" s="49">
        <v>1</v>
      </c>
      <c r="I7" s="49">
        <v>1</v>
      </c>
      <c r="J7" s="49">
        <v>1</v>
      </c>
      <c r="K7" s="49">
        <v>1</v>
      </c>
      <c r="L7" s="49">
        <v>1</v>
      </c>
      <c r="M7" s="17">
        <f t="shared" si="1"/>
        <v>8</v>
      </c>
    </row>
    <row r="8" spans="2:13" ht="18" customHeight="1" x14ac:dyDescent="0.6">
      <c r="B8" s="8">
        <v>1</v>
      </c>
      <c r="C8" s="9" t="s">
        <v>188</v>
      </c>
      <c r="D8" s="10" t="s">
        <v>107</v>
      </c>
      <c r="E8" s="49">
        <v>0</v>
      </c>
      <c r="F8" s="49">
        <v>1</v>
      </c>
      <c r="G8" s="49">
        <v>1</v>
      </c>
      <c r="H8" s="49">
        <v>1</v>
      </c>
      <c r="I8" s="49">
        <v>1</v>
      </c>
      <c r="J8" s="49">
        <v>1</v>
      </c>
      <c r="K8" s="49">
        <v>1</v>
      </c>
      <c r="L8" s="49">
        <v>1</v>
      </c>
      <c r="M8" s="17">
        <f t="shared" si="1"/>
        <v>7</v>
      </c>
    </row>
    <row r="9" spans="2:13" ht="18" customHeight="1" x14ac:dyDescent="0.6">
      <c r="B9" s="8">
        <v>1</v>
      </c>
      <c r="C9" s="9" t="s">
        <v>189</v>
      </c>
      <c r="D9" s="10" t="s">
        <v>197</v>
      </c>
      <c r="E9" s="49">
        <v>1</v>
      </c>
      <c r="F9" s="49">
        <v>1</v>
      </c>
      <c r="G9" s="49">
        <v>-1</v>
      </c>
      <c r="H9" s="49">
        <v>1</v>
      </c>
      <c r="I9" s="49">
        <v>1</v>
      </c>
      <c r="J9" s="49">
        <v>1</v>
      </c>
      <c r="K9" s="49">
        <v>0</v>
      </c>
      <c r="L9" s="49">
        <v>0</v>
      </c>
      <c r="M9" s="17">
        <f t="shared" si="1"/>
        <v>4</v>
      </c>
    </row>
    <row r="10" spans="2:13" ht="18" customHeight="1" x14ac:dyDescent="0.6">
      <c r="B10" s="9">
        <v>1</v>
      </c>
      <c r="C10" s="9" t="s">
        <v>189</v>
      </c>
      <c r="D10" s="10" t="s">
        <v>79</v>
      </c>
      <c r="E10" s="49">
        <v>0</v>
      </c>
      <c r="F10" s="49">
        <v>1</v>
      </c>
      <c r="G10" s="49">
        <v>1</v>
      </c>
      <c r="H10" s="49">
        <v>1</v>
      </c>
      <c r="I10" s="49">
        <v>0</v>
      </c>
      <c r="J10" s="49">
        <v>1</v>
      </c>
      <c r="K10" s="49">
        <v>1</v>
      </c>
      <c r="L10" s="49">
        <v>1</v>
      </c>
      <c r="M10" s="17">
        <f t="shared" si="1"/>
        <v>6</v>
      </c>
    </row>
    <row r="11" spans="2:13" ht="18" customHeight="1" x14ac:dyDescent="0.6">
      <c r="B11" s="6">
        <v>1</v>
      </c>
      <c r="C11" s="7" t="s">
        <v>189</v>
      </c>
      <c r="D11" s="10" t="s">
        <v>192</v>
      </c>
      <c r="E11" s="49">
        <v>1</v>
      </c>
      <c r="F11" s="49">
        <v>1</v>
      </c>
      <c r="G11" s="49">
        <v>1</v>
      </c>
      <c r="H11" s="49">
        <v>1</v>
      </c>
      <c r="I11" s="49">
        <v>1</v>
      </c>
      <c r="J11" s="49">
        <v>1</v>
      </c>
      <c r="K11" s="49">
        <v>1</v>
      </c>
      <c r="L11" s="49">
        <v>1</v>
      </c>
      <c r="M11" s="17">
        <f t="shared" si="1"/>
        <v>8</v>
      </c>
    </row>
    <row r="12" spans="2:13" ht="18" customHeight="1" x14ac:dyDescent="0.6">
      <c r="B12" s="6">
        <v>1</v>
      </c>
      <c r="C12" s="7" t="s">
        <v>189</v>
      </c>
      <c r="D12" s="10" t="s">
        <v>83</v>
      </c>
      <c r="E12" s="49">
        <v>1</v>
      </c>
      <c r="F12" s="49">
        <v>1</v>
      </c>
      <c r="G12" s="49">
        <v>1</v>
      </c>
      <c r="H12" s="49">
        <v>1</v>
      </c>
      <c r="I12" s="49">
        <v>1</v>
      </c>
      <c r="J12" s="49">
        <v>1</v>
      </c>
      <c r="K12" s="49">
        <v>1</v>
      </c>
      <c r="L12" s="49">
        <v>1</v>
      </c>
      <c r="M12" s="17">
        <f t="shared" si="1"/>
        <v>8</v>
      </c>
    </row>
    <row r="13" spans="2:13" ht="18" customHeight="1" x14ac:dyDescent="0.6">
      <c r="B13" s="6">
        <v>1</v>
      </c>
      <c r="C13" s="7" t="s">
        <v>189</v>
      </c>
      <c r="D13" s="10" t="s">
        <v>199</v>
      </c>
      <c r="E13" s="49">
        <v>1</v>
      </c>
      <c r="F13" s="49">
        <v>1</v>
      </c>
      <c r="G13" s="49">
        <v>1</v>
      </c>
      <c r="H13" s="49">
        <v>0</v>
      </c>
      <c r="I13" s="49">
        <v>1</v>
      </c>
      <c r="J13" s="49">
        <v>0</v>
      </c>
      <c r="K13" s="49">
        <v>0</v>
      </c>
      <c r="L13" s="49">
        <v>0</v>
      </c>
      <c r="M13" s="17">
        <f t="shared" si="1"/>
        <v>4</v>
      </c>
    </row>
    <row r="14" spans="2:13" ht="18" customHeight="1" x14ac:dyDescent="0.6">
      <c r="B14" s="9">
        <v>2</v>
      </c>
      <c r="C14" s="9" t="s">
        <v>188</v>
      </c>
      <c r="D14" s="10" t="s">
        <v>171</v>
      </c>
      <c r="E14" s="49">
        <v>1</v>
      </c>
      <c r="F14" s="49">
        <v>1</v>
      </c>
      <c r="G14" s="49">
        <v>1</v>
      </c>
      <c r="H14" s="49">
        <v>1</v>
      </c>
      <c r="I14" s="49">
        <v>1</v>
      </c>
      <c r="J14" s="49">
        <v>1</v>
      </c>
      <c r="K14" s="49">
        <v>1</v>
      </c>
      <c r="L14" s="49">
        <v>1</v>
      </c>
      <c r="M14" s="17">
        <f t="shared" si="1"/>
        <v>8</v>
      </c>
    </row>
    <row r="15" spans="2:13" ht="18" customHeight="1" x14ac:dyDescent="0.6">
      <c r="B15" s="8">
        <v>2</v>
      </c>
      <c r="C15" s="9" t="s">
        <v>188</v>
      </c>
      <c r="D15" s="10" t="s">
        <v>208</v>
      </c>
      <c r="E15" s="49">
        <v>1</v>
      </c>
      <c r="F15" s="49">
        <v>1</v>
      </c>
      <c r="G15" s="49">
        <v>1</v>
      </c>
      <c r="H15" s="49">
        <v>-1</v>
      </c>
      <c r="I15" s="49">
        <v>1</v>
      </c>
      <c r="J15" s="49"/>
      <c r="K15" s="49">
        <v>1</v>
      </c>
      <c r="L15" s="49">
        <v>1</v>
      </c>
      <c r="M15" s="17">
        <f t="shared" si="1"/>
        <v>5</v>
      </c>
    </row>
    <row r="16" spans="2:13" ht="18" customHeight="1" x14ac:dyDescent="0.6">
      <c r="B16" s="12">
        <v>2</v>
      </c>
      <c r="C16" s="11" t="s">
        <v>188</v>
      </c>
      <c r="D16" s="10" t="s">
        <v>205</v>
      </c>
      <c r="E16" s="49">
        <v>1</v>
      </c>
      <c r="F16" s="49">
        <v>-1</v>
      </c>
      <c r="G16" s="49">
        <v>1</v>
      </c>
      <c r="H16" s="49">
        <v>1</v>
      </c>
      <c r="I16" s="49">
        <v>1</v>
      </c>
      <c r="J16" s="49">
        <v>1</v>
      </c>
      <c r="K16" s="49">
        <v>1</v>
      </c>
      <c r="L16" s="49">
        <v>1</v>
      </c>
      <c r="M16" s="17">
        <f t="shared" si="1"/>
        <v>6</v>
      </c>
    </row>
    <row r="17" spans="2:13" ht="18" customHeight="1" x14ac:dyDescent="0.6">
      <c r="B17" s="10">
        <v>2</v>
      </c>
      <c r="C17" s="11" t="s">
        <v>188</v>
      </c>
      <c r="D17" s="10" t="s">
        <v>209</v>
      </c>
      <c r="E17" s="49">
        <v>1</v>
      </c>
      <c r="F17" s="49">
        <v>1</v>
      </c>
      <c r="G17" s="49">
        <v>1</v>
      </c>
      <c r="H17" s="49">
        <v>1</v>
      </c>
      <c r="I17" s="49">
        <v>1</v>
      </c>
      <c r="J17" s="49">
        <v>1</v>
      </c>
      <c r="K17" s="49">
        <v>1</v>
      </c>
      <c r="L17" s="49">
        <v>1</v>
      </c>
      <c r="M17" s="17">
        <f t="shared" si="1"/>
        <v>8</v>
      </c>
    </row>
    <row r="18" spans="2:13" ht="18" customHeight="1" x14ac:dyDescent="0.6">
      <c r="B18" s="10">
        <v>2</v>
      </c>
      <c r="C18" s="11" t="s">
        <v>188</v>
      </c>
      <c r="D18" s="10" t="s">
        <v>204</v>
      </c>
      <c r="E18" s="49">
        <v>1</v>
      </c>
      <c r="F18" s="49">
        <v>1</v>
      </c>
      <c r="G18" s="49">
        <v>1</v>
      </c>
      <c r="H18" s="49">
        <v>1</v>
      </c>
      <c r="I18" s="49">
        <v>1</v>
      </c>
      <c r="J18" s="49">
        <v>1</v>
      </c>
      <c r="K18" s="49">
        <v>1</v>
      </c>
      <c r="L18" s="49">
        <v>1</v>
      </c>
      <c r="M18" s="17">
        <f t="shared" si="1"/>
        <v>8</v>
      </c>
    </row>
    <row r="19" spans="2:13" ht="18" customHeight="1" x14ac:dyDescent="0.6">
      <c r="B19" s="10">
        <v>2</v>
      </c>
      <c r="C19" s="11" t="s">
        <v>188</v>
      </c>
      <c r="D19" s="10" t="s">
        <v>65</v>
      </c>
      <c r="E19" s="49">
        <v>1</v>
      </c>
      <c r="F19" s="49">
        <v>1</v>
      </c>
      <c r="G19" s="49">
        <v>1</v>
      </c>
      <c r="H19" s="49">
        <v>1</v>
      </c>
      <c r="I19" s="49">
        <v>1</v>
      </c>
      <c r="J19" s="49"/>
      <c r="K19" s="49">
        <v>-1</v>
      </c>
      <c r="L19" s="49">
        <v>1</v>
      </c>
      <c r="M19" s="17">
        <f t="shared" si="1"/>
        <v>5</v>
      </c>
    </row>
    <row r="20" spans="2:13" ht="18" customHeight="1" x14ac:dyDescent="0.6">
      <c r="B20" s="7">
        <v>2</v>
      </c>
      <c r="C20" s="7" t="s">
        <v>189</v>
      </c>
      <c r="D20" s="10" t="s">
        <v>203</v>
      </c>
      <c r="E20" s="49">
        <v>1</v>
      </c>
      <c r="F20" s="49">
        <v>1</v>
      </c>
      <c r="G20" s="49">
        <v>1</v>
      </c>
      <c r="H20" s="49">
        <v>1</v>
      </c>
      <c r="I20" s="49">
        <v>1</v>
      </c>
      <c r="J20" s="49">
        <v>1</v>
      </c>
      <c r="K20" s="49">
        <v>1</v>
      </c>
      <c r="L20" s="49">
        <v>1</v>
      </c>
      <c r="M20" s="17">
        <f t="shared" si="1"/>
        <v>8</v>
      </c>
    </row>
    <row r="21" spans="2:13" ht="18" customHeight="1" x14ac:dyDescent="0.6">
      <c r="B21" s="6">
        <v>2</v>
      </c>
      <c r="C21" s="7" t="s">
        <v>189</v>
      </c>
      <c r="D21" s="10" t="s">
        <v>67</v>
      </c>
      <c r="E21" s="49">
        <v>1</v>
      </c>
      <c r="F21" s="49">
        <v>1</v>
      </c>
      <c r="G21" s="49">
        <v>1</v>
      </c>
      <c r="H21" s="49">
        <v>1</v>
      </c>
      <c r="I21" s="49">
        <v>1</v>
      </c>
      <c r="J21" s="49">
        <v>1</v>
      </c>
      <c r="K21" s="49">
        <v>1</v>
      </c>
      <c r="L21" s="49">
        <v>1</v>
      </c>
      <c r="M21" s="17">
        <f t="shared" si="1"/>
        <v>8</v>
      </c>
    </row>
    <row r="22" spans="2:13" ht="18" customHeight="1" x14ac:dyDescent="0.6">
      <c r="B22" s="8">
        <v>2</v>
      </c>
      <c r="C22" s="9" t="s">
        <v>189</v>
      </c>
      <c r="D22" s="10" t="s">
        <v>166</v>
      </c>
      <c r="E22" s="49">
        <v>1</v>
      </c>
      <c r="F22" s="49">
        <v>-1</v>
      </c>
      <c r="G22" s="49">
        <v>1</v>
      </c>
      <c r="H22" s="49">
        <v>1</v>
      </c>
      <c r="I22" s="49">
        <v>1</v>
      </c>
      <c r="J22" s="49">
        <v>1</v>
      </c>
      <c r="K22" s="49">
        <v>1</v>
      </c>
      <c r="L22" s="49">
        <v>1</v>
      </c>
      <c r="M22" s="17">
        <f t="shared" si="1"/>
        <v>6</v>
      </c>
    </row>
    <row r="23" spans="2:13" ht="18" customHeight="1" x14ac:dyDescent="0.6">
      <c r="B23" s="6">
        <v>2</v>
      </c>
      <c r="C23" s="7" t="s">
        <v>189</v>
      </c>
      <c r="D23" s="10" t="s">
        <v>73</v>
      </c>
      <c r="E23" s="49">
        <v>1</v>
      </c>
      <c r="F23" s="49">
        <v>1</v>
      </c>
      <c r="G23" s="49">
        <v>0</v>
      </c>
      <c r="H23" s="49">
        <v>1</v>
      </c>
      <c r="I23" s="49">
        <v>0</v>
      </c>
      <c r="J23" s="49">
        <v>0</v>
      </c>
      <c r="K23" s="49">
        <v>1</v>
      </c>
      <c r="L23" s="49">
        <v>1</v>
      </c>
      <c r="M23" s="17">
        <f t="shared" si="1"/>
        <v>5</v>
      </c>
    </row>
    <row r="24" spans="2:13" ht="18" customHeight="1" x14ac:dyDescent="0.6">
      <c r="B24" s="6">
        <v>2</v>
      </c>
      <c r="C24" s="7" t="s">
        <v>189</v>
      </c>
      <c r="D24" s="10" t="s">
        <v>198</v>
      </c>
      <c r="E24" s="49">
        <v>0</v>
      </c>
      <c r="F24" s="49">
        <v>1</v>
      </c>
      <c r="G24" s="49">
        <v>1</v>
      </c>
      <c r="H24" s="49">
        <v>0</v>
      </c>
      <c r="I24" s="49">
        <v>1</v>
      </c>
      <c r="J24" s="49">
        <v>0</v>
      </c>
      <c r="K24" s="49">
        <v>1</v>
      </c>
      <c r="L24" s="49">
        <v>0</v>
      </c>
      <c r="M24" s="17">
        <f t="shared" si="1"/>
        <v>4</v>
      </c>
    </row>
    <row r="25" spans="2:13" ht="18" customHeight="1" x14ac:dyDescent="0.6">
      <c r="B25" s="4">
        <v>2</v>
      </c>
      <c r="C25" s="4" t="s">
        <v>189</v>
      </c>
      <c r="D25" s="10" t="s">
        <v>202</v>
      </c>
      <c r="E25" s="49">
        <v>1</v>
      </c>
      <c r="F25" s="49">
        <v>1</v>
      </c>
      <c r="G25" s="49">
        <v>1</v>
      </c>
      <c r="H25" s="49">
        <v>1</v>
      </c>
      <c r="I25" s="49">
        <v>1</v>
      </c>
      <c r="J25" s="49">
        <v>1</v>
      </c>
      <c r="K25" s="49">
        <v>1</v>
      </c>
      <c r="L25" s="49">
        <v>1</v>
      </c>
      <c r="M25" s="17">
        <f t="shared" si="1"/>
        <v>8</v>
      </c>
    </row>
    <row r="26" spans="2:13" ht="18" customHeight="1" x14ac:dyDescent="0.6">
      <c r="B26" s="3">
        <v>2</v>
      </c>
      <c r="C26" s="4" t="s">
        <v>190</v>
      </c>
      <c r="D26" s="10" t="s">
        <v>207</v>
      </c>
      <c r="E26" s="49">
        <v>1</v>
      </c>
      <c r="F26" s="49">
        <v>1</v>
      </c>
      <c r="G26" s="49">
        <v>1</v>
      </c>
      <c r="H26" s="49">
        <v>1</v>
      </c>
      <c r="I26" s="49">
        <v>1</v>
      </c>
      <c r="J26" s="49">
        <v>1</v>
      </c>
      <c r="K26" s="49">
        <v>1</v>
      </c>
      <c r="L26" s="49">
        <v>1</v>
      </c>
      <c r="M26" s="17">
        <f t="shared" si="1"/>
        <v>8</v>
      </c>
    </row>
    <row r="27" spans="2:13" ht="18" customHeight="1" x14ac:dyDescent="0.6">
      <c r="B27" s="3">
        <v>2</v>
      </c>
      <c r="C27" s="4" t="s">
        <v>190</v>
      </c>
      <c r="D27" s="10" t="s">
        <v>98</v>
      </c>
      <c r="E27" s="49">
        <v>1</v>
      </c>
      <c r="F27" s="49">
        <v>1</v>
      </c>
      <c r="G27" s="49">
        <v>1</v>
      </c>
      <c r="H27" s="49">
        <v>1</v>
      </c>
      <c r="I27" s="49">
        <v>1</v>
      </c>
      <c r="J27" s="49">
        <v>-1</v>
      </c>
      <c r="K27" s="49">
        <v>1</v>
      </c>
      <c r="L27" s="49">
        <v>1</v>
      </c>
      <c r="M27" s="17">
        <f t="shared" si="1"/>
        <v>6</v>
      </c>
    </row>
    <row r="28" spans="2:13" ht="18" customHeight="1" x14ac:dyDescent="0.6">
      <c r="B28" s="3">
        <v>2</v>
      </c>
      <c r="C28" s="4" t="s">
        <v>190</v>
      </c>
      <c r="D28" s="10" t="s">
        <v>200</v>
      </c>
      <c r="E28" s="49">
        <v>1</v>
      </c>
      <c r="F28" s="49">
        <v>1</v>
      </c>
      <c r="G28" s="49">
        <v>1</v>
      </c>
      <c r="H28" s="49">
        <v>1</v>
      </c>
      <c r="I28" s="49">
        <v>1</v>
      </c>
      <c r="J28" s="49">
        <v>0</v>
      </c>
      <c r="K28" s="49">
        <v>1</v>
      </c>
      <c r="L28" s="49">
        <v>1</v>
      </c>
      <c r="M28" s="17">
        <f t="shared" si="1"/>
        <v>7</v>
      </c>
    </row>
    <row r="29" spans="2:13" ht="18" customHeight="1" x14ac:dyDescent="0.6">
      <c r="B29" s="3">
        <v>2</v>
      </c>
      <c r="C29" s="4" t="s">
        <v>190</v>
      </c>
      <c r="D29" s="10" t="s">
        <v>193</v>
      </c>
      <c r="E29" s="49">
        <v>0</v>
      </c>
      <c r="F29" s="49">
        <v>1</v>
      </c>
      <c r="G29" s="49">
        <v>1</v>
      </c>
      <c r="H29" s="49">
        <v>1</v>
      </c>
      <c r="I29" s="49">
        <v>0</v>
      </c>
      <c r="J29" s="49">
        <v>1</v>
      </c>
      <c r="K29" s="49">
        <v>1</v>
      </c>
      <c r="L29" s="49">
        <v>1</v>
      </c>
      <c r="M29" s="17">
        <f t="shared" si="1"/>
        <v>6</v>
      </c>
    </row>
    <row r="30" spans="2:13" ht="18" customHeight="1" x14ac:dyDescent="0.6">
      <c r="B30" s="5">
        <v>2</v>
      </c>
      <c r="C30" s="4" t="s">
        <v>190</v>
      </c>
      <c r="D30" s="10" t="s">
        <v>194</v>
      </c>
      <c r="E30" s="49">
        <v>0</v>
      </c>
      <c r="F30" s="49">
        <v>0</v>
      </c>
      <c r="G30" s="49">
        <v>-1</v>
      </c>
      <c r="H30" s="49">
        <v>1</v>
      </c>
      <c r="I30" s="49">
        <v>1</v>
      </c>
      <c r="J30" s="49">
        <v>1</v>
      </c>
      <c r="K30" s="49">
        <v>1</v>
      </c>
      <c r="L30" s="49">
        <v>1</v>
      </c>
      <c r="M30" s="17">
        <f t="shared" si="1"/>
        <v>4</v>
      </c>
    </row>
    <row r="31" spans="2:13" ht="18" customHeight="1" x14ac:dyDescent="0.6">
      <c r="B31" s="3">
        <v>2</v>
      </c>
      <c r="C31" s="4" t="s">
        <v>190</v>
      </c>
      <c r="D31" s="10" t="s">
        <v>206</v>
      </c>
      <c r="E31" s="49">
        <v>1</v>
      </c>
      <c r="F31" s="49">
        <v>1</v>
      </c>
      <c r="G31" s="49">
        <v>1</v>
      </c>
      <c r="H31" s="49">
        <v>1</v>
      </c>
      <c r="I31" s="49">
        <v>0</v>
      </c>
      <c r="J31" s="49">
        <v>1</v>
      </c>
      <c r="K31" s="49">
        <v>-1</v>
      </c>
      <c r="L31" s="49">
        <v>1</v>
      </c>
      <c r="M31" s="17">
        <f t="shared" si="1"/>
        <v>5</v>
      </c>
    </row>
  </sheetData>
  <phoneticPr fontId="3" type="noConversion"/>
  <conditionalFormatting sqref="M4:M31">
    <cfRule type="iconSet" priority="2">
      <iconSet>
        <cfvo type="percent" val="0"/>
        <cfvo type="percent" val="70"/>
        <cfvo type="percent" val="100"/>
      </iconSet>
    </cfRule>
    <cfRule type="iconSet" priority="1">
      <iconSet>
        <cfvo type="percent" val="0"/>
        <cfvo type="percent" val="70"/>
        <cfvo type="percent" val="100"/>
      </iconSet>
    </cfRule>
  </conditionalFormatting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8193" r:id="rId4" name="Button 1">
              <controlPr defaultSize="0" print="0" autoFill="0" autoPict="0" macro="[0]!서식적용">
                <anchor moveWithCells="1" sizeWithCells="1">
                  <from>
                    <xdr:col>14</xdr:col>
                    <xdr:colOff>0</xdr:colOff>
                    <xdr:row>3</xdr:row>
                    <xdr:rowOff>0</xdr:rowOff>
                  </from>
                  <to>
                    <xdr:col>16</xdr:col>
                    <xdr:colOff>0</xdr:colOff>
                    <xdr:row>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194" r:id="rId5" name="Button 2">
              <controlPr defaultSize="0" print="0" autoFill="0" autoPict="0" macro="[0]!그래프보기">
                <anchor moveWithCells="1" sizeWithCells="1">
                  <from>
                    <xdr:col>14</xdr:col>
                    <xdr:colOff>0</xdr:colOff>
                    <xdr:row>6</xdr:row>
                    <xdr:rowOff>0</xdr:rowOff>
                  </from>
                  <to>
                    <xdr:col>16</xdr:col>
                    <xdr:colOff>0</xdr:colOff>
                    <xdr:row>8</xdr:row>
                    <xdr:rowOff>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9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700-000000000000}">
  <sheetPr codeName="Sheet4"/>
  <dimension ref="A3:Q21"/>
  <sheetViews>
    <sheetView workbookViewId="0"/>
  </sheetViews>
  <sheetFormatPr defaultColWidth="9" defaultRowHeight="16.899999999999999" x14ac:dyDescent="0.6"/>
  <cols>
    <col min="1" max="1" width="9" style="41"/>
    <col min="2" max="2" width="11.125" style="41" bestFit="1" customWidth="1"/>
    <col min="3" max="3" width="11.125" style="41" customWidth="1"/>
    <col min="4" max="4" width="9" style="41"/>
    <col min="5" max="6" width="11" style="41" bestFit="1" customWidth="1"/>
    <col min="7" max="7" width="11" style="43" customWidth="1"/>
    <col min="8" max="11" width="9" style="41"/>
    <col min="12" max="12" width="9" style="16"/>
    <col min="13" max="13" width="9" style="40"/>
    <col min="14" max="16" width="9" style="16"/>
    <col min="17" max="17" width="9" style="41"/>
    <col min="18" max="16384" width="9" style="16"/>
  </cols>
  <sheetData>
    <row r="3" spans="2:17" x14ac:dyDescent="0.6">
      <c r="B3" s="41" t="s">
        <v>5</v>
      </c>
      <c r="N3" s="41" t="s">
        <v>4</v>
      </c>
    </row>
    <row r="4" spans="2:17" x14ac:dyDescent="0.6">
      <c r="B4" s="42" t="s">
        <v>210</v>
      </c>
      <c r="C4" s="42" t="s">
        <v>219</v>
      </c>
      <c r="D4" s="42" t="s">
        <v>213</v>
      </c>
      <c r="E4" s="42" t="s">
        <v>214</v>
      </c>
      <c r="F4" s="38" t="s">
        <v>212</v>
      </c>
      <c r="G4" s="38" t="s">
        <v>221</v>
      </c>
      <c r="H4" s="42" t="s">
        <v>215</v>
      </c>
      <c r="I4" s="42" t="s">
        <v>216</v>
      </c>
      <c r="J4" s="38" t="s">
        <v>217</v>
      </c>
      <c r="K4" s="38" t="s">
        <v>218</v>
      </c>
      <c r="N4" s="42" t="s">
        <v>214</v>
      </c>
      <c r="O4" s="42" t="s">
        <v>212</v>
      </c>
      <c r="P4" s="42" t="s">
        <v>221</v>
      </c>
    </row>
    <row r="5" spans="2:17" x14ac:dyDescent="0.6">
      <c r="B5" s="41">
        <v>1</v>
      </c>
      <c r="C5" s="37">
        <v>44978</v>
      </c>
      <c r="D5" s="41" t="s">
        <v>229</v>
      </c>
      <c r="E5" s="41" t="s">
        <v>191</v>
      </c>
      <c r="F5" s="41">
        <v>21582</v>
      </c>
      <c r="G5" s="43" t="s">
        <v>222</v>
      </c>
      <c r="H5" s="41">
        <v>92</v>
      </c>
      <c r="I5" s="41">
        <v>173</v>
      </c>
      <c r="J5" s="41">
        <v>31</v>
      </c>
      <c r="K5" s="41" t="s">
        <v>228</v>
      </c>
      <c r="L5" s="39"/>
      <c r="M5" s="16"/>
      <c r="N5" s="18" t="s">
        <v>220</v>
      </c>
      <c r="O5" s="36">
        <v>21582</v>
      </c>
      <c r="P5" s="18" t="s">
        <v>223</v>
      </c>
      <c r="Q5" s="16"/>
    </row>
    <row r="6" spans="2:17" x14ac:dyDescent="0.6">
      <c r="B6" s="41">
        <v>2</v>
      </c>
      <c r="C6" s="37">
        <v>44978</v>
      </c>
      <c r="D6" s="41" t="s">
        <v>231</v>
      </c>
      <c r="E6" s="41" t="s">
        <v>166</v>
      </c>
      <c r="F6" s="41">
        <v>82363</v>
      </c>
      <c r="G6" s="43" t="s">
        <v>224</v>
      </c>
      <c r="H6" s="41">
        <v>55</v>
      </c>
      <c r="I6" s="41">
        <v>180</v>
      </c>
      <c r="J6" s="43">
        <v>17</v>
      </c>
      <c r="K6" s="43" t="s">
        <v>230</v>
      </c>
      <c r="L6" s="40"/>
      <c r="M6" s="16"/>
      <c r="N6" s="18" t="s">
        <v>166</v>
      </c>
      <c r="O6" s="36">
        <v>82363</v>
      </c>
      <c r="P6" s="18" t="s">
        <v>225</v>
      </c>
      <c r="Q6" s="16"/>
    </row>
    <row r="7" spans="2:17" x14ac:dyDescent="0.6">
      <c r="B7" s="41">
        <v>3</v>
      </c>
      <c r="C7" s="37">
        <v>45130</v>
      </c>
      <c r="D7" s="41" t="s">
        <v>246</v>
      </c>
      <c r="E7" s="41" t="s">
        <v>65</v>
      </c>
      <c r="F7" s="41">
        <v>77694</v>
      </c>
      <c r="G7" s="43" t="s">
        <v>247</v>
      </c>
      <c r="H7" s="41">
        <v>60</v>
      </c>
      <c r="I7" s="41">
        <v>150</v>
      </c>
      <c r="J7" s="43">
        <v>27</v>
      </c>
      <c r="K7" s="43" t="s">
        <v>228</v>
      </c>
      <c r="L7" s="40"/>
      <c r="M7" s="16"/>
      <c r="N7" s="18" t="s">
        <v>83</v>
      </c>
      <c r="O7" s="36">
        <v>60026</v>
      </c>
      <c r="P7" s="18" t="s">
        <v>223</v>
      </c>
      <c r="Q7" s="16"/>
    </row>
    <row r="8" spans="2:17" x14ac:dyDescent="0.6">
      <c r="C8" s="37"/>
      <c r="F8" s="43"/>
      <c r="G8" s="41"/>
      <c r="I8" s="43"/>
      <c r="J8" s="43"/>
      <c r="K8" s="43"/>
      <c r="L8" s="40"/>
      <c r="M8" s="16"/>
      <c r="N8" s="18" t="s">
        <v>65</v>
      </c>
      <c r="O8" s="36">
        <v>77694</v>
      </c>
      <c r="P8" s="18" t="s">
        <v>226</v>
      </c>
      <c r="Q8" s="16"/>
    </row>
    <row r="9" spans="2:17" x14ac:dyDescent="0.6">
      <c r="C9" s="37"/>
      <c r="F9" s="43"/>
      <c r="G9" s="41"/>
      <c r="I9" s="43"/>
      <c r="J9" s="43"/>
      <c r="K9" s="43"/>
      <c r="L9" s="40"/>
      <c r="M9" s="16"/>
      <c r="N9" s="18" t="s">
        <v>67</v>
      </c>
      <c r="O9" s="36">
        <v>39848</v>
      </c>
      <c r="P9" s="18" t="s">
        <v>227</v>
      </c>
      <c r="Q9" s="16"/>
    </row>
    <row r="10" spans="2:17" x14ac:dyDescent="0.6">
      <c r="C10" s="37"/>
      <c r="F10" s="43"/>
      <c r="G10" s="41"/>
      <c r="I10" s="43"/>
      <c r="J10" s="43"/>
      <c r="K10" s="43"/>
      <c r="L10" s="40"/>
      <c r="M10" s="16"/>
      <c r="N10" s="18" t="s">
        <v>193</v>
      </c>
      <c r="O10" s="36">
        <v>95363</v>
      </c>
      <c r="P10" s="18" t="s">
        <v>223</v>
      </c>
      <c r="Q10" s="16"/>
    </row>
    <row r="11" spans="2:17" x14ac:dyDescent="0.6">
      <c r="C11" s="37"/>
      <c r="F11" s="43"/>
      <c r="G11" s="41"/>
      <c r="I11" s="43"/>
      <c r="J11" s="43"/>
      <c r="K11" s="43"/>
      <c r="L11" s="40"/>
      <c r="M11" s="16"/>
      <c r="N11" s="18" t="s">
        <v>195</v>
      </c>
      <c r="O11" s="36">
        <v>81713</v>
      </c>
      <c r="P11" s="18" t="s">
        <v>226</v>
      </c>
      <c r="Q11" s="16"/>
    </row>
    <row r="12" spans="2:17" x14ac:dyDescent="0.6">
      <c r="F12" s="43"/>
      <c r="G12" s="41"/>
      <c r="I12" s="43"/>
      <c r="J12" s="43"/>
      <c r="K12" s="43"/>
      <c r="L12" s="40"/>
      <c r="M12" s="16"/>
      <c r="N12" s="18" t="s">
        <v>85</v>
      </c>
      <c r="O12" s="36">
        <v>56364</v>
      </c>
      <c r="P12" s="18" t="s">
        <v>227</v>
      </c>
      <c r="Q12" s="16"/>
    </row>
    <row r="13" spans="2:17" x14ac:dyDescent="0.6">
      <c r="L13" s="40"/>
      <c r="M13" s="16"/>
      <c r="N13" s="18" t="s">
        <v>196</v>
      </c>
      <c r="O13" s="36">
        <v>57003</v>
      </c>
      <c r="P13" s="18" t="s">
        <v>223</v>
      </c>
      <c r="Q13" s="16"/>
    </row>
    <row r="14" spans="2:17" x14ac:dyDescent="0.6">
      <c r="F14" s="43"/>
      <c r="G14" s="41"/>
      <c r="I14" s="43"/>
      <c r="J14" s="43"/>
      <c r="K14" s="43"/>
      <c r="L14" s="40"/>
      <c r="M14" s="16"/>
      <c r="N14" s="18" t="s">
        <v>197</v>
      </c>
      <c r="O14" s="36">
        <v>66393</v>
      </c>
      <c r="P14" s="18" t="s">
        <v>223</v>
      </c>
      <c r="Q14" s="16"/>
    </row>
    <row r="15" spans="2:17" x14ac:dyDescent="0.6">
      <c r="F15" s="43"/>
      <c r="G15" s="41"/>
      <c r="I15" s="43"/>
      <c r="J15" s="43"/>
      <c r="K15" s="43"/>
      <c r="L15" s="40"/>
      <c r="M15" s="16"/>
      <c r="N15" s="18" t="s">
        <v>107</v>
      </c>
      <c r="O15" s="36">
        <v>17438</v>
      </c>
      <c r="P15" s="18" t="s">
        <v>227</v>
      </c>
      <c r="Q15" s="16"/>
    </row>
    <row r="16" spans="2:17" x14ac:dyDescent="0.6">
      <c r="F16" s="43"/>
      <c r="G16" s="41"/>
      <c r="I16" s="43"/>
      <c r="J16" s="43"/>
      <c r="K16" s="43"/>
      <c r="L16" s="40"/>
      <c r="M16" s="16"/>
      <c r="N16" s="18" t="s">
        <v>201</v>
      </c>
      <c r="O16" s="36">
        <v>36275</v>
      </c>
      <c r="P16" s="18" t="s">
        <v>223</v>
      </c>
      <c r="Q16" s="16"/>
    </row>
    <row r="17" spans="6:17" x14ac:dyDescent="0.6">
      <c r="F17" s="43"/>
      <c r="G17" s="41"/>
      <c r="I17" s="43"/>
      <c r="J17" s="43"/>
      <c r="K17" s="43"/>
      <c r="L17" s="40"/>
      <c r="M17" s="16"/>
      <c r="Q17" s="16"/>
    </row>
    <row r="18" spans="6:17" x14ac:dyDescent="0.6">
      <c r="F18" s="43"/>
      <c r="G18" s="41"/>
      <c r="I18" s="43"/>
      <c r="J18" s="43"/>
      <c r="K18" s="43"/>
      <c r="L18" s="40"/>
      <c r="M18" s="16"/>
      <c r="Q18" s="16"/>
    </row>
    <row r="19" spans="6:17" x14ac:dyDescent="0.6">
      <c r="F19" s="43"/>
      <c r="G19" s="41"/>
      <c r="I19" s="43"/>
      <c r="J19" s="43"/>
      <c r="K19" s="43"/>
      <c r="L19" s="40"/>
      <c r="M19" s="16"/>
      <c r="Q19" s="16"/>
    </row>
    <row r="20" spans="6:17" x14ac:dyDescent="0.6">
      <c r="F20" s="43"/>
      <c r="G20" s="41"/>
      <c r="I20" s="43"/>
      <c r="J20" s="43"/>
      <c r="K20" s="43"/>
      <c r="L20" s="40"/>
      <c r="M20" s="16"/>
      <c r="Q20" s="16"/>
    </row>
    <row r="21" spans="6:17" x14ac:dyDescent="0.6">
      <c r="J21" s="43"/>
      <c r="K21" s="43"/>
      <c r="L21" s="40"/>
      <c r="M21" s="16"/>
      <c r="Q21" s="16"/>
    </row>
  </sheetData>
  <phoneticPr fontId="3" type="noConversion"/>
  <pageMargins left="0.7" right="0.7" top="0.75" bottom="0.75" header="0.3" footer="0.3"/>
  <drawing r:id="rId1"/>
  <legacyDrawing r:id="rId2"/>
  <controls>
    <mc:AlternateContent xmlns:mc="http://schemas.openxmlformats.org/markup-compatibility/2006">
      <mc:Choice Requires="x14">
        <control shapeId="2050" r:id="rId3" name="cmd건강검신">
          <controlPr defaultSize="0" autoLine="0" r:id="rId4">
            <anchor moveWithCells="1">
              <from>
                <xdr:col>3</xdr:col>
                <xdr:colOff>661988</xdr:colOff>
                <xdr:row>0</xdr:row>
                <xdr:rowOff>100013</xdr:rowOff>
              </from>
              <to>
                <xdr:col>6</xdr:col>
                <xdr:colOff>642938</xdr:colOff>
                <xdr:row>2</xdr:row>
                <xdr:rowOff>85725</xdr:rowOff>
              </to>
            </anchor>
          </controlPr>
        </control>
      </mc:Choice>
      <mc:Fallback>
        <control shapeId="2050" r:id="rId3" name="cmd건강검신"/>
      </mc:Fallback>
    </mc:AlternateContent>
  </controls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워크시트</vt:lpstr>
      </vt:variant>
      <vt:variant>
        <vt:i4>9</vt:i4>
      </vt:variant>
      <vt:variant>
        <vt:lpstr>이름 지정된 범위</vt:lpstr>
      </vt:variant>
      <vt:variant>
        <vt:i4>6</vt:i4>
      </vt:variant>
    </vt:vector>
  </HeadingPairs>
  <TitlesOfParts>
    <vt:vector size="15" baseType="lpstr">
      <vt:lpstr>기본작업-1</vt:lpstr>
      <vt:lpstr>기본작업-2</vt:lpstr>
      <vt:lpstr>계산작업</vt:lpstr>
      <vt:lpstr>곽경미</vt:lpstr>
      <vt:lpstr>분석작업-1</vt:lpstr>
      <vt:lpstr>분석작업-2</vt:lpstr>
      <vt:lpstr>기타작업-1</vt:lpstr>
      <vt:lpstr>기타작업-2</vt:lpstr>
      <vt:lpstr>기타작업-3</vt:lpstr>
      <vt:lpstr>'기본작업-2'!Criteria</vt:lpstr>
      <vt:lpstr>'기본작업-2'!Extract</vt:lpstr>
      <vt:lpstr>'기본작업-1'!Print_Area</vt:lpstr>
      <vt:lpstr>'기본작업-2'!Print_Area</vt:lpstr>
      <vt:lpstr>'기본작업-1'!Print_Titles</vt:lpstr>
      <vt:lpstr>'기본작업-2'!Print_Titles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기풍쌤</dc:creator>
  <cp:lastModifiedBy>Jieun Park</cp:lastModifiedBy>
  <cp:lastPrinted>2023-02-17T06:25:41Z</cp:lastPrinted>
  <dcterms:created xsi:type="dcterms:W3CDTF">2020-12-09T06:53:57Z</dcterms:created>
  <dcterms:modified xsi:type="dcterms:W3CDTF">2023-07-24T13:09:56Z</dcterms:modified>
</cp:coreProperties>
</file>