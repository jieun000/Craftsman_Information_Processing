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B\"/>
    </mc:Choice>
  </mc:AlternateContent>
  <xr:revisionPtr revIDLastSave="0" documentId="13_ncr:1_{70479CE7-C25D-49F4-B43A-68A2C9B68939}" xr6:coauthVersionLast="47" xr6:coauthVersionMax="47" xr10:uidLastSave="{00000000-0000-0000-0000-000000000000}"/>
  <bookViews>
    <workbookView xWindow="-98" yWindow="-98" windowWidth="21795" windowHeight="12975" tabRatio="661" activeTab="4" xr2:uid="{00000000-000D-0000-FFFF-FFFF00000000}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'기본작업-2'!$2:$29,'기본작업-2'!$31:$42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" name="OA성적관리" connection="OA성적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" i="5" l="1"/>
  <c r="F44" i="5"/>
  <c r="G44" i="5"/>
  <c r="F45" i="5"/>
  <c r="G45" i="5"/>
  <c r="F46" i="5"/>
  <c r="G46" i="5"/>
  <c r="G43" i="5"/>
  <c r="F36" i="5" a="1"/>
  <c r="F36" i="5" s="1"/>
  <c r="F37" i="5" a="1"/>
  <c r="F37" i="5" s="1"/>
  <c r="G37" i="5" a="1"/>
  <c r="G37" i="5" s="1"/>
  <c r="F38" i="5" a="1"/>
  <c r="F38" i="5" s="1"/>
  <c r="G38" i="5" a="1"/>
  <c r="G38" i="5" s="1"/>
  <c r="F39" i="5" a="1"/>
  <c r="F39" i="5" s="1"/>
  <c r="G39" i="5" a="1"/>
  <c r="G39" i="5" s="1"/>
  <c r="G36" i="5" a="1"/>
  <c r="G36" i="5" s="1"/>
  <c r="G3" i="2"/>
  <c r="I4" i="5" a="1"/>
  <c r="I12" i="5" a="1"/>
  <c r="I20" i="5" a="1"/>
  <c r="I5" i="5" a="1"/>
  <c r="I13" i="5" a="1"/>
  <c r="I21" i="5" a="1"/>
  <c r="I6" i="5" a="1"/>
  <c r="I14" i="5" a="1"/>
  <c r="I22" i="5" a="1"/>
  <c r="I7" i="5" a="1"/>
  <c r="I15" i="5" a="1"/>
  <c r="I23" i="5" a="1"/>
  <c r="I8" i="5" a="1"/>
  <c r="I16" i="5" a="1"/>
  <c r="I24" i="5" a="1"/>
  <c r="I9" i="5" a="1"/>
  <c r="I17" i="5" a="1"/>
  <c r="I25" i="5" a="1"/>
  <c r="I10" i="5" a="1"/>
  <c r="I18" i="5" a="1"/>
  <c r="I26" i="5" a="1"/>
  <c r="I11" i="5" a="1"/>
  <c r="I27" i="5" a="1"/>
  <c r="I19" i="5" a="1"/>
  <c r="I3" i="5" a="1"/>
  <c r="I19" i="5" l="1"/>
  <c r="I27" i="5"/>
  <c r="I11" i="5"/>
  <c r="I26" i="5"/>
  <c r="I18" i="5"/>
  <c r="I10" i="5"/>
  <c r="I25" i="5"/>
  <c r="I17" i="5"/>
  <c r="I9" i="5"/>
  <c r="I24" i="5"/>
  <c r="I16" i="5"/>
  <c r="I8" i="5"/>
  <c r="I23" i="5"/>
  <c r="I15" i="5"/>
  <c r="I7" i="5"/>
  <c r="I22" i="5"/>
  <c r="I14" i="5"/>
  <c r="I6" i="5"/>
  <c r="I21" i="5"/>
  <c r="I13" i="5"/>
  <c r="I5" i="5"/>
  <c r="I20" i="5"/>
  <c r="I12" i="5"/>
  <c r="I4" i="5"/>
  <c r="I3" i="5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1FD0113-0C85-4ECA-803F-BA80D5BB7D07}" name="OA성적관리" type="103" refreshedVersion="8" minRefreshableVersion="5">
    <extLst>
      <ext xmlns:x15="http://schemas.microsoft.com/office/spreadsheetml/2010/11/main" uri="{DE250136-89BD-433C-8126-D09CA5730AF9}">
        <x15:connection id="OA성적관리" autoDelete="1">
          <x15:textPr codePage="949" sourceFile="C:\Users\mondi\Desktop\A\Craftsman_Information_Processing\Spreadsheet&amp;Access3.0\21_샘플문제\상시복원기출문제B\OA성적관리.csv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xr16:uid="{A313610C-50D5-4875-A12A-361D244A7B8B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<sst xmlns="http://schemas.openxmlformats.org/spreadsheetml/2006/main" count="432" uniqueCount="210">
  <si>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</si>
  <si>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</si>
  <si>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</si>
  <si>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</si>
  <si>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</si>
  <si>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</si>
  <si>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</si>
  <si>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</si>
  <si>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</si>
  <si>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</si>
  <si>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</si>
  <si>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</si>
  <si>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</si>
  <si>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</si>
  <si>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</si>
  <si>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</si>
  <si>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</si>
  <si>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</si>
  <si>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</si>
  <si>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</si>
  <si>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</si>
  <si>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</si>
  <si>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</si>
  <si>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</si>
  <si>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</si>
  <si>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</si>
  <si>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</si>
  <si>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</si>
  <si>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</si>
  <si>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</si>
  <si>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</si>
  <si>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</si>
  <si>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</si>
  <si>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</si>
  <si>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</si>
  <si>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</si>
  <si>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</si>
  <si>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</si>
  <si>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</si>
  <si>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</si>
  <si>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</si>
  <si>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</si>
  <si>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</si>
  <si>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</si>
  <si>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</si>
  <si>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</si>
  <si>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</si>
  <si>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</si>
  <si>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</si>
  <si>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</si>
  <si>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</si>
  <si>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</si>
  <si>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</si>
  <si>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</si>
  <si>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</si>
  <si>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</si>
  <si>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</si>
  <si>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</si>
  <si>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</si>
  <si>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</si>
  <si>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</si>
  <si>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</si>
  <si>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</si>
  <si>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</si>
  <si>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</si>
  <si>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</si>
  <si>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</si>
  <si>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</si>
  <si>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</si>
  <si>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</si>
  <si>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</si>
  <si>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</si>
  <si>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</si>
  <si>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</si>
  <si>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</si>
  <si>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</si>
  <si>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</si>
  <si>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</si>
  <si>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</si>
  <si>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</si>
  <si>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</si>
  <si>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</si>
  <si>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</si>
  <si>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</si>
  <si>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</si>
  <si>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</si>
  <si>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</si>
  <si>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</si>
  <si>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</si>
  <si>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</si>
  <si>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</si>
  <si>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</si>
  <si>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</si>
  <si>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</si>
  <si>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</si>
  <si>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</si>
  <si>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</si>
  <si>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</si>
  <si>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</si>
  <si>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</si>
  <si>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</si>
  <si>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</si>
  <si>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</si>
  <si>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</si>
  <si>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</si>
  <si>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</si>
  <si>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</si>
  <si>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</si>
  <si>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</si>
  <si>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</si>
  <si>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</si>
  <si>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</si>
  <si>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</si>
  <si>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</si>
  <si>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</si>
  <si>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</si>
  <si>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</si>
  <si>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</si>
  <si>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</si>
  <si>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</si>
  <si>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</si>
  <si>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</si>
  <si>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</si>
  <si>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</si>
  <si>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</si>
  <si>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</si>
  <si>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</si>
  <si>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</si>
  <si>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</si>
  <si>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</si>
  <si>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</si>
  <si>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</si>
  <si>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</si>
  <si>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</si>
  <si>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</si>
  <si>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</si>
  <si>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</si>
  <si>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</si>
  <si>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</si>
  <si>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</si>
  <si>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</si>
  <si>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</si>
  <si>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</si>
  <si>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</si>
  <si>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</si>
  <si>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</si>
  <si>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</si>
  <si>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</si>
  <si>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</si>
  <si>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</si>
  <si>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</si>
  <si>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</si>
  <si>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</si>
  <si>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</si>
  <si>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</si>
  <si>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</si>
  <si>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</si>
  <si>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</si>
  <si>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</si>
  <si>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</si>
  <si>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</si>
  <si>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</si>
  <si>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</si>
  <si>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</si>
  <si>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</si>
  <si>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</si>
  <si>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4학년</t>
  </si>
  <si>
    <t>2학년</t>
  </si>
  <si>
    <t>3학년</t>
  </si>
  <si>
    <t>1학년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</si>
  <si>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</si>
  <si>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</si>
  <si>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</si>
  <si>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</si>
  <si>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</si>
  <si>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</si>
  <si>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</si>
  <si>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</si>
  <si>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</si>
  <si>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</si>
  <si>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</si>
  <si>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</si>
  <si>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</si>
  <si>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</si>
  <si>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</si>
  <si>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</si>
  <si>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</si>
  <si>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</si>
  <si>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</si>
  <si>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</si>
  <si>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</si>
  <si>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</si>
  <si>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</si>
  <si>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</si>
  <si>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</si>
  <si>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</si>
  <si>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</si>
  <si>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</si>
  <si>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</si>
  <si>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</si>
  <si>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</si>
  <si>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</si>
  <si>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조건</t>
    <phoneticPr fontId="2" type="noConversion"/>
  </si>
  <si>
    <t>접수일</t>
  </si>
  <si>
    <t>학년</t>
  </si>
  <si>
    <t>총합계</t>
  </si>
  <si>
    <t>값</t>
  </si>
  <si>
    <t>최대값: 엑셀</t>
  </si>
  <si>
    <t>최대값: 액세스</t>
  </si>
  <si>
    <t>점수관리표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</si>
</sst>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General&quot;학&quot;&quot;년&quot;"/>
    <numFmt numFmtId="182" formatCode="0.0"/>
    <numFmt numFmtId="183" formatCode="0_ 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8" fillId="0" borderId="0" xfId="0" applyFont="1">
      <alignment vertical="center"/>
    </xf>
    <xf numFmtId="182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 applyAlignment="1">
      <alignment horizontal="center" vertical="center"/>
    </xf>
  </cellXfs>
  <cellStyles count="3">
    <cellStyle name="제목 5" xfId="1" xr:uid="{00000000-0005-0000-0000-000000000000}"/>
    <cellStyle name="표준" xfId="0" builtinId="0"/>
    <cellStyle name="표준 2" xfId="2" xr:uid="{00000000-0005-0000-0000-000002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학년별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A-4BE7-874C-60AD1184281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A-4BE7-874C-60AD1184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cylinder"/>
        <c:axId val="2099027088"/>
        <c:axId val="2099026672"/>
        <c:axId val="0"/>
      </c:bar3DChart>
      <c:catAx>
        <c:axId val="2099027088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6672"/>
        <c:crosses val="autoZero"/>
        <c:auto val="1"/>
        <c:lblAlgn val="ctr"/>
        <c:lblOffset val="100"/>
        <c:noMultiLvlLbl val="0"/>
      </c:catAx>
      <c:valAx>
        <c:axId val="20990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708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31.845498263887" backgroundQuery="1" createdVersion="8" refreshedVersion="8" minRefreshableVersion="3" recordCount="0" supportSubquery="1" supportAdvancedDrill="1" xr:uid="{41E9C57D-8F06-4235-AAE1-79D5CEFE1889}">
  <cacheSource type="external" connectionId="5"/>
  <cacheFields count="4">
    <cacheField name="[OA성적관리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</cacheFields>
  <cacheHierarchies count="12">
    <cacheHierarchy uniqueName="[OA성적관리].[구분]" caption="구분" attribute="1" defaultMemberUniqueName="[OA성적관리].[구분].[All]" allUniqueName="[OA성적관리].[구분].[All]" dimensionUniqueName="[OA성적관리]" displayFolder="" count="0" memberValueDatatype="20" unbalanced="0"/>
    <cacheHierarchy uniqueName="[OA성적관리].[학년]" caption="학년" attribute="1" defaultMemberUniqueName="[OA성적관리].[학년].[All]" allUniqueName="[OA성적관리].[학년].[All]" dimensionUniqueName="[OA성적관리]" displayFolder="" count="2" memberValueDatatype="130" unbalanced="0">
      <fieldsUsage count="2">
        <fieldUsage x="-1"/>
        <fieldUsage x="1"/>
      </fieldsUsage>
    </cacheHierarchy>
    <cacheHierarchy uniqueName="[OA성적관리].[학번]" caption="학번" attribute="1" defaultMemberUniqueName="[OA성적관리].[학번].[All]" allUniqueName="[OA성적관리].[학번].[All]" dimensionUniqueName="[OA성적관리]" displayFolder="" count="0" memberValueDatatype="20" unbalanced="0"/>
    <cacheHierarchy uniqueName="[OA성적관리].[접수일]" caption="접수일" attribute="1" time="1" defaultMemberUniqueName="[OA성적관리].[접수일].[All]" allUniqueName="[OA성적관리].[접수일].[All]" dimensionUniqueName="[OA성적관리]" displayFolder="" count="2" memberValueDatatype="7" unbalanced="0">
      <fieldsUsage count="2">
        <fieldUsage x="-1"/>
        <fieldUsage x="0"/>
      </fieldsUsage>
    </cacheHierarchy>
    <cacheHierarchy uniqueName="[OA성적관리].[엑셀]" caption="엑셀" attribute="1" defaultMemberUniqueName="[OA성적관리].[엑셀].[All]" allUniqueName="[OA성적관리].[엑셀].[All]" dimensionUniqueName="[OA성적관리]" displayFolder="" count="0" memberValueDatatype="20" unbalanced="0"/>
    <cacheHierarchy uniqueName="[OA성적관리].[액세스]" caption="액세스" attribute="1" defaultMemberUniqueName="[OA성적관리].[액세스].[All]" allUniqueName="[OA성적관리].[액세스].[All]" dimensionUniqueName="[OA성적관리]" displayFolder="" count="0" memberValueDatatype="20" unbalanced="0"/>
    <cacheHierarchy uniqueName="[Measures].[__XL_Count OA성적관리]" caption="__XL_Count OA성적관리" measure="1" displayFolder="" measureGroup="OA성적관리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" uniqueName="[OA성적관리]" caption="OA성적관리"/>
  </dimensions>
  <measureGroups count="1">
    <measureGroup name="OA성적관리" caption="OA성적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B5E7B-D8B6-4C62-A92B-68E6FFDFDA7D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>
  <location ref="A3:G22" firstHeaderRow="1" firstDataRow="2" firstDataCol="2"/>
  <pivotFields count="4">
    <pivotField axis="axisRow" compact="0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Col" compact="0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2">
    <dataField name="최대값: 엑셀" fld="2" subtotal="max" baseField="0" baseItem="0" numFmtId="183"/>
    <dataField name="최대값: 액세스" fld="3" subtotal="max" baseField="0" baseItem="0" numFmtId="183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최대값: 엑셀"/>
    <pivotHierarchy dragToData="1" caption="최대값: 액세스"/>
  </pivotHierarchies>
  <pivotTableStyleInfo name="PivotStyleMedium7" showRowHeaders="1" showColHeaders="1" showRowStripes="1" showColStripes="1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">
        <x15:activeTabTopLevelEntity name="[OA성적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4"/>
  <sheetViews>
    <sheetView zoomScaleNormal="100" workbookViewId="0">
      <selection activeCell="F1" sqref="F1"/>
    </sheetView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0</v>
      </c>
    </row>
    <row r="2" spans="1:9">
      <c r="A2" s="4" t="s">
        <v>30</v>
      </c>
      <c r="B2" s="4" t="s">
        <v>29</v>
      </c>
      <c r="C2" s="4" t="s">
        <v>28</v>
      </c>
      <c r="D2" s="4" t="s">
        <v>31</v>
      </c>
      <c r="E2" s="4" t="s">
        <v>9</v>
      </c>
      <c r="G2" s="4" t="s">
        <v>202</v>
      </c>
    </row>
    <row r="3" spans="1:9">
      <c r="A3" s="4" t="s">
        <v>32</v>
      </c>
      <c r="B3" s="7">
        <v>44990</v>
      </c>
      <c r="C3" s="6">
        <v>2.6162481847701757E-2</v>
      </c>
      <c r="D3">
        <v>54</v>
      </c>
      <c r="E3" t="str">
        <f>REPT("★",D3/10)</f>
        <v>★★★★★</v>
      </c>
      <c r="G3" t="b">
        <f>OR(C3&lt;=0.5,C3&gt;=0.75)</f>
        <v>1</v>
      </c>
    </row>
    <row r="4" spans="1:9">
      <c r="A4" s="4" t="s">
        <v>33</v>
      </c>
      <c r="B4" s="7">
        <v>44990</v>
      </c>
      <c r="C4" s="6">
        <v>0.63238317293239144</v>
      </c>
      <c r="D4">
        <v>72</v>
      </c>
      <c r="E4" t="str">
        <f t="shared" ref="E4:E24" si="0">REPT("★",D4/10)</f>
        <v>★★★★★★★</v>
      </c>
    </row>
    <row r="5" spans="1:9">
      <c r="A5" s="4" t="s">
        <v>34</v>
      </c>
      <c r="B5" s="7">
        <v>44990</v>
      </c>
      <c r="C5" s="6">
        <v>0.52102897374838253</v>
      </c>
      <c r="D5">
        <v>54</v>
      </c>
      <c r="E5" t="str">
        <f t="shared" si="0"/>
        <v>★★★★★</v>
      </c>
      <c r="G5" s="4" t="s">
        <v>30</v>
      </c>
      <c r="H5" s="4" t="s">
        <v>29</v>
      </c>
      <c r="I5" s="4" t="s">
        <v>31</v>
      </c>
    </row>
    <row r="6" spans="1:9">
      <c r="A6" s="4" t="s">
        <v>35</v>
      </c>
      <c r="B6" s="7">
        <v>44990</v>
      </c>
      <c r="C6" s="6">
        <v>0.90827110045226567</v>
      </c>
      <c r="D6">
        <v>95</v>
      </c>
      <c r="E6" t="str">
        <f t="shared" si="0"/>
        <v>★★★★★★★★★</v>
      </c>
      <c r="G6" s="4" t="s">
        <v>32</v>
      </c>
      <c r="H6" s="7">
        <v>44990</v>
      </c>
      <c r="I6">
        <v>54</v>
      </c>
    </row>
    <row r="7" spans="1:9">
      <c r="A7" s="4" t="s">
        <v>36</v>
      </c>
      <c r="B7" s="7">
        <v>44990</v>
      </c>
      <c r="C7" s="6">
        <v>0.72912489583779561</v>
      </c>
      <c r="D7">
        <v>95</v>
      </c>
      <c r="E7" t="str">
        <f t="shared" si="0"/>
        <v>★★★★★★★★★</v>
      </c>
      <c r="G7" s="4" t="s">
        <v>35</v>
      </c>
      <c r="H7" s="7">
        <v>44990</v>
      </c>
      <c r="I7">
        <v>95</v>
      </c>
    </row>
    <row r="8" spans="1:9">
      <c r="A8" s="4" t="s">
        <v>37</v>
      </c>
      <c r="B8" s="7">
        <v>44990</v>
      </c>
      <c r="C8" s="6">
        <v>0.34694113135450666</v>
      </c>
      <c r="D8">
        <v>87</v>
      </c>
      <c r="E8" t="str">
        <f t="shared" si="0"/>
        <v>★★★★★★★★</v>
      </c>
      <c r="G8" s="4" t="s">
        <v>37</v>
      </c>
      <c r="H8" s="7">
        <v>44990</v>
      </c>
      <c r="I8">
        <v>87</v>
      </c>
    </row>
    <row r="9" spans="1:9">
      <c r="A9" s="4" t="s">
        <v>38</v>
      </c>
      <c r="B9" s="7">
        <v>44990</v>
      </c>
      <c r="C9" s="6">
        <v>0.28369691409002085</v>
      </c>
      <c r="D9">
        <v>53</v>
      </c>
      <c r="E9" t="str">
        <f t="shared" si="0"/>
        <v>★★★★★</v>
      </c>
      <c r="G9" s="4" t="s">
        <v>38</v>
      </c>
      <c r="H9" s="7">
        <v>44990</v>
      </c>
      <c r="I9">
        <v>53</v>
      </c>
    </row>
    <row r="10" spans="1:9">
      <c r="A10" s="4" t="s">
        <v>39</v>
      </c>
      <c r="B10" s="7">
        <v>44991</v>
      </c>
      <c r="C10" s="6">
        <v>0.59628443486242599</v>
      </c>
      <c r="D10">
        <v>60</v>
      </c>
      <c r="E10" t="str">
        <f t="shared" si="0"/>
        <v>★★★★★★</v>
      </c>
      <c r="G10" s="4" t="s">
        <v>42</v>
      </c>
      <c r="H10" s="7">
        <v>44991</v>
      </c>
      <c r="I10">
        <v>86</v>
      </c>
    </row>
    <row r="11" spans="1:9">
      <c r="A11" s="4" t="s">
        <v>40</v>
      </c>
      <c r="B11" s="7">
        <v>44991</v>
      </c>
      <c r="C11" s="6">
        <v>0.70293453868716282</v>
      </c>
      <c r="D11">
        <v>55</v>
      </c>
      <c r="E11" t="str">
        <f t="shared" si="0"/>
        <v>★★★★★</v>
      </c>
      <c r="G11" s="4" t="s">
        <v>43</v>
      </c>
      <c r="H11" s="7">
        <v>44991</v>
      </c>
      <c r="I11">
        <v>72</v>
      </c>
    </row>
    <row r="12" spans="1:9">
      <c r="A12" s="4" t="s">
        <v>41</v>
      </c>
      <c r="B12" s="7">
        <v>44991</v>
      </c>
      <c r="C12" s="6">
        <v>0.66595095976967977</v>
      </c>
      <c r="D12">
        <v>55</v>
      </c>
      <c r="E12" t="str">
        <f t="shared" si="0"/>
        <v>★★★★★</v>
      </c>
      <c r="G12" s="4" t="s">
        <v>45</v>
      </c>
      <c r="H12" s="7">
        <v>44991</v>
      </c>
      <c r="I12">
        <v>62</v>
      </c>
    </row>
    <row r="13" spans="1:9">
      <c r="A13" s="4" t="s">
        <v>42</v>
      </c>
      <c r="B13" s="7">
        <v>44991</v>
      </c>
      <c r="C13" s="6">
        <v>0.41788104047926322</v>
      </c>
      <c r="D13">
        <v>86</v>
      </c>
      <c r="E13" t="str">
        <f t="shared" si="0"/>
        <v>★★★★★★★★</v>
      </c>
      <c r="G13" s="4" t="s">
        <v>46</v>
      </c>
      <c r="H13" s="7">
        <v>44991</v>
      </c>
      <c r="I13">
        <v>61</v>
      </c>
    </row>
    <row r="14" spans="1:9">
      <c r="A14" s="4" t="s">
        <v>43</v>
      </c>
      <c r="B14" s="7">
        <v>44991</v>
      </c>
      <c r="C14" s="6">
        <v>0.13996007960616585</v>
      </c>
      <c r="D14">
        <v>72</v>
      </c>
      <c r="E14" t="str">
        <f t="shared" si="0"/>
        <v>★★★★★★★</v>
      </c>
      <c r="G14" s="4" t="s">
        <v>49</v>
      </c>
      <c r="H14" s="7">
        <v>44992</v>
      </c>
      <c r="I14">
        <v>81</v>
      </c>
    </row>
    <row r="15" spans="1:9">
      <c r="A15" s="4" t="s">
        <v>44</v>
      </c>
      <c r="B15" s="7">
        <v>44991</v>
      </c>
      <c r="C15" s="6">
        <v>0.70082212904889518</v>
      </c>
      <c r="D15">
        <v>74</v>
      </c>
      <c r="E15" t="str">
        <f t="shared" si="0"/>
        <v>★★★★★★★</v>
      </c>
      <c r="G15" s="4" t="s">
        <v>51</v>
      </c>
      <c r="H15" s="7">
        <v>44992</v>
      </c>
      <c r="I15">
        <v>82</v>
      </c>
    </row>
    <row r="16" spans="1:9">
      <c r="A16" s="4" t="s">
        <v>45</v>
      </c>
      <c r="B16" s="7">
        <v>44991</v>
      </c>
      <c r="C16" s="6">
        <v>0.35705292232265295</v>
      </c>
      <c r="D16">
        <v>62</v>
      </c>
      <c r="E16" t="str">
        <f t="shared" si="0"/>
        <v>★★★★★★</v>
      </c>
      <c r="G16" s="4" t="s">
        <v>52</v>
      </c>
      <c r="H16" s="7">
        <v>44992</v>
      </c>
      <c r="I16">
        <v>74</v>
      </c>
    </row>
    <row r="17" spans="1:9">
      <c r="A17" s="4" t="s">
        <v>46</v>
      </c>
      <c r="B17" s="7">
        <v>44991</v>
      </c>
      <c r="C17" s="6">
        <v>0.18714366444449193</v>
      </c>
      <c r="D17">
        <v>61</v>
      </c>
      <c r="E17" t="str">
        <f t="shared" si="0"/>
        <v>★★★★★★</v>
      </c>
      <c r="G17" s="4" t="s">
        <v>53</v>
      </c>
      <c r="H17" s="7">
        <v>44992</v>
      </c>
      <c r="I17">
        <v>88</v>
      </c>
    </row>
    <row r="18" spans="1:9">
      <c r="A18" s="4" t="s">
        <v>47</v>
      </c>
      <c r="B18" s="7">
        <v>44991</v>
      </c>
      <c r="C18" s="6">
        <v>0.50411950659894655</v>
      </c>
      <c r="D18">
        <v>86</v>
      </c>
      <c r="E18" t="str">
        <f t="shared" si="0"/>
        <v>★★★★★★★★</v>
      </c>
    </row>
    <row r="19" spans="1:9">
      <c r="A19" s="4" t="s">
        <v>48</v>
      </c>
      <c r="B19" s="7">
        <v>44992</v>
      </c>
      <c r="C19" s="6">
        <v>0.7308464011920196</v>
      </c>
      <c r="D19">
        <v>67</v>
      </c>
      <c r="E19" t="str">
        <f t="shared" si="0"/>
        <v>★★★★★★</v>
      </c>
    </row>
    <row r="20" spans="1:9">
      <c r="A20" s="4" t="s">
        <v>49</v>
      </c>
      <c r="B20" s="7">
        <v>44992</v>
      </c>
      <c r="C20" s="6">
        <v>0.97341482305008187</v>
      </c>
      <c r="D20">
        <v>81</v>
      </c>
      <c r="E20" t="str">
        <f t="shared" si="0"/>
        <v>★★★★★★★★</v>
      </c>
    </row>
    <row r="21" spans="1:9">
      <c r="A21" s="4" t="s">
        <v>50</v>
      </c>
      <c r="B21" s="7">
        <v>44992</v>
      </c>
      <c r="C21" s="6">
        <v>0.68100606416801768</v>
      </c>
      <c r="D21">
        <v>92</v>
      </c>
      <c r="E21" t="str">
        <f t="shared" si="0"/>
        <v>★★★★★★★★★</v>
      </c>
    </row>
    <row r="22" spans="1:9">
      <c r="A22" s="4" t="s">
        <v>51</v>
      </c>
      <c r="B22" s="7">
        <v>44992</v>
      </c>
      <c r="C22" s="6">
        <v>0.96674806041668782</v>
      </c>
      <c r="D22">
        <v>82</v>
      </c>
      <c r="E22" t="str">
        <f t="shared" si="0"/>
        <v>★★★★★★★★</v>
      </c>
    </row>
    <row r="23" spans="1:9">
      <c r="A23" s="4" t="s">
        <v>52</v>
      </c>
      <c r="B23" s="7">
        <v>44992</v>
      </c>
      <c r="C23" s="6">
        <v>0.99377439618128716</v>
      </c>
      <c r="D23">
        <v>74</v>
      </c>
      <c r="E23" t="str">
        <f t="shared" si="0"/>
        <v>★★★★★★★</v>
      </c>
    </row>
    <row r="24" spans="1:9">
      <c r="A24" s="4" t="s">
        <v>53</v>
      </c>
      <c r="B24" s="7">
        <v>44992</v>
      </c>
      <c r="C24" s="6">
        <v>0.41044292479376443</v>
      </c>
      <c r="D24">
        <v>88</v>
      </c>
      <c r="E24" t="str">
        <f t="shared" si="0"/>
        <v>★★★★★★★★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I42"/>
  <sheetViews>
    <sheetView zoomScaleNormal="100" workbookViewId="0"/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54</v>
      </c>
    </row>
    <row r="3" spans="1:9">
      <c r="A3" s="1" t="s">
        <v>27</v>
      </c>
      <c r="B3" s="1" t="s">
        <v>55</v>
      </c>
      <c r="C3" s="1" t="s">
        <v>57</v>
      </c>
      <c r="D3" s="1" t="s">
        <v>58</v>
      </c>
      <c r="E3" s="1" t="s">
        <v>59</v>
      </c>
      <c r="F3" s="1" t="s">
        <v>56</v>
      </c>
      <c r="G3" s="1" t="s">
        <v>60</v>
      </c>
      <c r="H3" s="1" t="s">
        <v>61</v>
      </c>
      <c r="I3" s="1" t="s">
        <v>62</v>
      </c>
    </row>
    <row r="4" spans="1:9">
      <c r="A4" s="8">
        <v>1</v>
      </c>
      <c r="B4" s="8" t="s">
        <v>116</v>
      </c>
      <c r="C4" s="9" t="s">
        <v>2</v>
      </c>
      <c r="D4" s="8">
        <f ca="1">IF(G4="","",YEAR(TODAY())-YEAR(G4))</f>
        <v>45</v>
      </c>
      <c r="E4" s="10">
        <v>43168</v>
      </c>
      <c r="F4" s="8" t="s">
        <v>63</v>
      </c>
      <c r="G4" s="10">
        <v>28823</v>
      </c>
      <c r="H4" s="8" t="s">
        <v>64</v>
      </c>
      <c r="I4" s="8" t="s">
        <v>64</v>
      </c>
    </row>
    <row r="5" spans="1:9">
      <c r="A5" s="8">
        <v>2</v>
      </c>
      <c r="B5" s="8" t="s">
        <v>3</v>
      </c>
      <c r="C5" s="9" t="s">
        <v>1</v>
      </c>
      <c r="D5" s="8">
        <f t="shared" ref="D5:D29" ca="1" si="0">IF(G5="","",YEAR(TODAY())-YEAR(G5))</f>
        <v>48</v>
      </c>
      <c r="E5" s="10">
        <v>43200</v>
      </c>
      <c r="F5" s="8" t="s">
        <v>65</v>
      </c>
      <c r="G5" s="12">
        <v>27510</v>
      </c>
      <c r="H5" s="8" t="s">
        <v>64</v>
      </c>
      <c r="I5" s="8" t="s">
        <v>64</v>
      </c>
    </row>
    <row r="6" spans="1:9">
      <c r="A6" s="8">
        <v>3</v>
      </c>
      <c r="B6" s="8" t="s">
        <v>11</v>
      </c>
      <c r="C6" s="9" t="s">
        <v>66</v>
      </c>
      <c r="D6" s="3">
        <f t="shared" ca="1" si="0"/>
        <v>73</v>
      </c>
      <c r="E6" s="11" t="s">
        <v>67</v>
      </c>
      <c r="F6" s="8" t="s">
        <v>68</v>
      </c>
      <c r="G6" s="11">
        <v>18471</v>
      </c>
      <c r="H6" s="8"/>
      <c r="I6" s="8"/>
    </row>
    <row r="7" spans="1:9">
      <c r="A7" s="8">
        <v>4</v>
      </c>
      <c r="B7" s="8" t="s">
        <v>12</v>
      </c>
      <c r="C7" s="9" t="s">
        <v>1</v>
      </c>
      <c r="D7" s="8">
        <f t="shared" ca="1" si="0"/>
        <v>40</v>
      </c>
      <c r="E7" s="10">
        <v>39527</v>
      </c>
      <c r="F7" s="8" t="s">
        <v>69</v>
      </c>
      <c r="G7" s="10">
        <v>30679</v>
      </c>
      <c r="H7" s="8" t="s">
        <v>70</v>
      </c>
      <c r="I7" s="8" t="s">
        <v>70</v>
      </c>
    </row>
    <row r="8" spans="1:9">
      <c r="A8" s="8">
        <v>5</v>
      </c>
      <c r="B8" s="8" t="s">
        <v>4</v>
      </c>
      <c r="C8" s="9" t="s">
        <v>1</v>
      </c>
      <c r="D8" s="8">
        <f t="shared" ca="1" si="0"/>
        <v>41</v>
      </c>
      <c r="E8" s="10">
        <v>43159</v>
      </c>
      <c r="F8" s="8" t="s">
        <v>71</v>
      </c>
      <c r="G8" s="10">
        <v>30120</v>
      </c>
      <c r="H8" s="8" t="s">
        <v>72</v>
      </c>
      <c r="I8" s="8" t="s">
        <v>73</v>
      </c>
    </row>
    <row r="9" spans="1:9">
      <c r="A9" s="8">
        <v>6</v>
      </c>
      <c r="B9" s="8" t="s">
        <v>5</v>
      </c>
      <c r="C9" s="9" t="s">
        <v>74</v>
      </c>
      <c r="D9" s="8">
        <f t="shared" ca="1" si="0"/>
        <v>34</v>
      </c>
      <c r="E9" s="10">
        <v>43679</v>
      </c>
      <c r="F9" s="8" t="s">
        <v>75</v>
      </c>
      <c r="G9" s="10">
        <v>32628</v>
      </c>
      <c r="H9" s="8" t="s">
        <v>76</v>
      </c>
      <c r="I9" s="8" t="s">
        <v>64</v>
      </c>
    </row>
    <row r="10" spans="1:9">
      <c r="A10" s="8">
        <v>7</v>
      </c>
      <c r="B10" s="8" t="s">
        <v>13</v>
      </c>
      <c r="C10" s="9" t="s">
        <v>2</v>
      </c>
      <c r="D10" s="8">
        <f t="shared" ca="1" si="0"/>
        <v>52</v>
      </c>
      <c r="E10" s="10">
        <v>39867</v>
      </c>
      <c r="F10" s="8" t="s">
        <v>77</v>
      </c>
      <c r="G10" s="10">
        <v>26072</v>
      </c>
      <c r="H10" s="9" t="s">
        <v>78</v>
      </c>
      <c r="I10" s="9" t="s">
        <v>79</v>
      </c>
    </row>
    <row r="11" spans="1:9">
      <c r="A11" s="8">
        <v>8</v>
      </c>
      <c r="B11" s="8" t="s">
        <v>6</v>
      </c>
      <c r="C11" s="9" t="s">
        <v>2</v>
      </c>
      <c r="D11" s="8">
        <f t="shared" ca="1" si="0"/>
        <v>47</v>
      </c>
      <c r="E11" s="10">
        <v>42309</v>
      </c>
      <c r="F11" s="9" t="s">
        <v>80</v>
      </c>
      <c r="G11" s="12">
        <v>27786</v>
      </c>
      <c r="H11" s="9" t="s">
        <v>79</v>
      </c>
      <c r="I11" s="9" t="s">
        <v>79</v>
      </c>
    </row>
    <row r="12" spans="1:9">
      <c r="A12" s="8">
        <v>9</v>
      </c>
      <c r="B12" s="8" t="s">
        <v>14</v>
      </c>
      <c r="C12" s="9" t="s">
        <v>66</v>
      </c>
      <c r="D12" s="3">
        <f t="shared" ca="1" si="0"/>
        <v>43</v>
      </c>
      <c r="E12" s="11" t="s">
        <v>81</v>
      </c>
      <c r="F12" s="8" t="s">
        <v>82</v>
      </c>
      <c r="G12" s="11">
        <v>29560</v>
      </c>
      <c r="H12" s="8"/>
      <c r="I12" s="8"/>
    </row>
    <row r="13" spans="1:9">
      <c r="A13" s="8">
        <v>10</v>
      </c>
      <c r="B13" s="8" t="s">
        <v>15</v>
      </c>
      <c r="C13" s="9" t="s">
        <v>1</v>
      </c>
      <c r="D13" s="8">
        <f t="shared" ca="1" si="0"/>
        <v>40</v>
      </c>
      <c r="E13" s="10">
        <v>42895</v>
      </c>
      <c r="F13" s="8" t="s">
        <v>83</v>
      </c>
      <c r="G13" s="10">
        <v>30498</v>
      </c>
      <c r="H13" s="8" t="s">
        <v>72</v>
      </c>
      <c r="I13" s="8" t="s">
        <v>73</v>
      </c>
    </row>
    <row r="14" spans="1:9">
      <c r="A14" s="8">
        <v>11</v>
      </c>
      <c r="B14" s="8" t="s">
        <v>16</v>
      </c>
      <c r="C14" s="9" t="s">
        <v>66</v>
      </c>
      <c r="D14" s="3">
        <f t="shared" ca="1" si="0"/>
        <v>40</v>
      </c>
      <c r="E14" s="11" t="s">
        <v>84</v>
      </c>
      <c r="F14" s="8" t="s">
        <v>85</v>
      </c>
      <c r="G14" s="11">
        <v>30440</v>
      </c>
      <c r="H14" s="8"/>
      <c r="I14" s="8"/>
    </row>
    <row r="15" spans="1:9">
      <c r="A15" s="8">
        <v>12</v>
      </c>
      <c r="B15" s="8" t="s">
        <v>120</v>
      </c>
      <c r="C15" s="9" t="s">
        <v>66</v>
      </c>
      <c r="D15" s="3">
        <f t="shared" ca="1" si="0"/>
        <v>42</v>
      </c>
      <c r="E15" s="11">
        <v>43629</v>
      </c>
      <c r="F15" s="8" t="s">
        <v>86</v>
      </c>
      <c r="G15" s="11">
        <v>29769</v>
      </c>
      <c r="H15" s="8" t="s">
        <v>73</v>
      </c>
      <c r="I15" s="8" t="s">
        <v>73</v>
      </c>
    </row>
    <row r="16" spans="1:9">
      <c r="A16" s="8">
        <v>13</v>
      </c>
      <c r="B16" s="8" t="s">
        <v>7</v>
      </c>
      <c r="C16" s="9" t="s">
        <v>66</v>
      </c>
      <c r="D16" s="8">
        <f t="shared" ca="1" si="0"/>
        <v>48</v>
      </c>
      <c r="E16" s="10">
        <v>39352</v>
      </c>
      <c r="F16" s="8" t="s">
        <v>87</v>
      </c>
      <c r="G16" s="10">
        <v>27561</v>
      </c>
      <c r="H16" s="8" t="s">
        <v>88</v>
      </c>
      <c r="I16" s="8" t="s">
        <v>88</v>
      </c>
    </row>
    <row r="17" spans="1:9">
      <c r="A17" s="8">
        <v>14</v>
      </c>
      <c r="B17" s="8" t="s">
        <v>17</v>
      </c>
      <c r="C17" s="9" t="s">
        <v>2</v>
      </c>
      <c r="D17" s="8">
        <f t="shared" ca="1" si="0"/>
        <v>45</v>
      </c>
      <c r="E17" s="10">
        <v>42766</v>
      </c>
      <c r="F17" s="8" t="s">
        <v>89</v>
      </c>
      <c r="G17" s="10">
        <v>28855</v>
      </c>
      <c r="H17" s="9" t="s">
        <v>70</v>
      </c>
      <c r="I17" s="9" t="s">
        <v>70</v>
      </c>
    </row>
    <row r="18" spans="1:9">
      <c r="A18" s="8">
        <v>16</v>
      </c>
      <c r="B18" s="8" t="s">
        <v>8</v>
      </c>
      <c r="C18" s="9" t="s">
        <v>2</v>
      </c>
      <c r="D18" s="8">
        <f t="shared" ca="1" si="0"/>
        <v>42</v>
      </c>
      <c r="E18" s="10">
        <v>39382</v>
      </c>
      <c r="F18" s="8" t="s">
        <v>90</v>
      </c>
      <c r="G18" s="10">
        <v>29893</v>
      </c>
      <c r="H18" s="9" t="s">
        <v>88</v>
      </c>
      <c r="I18" s="9" t="s">
        <v>121</v>
      </c>
    </row>
    <row r="19" spans="1:9">
      <c r="A19" s="8">
        <v>17</v>
      </c>
      <c r="B19" s="8" t="s">
        <v>18</v>
      </c>
      <c r="C19" s="9" t="s">
        <v>74</v>
      </c>
      <c r="D19" s="3">
        <f t="shared" ca="1" si="0"/>
        <v>39</v>
      </c>
      <c r="E19" s="11" t="s">
        <v>91</v>
      </c>
      <c r="F19" s="8" t="s">
        <v>92</v>
      </c>
      <c r="G19" s="11">
        <v>30730</v>
      </c>
      <c r="H19" s="8"/>
      <c r="I19" s="8"/>
    </row>
    <row r="20" spans="1:9">
      <c r="A20" s="8">
        <v>18</v>
      </c>
      <c r="B20" s="8" t="s">
        <v>10</v>
      </c>
      <c r="C20" s="9" t="s">
        <v>1</v>
      </c>
      <c r="D20" s="8">
        <f t="shared" ca="1" si="0"/>
        <v>43</v>
      </c>
      <c r="E20" s="10">
        <v>40038</v>
      </c>
      <c r="F20" s="8" t="s">
        <v>93</v>
      </c>
      <c r="G20" s="10">
        <v>29519</v>
      </c>
      <c r="H20" s="8" t="s">
        <v>70</v>
      </c>
      <c r="I20" s="8" t="s">
        <v>70</v>
      </c>
    </row>
    <row r="21" spans="1:9">
      <c r="A21" s="8">
        <v>19</v>
      </c>
      <c r="B21" s="8" t="s">
        <v>19</v>
      </c>
      <c r="C21" s="9" t="s">
        <v>2</v>
      </c>
      <c r="D21" s="8">
        <f t="shared" ca="1" si="0"/>
        <v>52</v>
      </c>
      <c r="E21" s="10">
        <v>39329</v>
      </c>
      <c r="F21" s="8" t="s">
        <v>94</v>
      </c>
      <c r="G21" s="10">
        <v>26173</v>
      </c>
      <c r="H21" s="9" t="s">
        <v>79</v>
      </c>
      <c r="I21" s="9" t="s">
        <v>88</v>
      </c>
    </row>
    <row r="22" spans="1:9">
      <c r="A22" s="8">
        <v>20</v>
      </c>
      <c r="B22" s="8" t="s">
        <v>20</v>
      </c>
      <c r="C22" s="9" t="s">
        <v>1</v>
      </c>
      <c r="D22" s="8">
        <f t="shared" ca="1" si="0"/>
        <v>40</v>
      </c>
      <c r="E22" s="10">
        <v>39541</v>
      </c>
      <c r="F22" s="8" t="s">
        <v>95</v>
      </c>
      <c r="G22" s="10">
        <v>30343</v>
      </c>
      <c r="H22" s="8" t="s">
        <v>70</v>
      </c>
      <c r="I22" s="8" t="s">
        <v>70</v>
      </c>
    </row>
    <row r="23" spans="1:9">
      <c r="A23" s="8">
        <v>21</v>
      </c>
      <c r="B23" s="8" t="s">
        <v>21</v>
      </c>
      <c r="C23" s="9" t="s">
        <v>2</v>
      </c>
      <c r="D23" s="8">
        <f t="shared" ca="1" si="0"/>
        <v>48</v>
      </c>
      <c r="E23" s="10">
        <v>40539</v>
      </c>
      <c r="F23" s="8" t="s">
        <v>96</v>
      </c>
      <c r="G23" s="12">
        <v>27643</v>
      </c>
      <c r="H23" s="9" t="s">
        <v>79</v>
      </c>
      <c r="I23" s="9" t="s">
        <v>70</v>
      </c>
    </row>
    <row r="24" spans="1:9">
      <c r="A24" s="8">
        <v>22</v>
      </c>
      <c r="B24" s="8" t="s">
        <v>22</v>
      </c>
      <c r="C24" s="9" t="s">
        <v>2</v>
      </c>
      <c r="D24" s="8">
        <f t="shared" ca="1" si="0"/>
        <v>42</v>
      </c>
      <c r="E24" s="10">
        <v>42605</v>
      </c>
      <c r="F24" s="8" t="s">
        <v>97</v>
      </c>
      <c r="G24" s="10">
        <v>29881</v>
      </c>
      <c r="H24" s="8" t="s">
        <v>88</v>
      </c>
      <c r="I24" s="8" t="s">
        <v>70</v>
      </c>
    </row>
    <row r="25" spans="1:9">
      <c r="A25" s="8">
        <v>23</v>
      </c>
      <c r="B25" s="8" t="s">
        <v>23</v>
      </c>
      <c r="C25" s="9" t="s">
        <v>74</v>
      </c>
      <c r="D25" s="3">
        <f t="shared" ca="1" si="0"/>
        <v>46</v>
      </c>
      <c r="E25" s="11" t="s">
        <v>98</v>
      </c>
      <c r="F25" s="8" t="s">
        <v>99</v>
      </c>
      <c r="G25" s="11">
        <v>28353</v>
      </c>
      <c r="H25" s="8" t="s">
        <v>73</v>
      </c>
      <c r="I25" s="8" t="s">
        <v>73</v>
      </c>
    </row>
    <row r="26" spans="1:9">
      <c r="A26" s="8">
        <v>24</v>
      </c>
      <c r="B26" s="8" t="s">
        <v>24</v>
      </c>
      <c r="C26" s="9" t="s">
        <v>74</v>
      </c>
      <c r="D26" s="3">
        <f t="shared" ca="1" si="0"/>
        <v>29</v>
      </c>
      <c r="E26" s="11">
        <v>43586</v>
      </c>
      <c r="F26" s="8" t="s">
        <v>100</v>
      </c>
      <c r="G26" s="11">
        <v>34454</v>
      </c>
      <c r="H26" s="8" t="s">
        <v>73</v>
      </c>
      <c r="I26" s="8" t="s">
        <v>73</v>
      </c>
    </row>
    <row r="27" spans="1:9">
      <c r="A27" s="8">
        <v>25</v>
      </c>
      <c r="B27" s="8" t="s">
        <v>25</v>
      </c>
      <c r="C27" s="9" t="s">
        <v>66</v>
      </c>
      <c r="D27" s="3">
        <f t="shared" ca="1" si="0"/>
        <v>29</v>
      </c>
      <c r="E27" s="11">
        <v>43586</v>
      </c>
      <c r="F27" s="8" t="s">
        <v>101</v>
      </c>
      <c r="G27" s="11">
        <v>34454</v>
      </c>
      <c r="H27" s="8" t="s">
        <v>73</v>
      </c>
      <c r="I27" s="8" t="s">
        <v>73</v>
      </c>
    </row>
    <row r="28" spans="1:9">
      <c r="A28" s="8">
        <v>26</v>
      </c>
      <c r="B28" s="8" t="s">
        <v>26</v>
      </c>
      <c r="C28" s="9" t="s">
        <v>1</v>
      </c>
      <c r="D28" s="8">
        <f t="shared" ca="1" si="0"/>
        <v>49</v>
      </c>
      <c r="E28" s="10">
        <v>39326</v>
      </c>
      <c r="F28" s="8" t="s">
        <v>102</v>
      </c>
      <c r="G28" s="10">
        <v>27380</v>
      </c>
      <c r="H28" s="8" t="s">
        <v>70</v>
      </c>
      <c r="I28" s="8" t="s">
        <v>70</v>
      </c>
    </row>
    <row r="29" spans="1:9">
      <c r="A29" s="8">
        <v>27</v>
      </c>
      <c r="B29" s="8" t="s">
        <v>117</v>
      </c>
      <c r="C29" s="9" t="s">
        <v>2</v>
      </c>
      <c r="D29" s="8">
        <f t="shared" ca="1" si="0"/>
        <v>39</v>
      </c>
      <c r="E29" s="10">
        <v>42917</v>
      </c>
      <c r="F29" s="9" t="s">
        <v>103</v>
      </c>
      <c r="G29" s="12">
        <v>30975</v>
      </c>
      <c r="H29" s="8" t="s">
        <v>72</v>
      </c>
      <c r="I29" s="9" t="s">
        <v>73</v>
      </c>
    </row>
    <row r="31" spans="1:9">
      <c r="A31" t="s">
        <v>115</v>
      </c>
    </row>
    <row r="32" spans="1:9">
      <c r="A32" s="8">
        <v>28</v>
      </c>
      <c r="B32" s="1" t="s">
        <v>122</v>
      </c>
      <c r="C32" s="9" t="s">
        <v>66</v>
      </c>
      <c r="D32" s="8">
        <f t="shared" ref="D32:D42" ca="1" si="1">IF(G32="","",YEAR(TODAY())-YEAR(G32))</f>
        <v>48</v>
      </c>
      <c r="E32" s="10">
        <v>41192</v>
      </c>
      <c r="F32" s="8" t="s">
        <v>104</v>
      </c>
      <c r="G32" s="12">
        <v>27588</v>
      </c>
      <c r="H32" s="9" t="s">
        <v>72</v>
      </c>
      <c r="I32" s="9" t="s">
        <v>72</v>
      </c>
    </row>
    <row r="33" spans="1:9">
      <c r="A33" s="8">
        <v>29</v>
      </c>
      <c r="B33" s="1" t="s">
        <v>118</v>
      </c>
      <c r="C33" s="9" t="s">
        <v>66</v>
      </c>
      <c r="D33" s="8">
        <f t="shared" ca="1" si="1"/>
        <v>48</v>
      </c>
      <c r="E33" s="10">
        <v>44566</v>
      </c>
      <c r="F33" s="8" t="s">
        <v>106</v>
      </c>
      <c r="G33" s="10">
        <v>27734</v>
      </c>
      <c r="H33" s="8" t="s">
        <v>76</v>
      </c>
      <c r="I33" s="8" t="s">
        <v>70</v>
      </c>
    </row>
    <row r="34" spans="1:9">
      <c r="A34" s="8">
        <v>30</v>
      </c>
      <c r="B34" s="1" t="s">
        <v>119</v>
      </c>
      <c r="C34" s="9" t="s">
        <v>74</v>
      </c>
      <c r="D34" s="8">
        <f t="shared" ca="1" si="1"/>
        <v>59</v>
      </c>
      <c r="E34" s="10">
        <v>44892</v>
      </c>
      <c r="F34" s="8" t="s">
        <v>108</v>
      </c>
      <c r="G34" s="10">
        <v>23659</v>
      </c>
      <c r="H34" s="9" t="s">
        <v>78</v>
      </c>
      <c r="I34" s="9" t="s">
        <v>88</v>
      </c>
    </row>
    <row r="35" spans="1:9">
      <c r="A35" s="8">
        <v>31</v>
      </c>
      <c r="B35" s="1" t="s">
        <v>123</v>
      </c>
      <c r="C35" s="9" t="s">
        <v>66</v>
      </c>
      <c r="D35" s="8">
        <f t="shared" ca="1" si="1"/>
        <v>60</v>
      </c>
      <c r="E35" s="10">
        <v>44796</v>
      </c>
      <c r="F35" s="8" t="s">
        <v>110</v>
      </c>
      <c r="G35" s="10">
        <v>23066</v>
      </c>
      <c r="H35" s="8" t="s">
        <v>79</v>
      </c>
      <c r="I35" s="8" t="s">
        <v>70</v>
      </c>
    </row>
    <row r="36" spans="1:9">
      <c r="A36" s="8">
        <v>32</v>
      </c>
      <c r="B36" s="1" t="s">
        <v>124</v>
      </c>
      <c r="C36" s="9" t="s">
        <v>74</v>
      </c>
      <c r="D36" s="8">
        <f t="shared" ca="1" si="1"/>
        <v>53</v>
      </c>
      <c r="E36" s="10">
        <v>44790</v>
      </c>
      <c r="F36" s="8" t="s">
        <v>109</v>
      </c>
      <c r="G36" s="10">
        <v>25753</v>
      </c>
      <c r="H36" s="9" t="s">
        <v>88</v>
      </c>
      <c r="I36" s="9" t="s">
        <v>70</v>
      </c>
    </row>
    <row r="37" spans="1:9">
      <c r="A37" s="8">
        <v>33</v>
      </c>
      <c r="B37" s="1" t="s">
        <v>125</v>
      </c>
      <c r="C37" s="9" t="s">
        <v>66</v>
      </c>
      <c r="D37" s="8">
        <f t="shared" ca="1" si="1"/>
        <v>58</v>
      </c>
      <c r="E37" s="10">
        <v>44599</v>
      </c>
      <c r="F37" s="8" t="s">
        <v>113</v>
      </c>
      <c r="G37" s="10">
        <v>24101</v>
      </c>
      <c r="H37" s="8" t="s">
        <v>88</v>
      </c>
      <c r="I37" s="8" t="s">
        <v>88</v>
      </c>
    </row>
    <row r="38" spans="1:9">
      <c r="A38" s="8">
        <v>34</v>
      </c>
      <c r="B38" s="1" t="s">
        <v>126</v>
      </c>
      <c r="C38" s="9" t="s">
        <v>74</v>
      </c>
      <c r="D38" s="8">
        <f t="shared" ca="1" si="1"/>
        <v>58</v>
      </c>
      <c r="E38" s="10">
        <v>42605</v>
      </c>
      <c r="F38" s="8" t="s">
        <v>105</v>
      </c>
      <c r="G38" s="10">
        <v>23969</v>
      </c>
      <c r="H38" s="8" t="s">
        <v>70</v>
      </c>
      <c r="I38" s="8" t="s">
        <v>70</v>
      </c>
    </row>
    <row r="39" spans="1:9">
      <c r="A39" s="8">
        <v>35</v>
      </c>
      <c r="B39" s="1" t="s">
        <v>127</v>
      </c>
      <c r="C39" s="9" t="s">
        <v>66</v>
      </c>
      <c r="D39" s="8">
        <f t="shared" ca="1" si="1"/>
        <v>56</v>
      </c>
      <c r="E39" s="10">
        <v>44795</v>
      </c>
      <c r="F39" s="8" t="s">
        <v>111</v>
      </c>
      <c r="G39" s="12">
        <v>24734</v>
      </c>
      <c r="H39" s="9" t="s">
        <v>70</v>
      </c>
      <c r="I39" s="9" t="s">
        <v>70</v>
      </c>
    </row>
    <row r="40" spans="1:9">
      <c r="A40" s="8">
        <v>36</v>
      </c>
      <c r="B40" s="1" t="s">
        <v>128</v>
      </c>
      <c r="C40" s="9" t="s">
        <v>66</v>
      </c>
      <c r="D40" s="8">
        <f t="shared" ca="1" si="1"/>
        <v>54</v>
      </c>
      <c r="E40" s="10">
        <v>44592</v>
      </c>
      <c r="F40" s="8" t="s">
        <v>112</v>
      </c>
      <c r="G40" s="10">
        <v>25535</v>
      </c>
      <c r="H40" s="9" t="s">
        <v>70</v>
      </c>
      <c r="I40" s="9" t="s">
        <v>70</v>
      </c>
    </row>
    <row r="41" spans="1:9">
      <c r="A41" s="8">
        <v>37</v>
      </c>
      <c r="B41" s="1" t="s">
        <v>129</v>
      </c>
      <c r="C41" s="9" t="s">
        <v>66</v>
      </c>
      <c r="D41" s="8">
        <f t="shared" ca="1" si="1"/>
        <v>53</v>
      </c>
      <c r="E41" s="10">
        <v>44721</v>
      </c>
      <c r="F41" s="8" t="s">
        <v>107</v>
      </c>
      <c r="G41" s="10">
        <v>25866</v>
      </c>
      <c r="H41" s="8" t="s">
        <v>72</v>
      </c>
      <c r="I41" s="8" t="s">
        <v>73</v>
      </c>
    </row>
    <row r="42" spans="1:9">
      <c r="A42" s="8">
        <v>38</v>
      </c>
      <c r="B42" s="1" t="s">
        <v>130</v>
      </c>
      <c r="C42" s="9" t="s">
        <v>66</v>
      </c>
      <c r="D42" s="8">
        <f t="shared" ca="1" si="1"/>
        <v>32</v>
      </c>
      <c r="E42" s="10">
        <v>44578</v>
      </c>
      <c r="F42" s="8" t="s">
        <v>114</v>
      </c>
      <c r="G42" s="10">
        <v>33248</v>
      </c>
      <c r="H42" s="8" t="s">
        <v>72</v>
      </c>
      <c r="I42" s="8" t="s">
        <v>72</v>
      </c>
    </row>
  </sheetData>
  <sheetProtection formatCells="0"/>
  <sortState xmlns:xlrd2="http://schemas.microsoft.com/office/spreadsheetml/2017/richdata2"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6"/>
  <sheetViews>
    <sheetView workbookViewId="0">
      <selection activeCell="B1" sqref="B1"/>
    </sheetView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0</v>
      </c>
    </row>
    <row r="2" spans="1:9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H2" s="14" t="s">
        <v>157</v>
      </c>
      <c r="I2" s="14" t="s">
        <v>165</v>
      </c>
    </row>
    <row r="3" spans="1:9">
      <c r="A3" s="3">
        <v>1</v>
      </c>
      <c r="B3" s="3" t="s">
        <v>132</v>
      </c>
      <c r="C3" s="18" t="s">
        <v>166</v>
      </c>
      <c r="D3" s="15">
        <v>201933080</v>
      </c>
      <c r="E3" s="13">
        <v>45002</v>
      </c>
      <c r="F3" s="3">
        <v>989</v>
      </c>
      <c r="G3" s="3">
        <v>993</v>
      </c>
      <c r="H3" s="3"/>
      <c r="I3" s="3" t="str" cm="1">
        <f t="array" ref="I3">Module4.fn결과(C3,F3,G3)</f>
        <v>졸업</v>
      </c>
    </row>
    <row r="4" spans="1:9">
      <c r="A4" s="3">
        <v>2</v>
      </c>
      <c r="B4" s="3" t="s">
        <v>132</v>
      </c>
      <c r="C4" s="18" t="s">
        <v>167</v>
      </c>
      <c r="D4" s="15">
        <v>202129018</v>
      </c>
      <c r="E4" s="13">
        <v>45002</v>
      </c>
      <c r="F4" s="3">
        <v>712</v>
      </c>
      <c r="G4" s="3">
        <v>640</v>
      </c>
      <c r="H4" s="3"/>
      <c r="I4" s="3" t="str" cm="1">
        <f t="array" ref="I4">Module4.fn결과(C4,F4,G4)</f>
        <v>D등급</v>
      </c>
    </row>
    <row r="5" spans="1:9">
      <c r="A5" s="3">
        <v>3</v>
      </c>
      <c r="B5" s="3" t="s">
        <v>132</v>
      </c>
      <c r="C5" s="18" t="s">
        <v>168</v>
      </c>
      <c r="D5" s="15">
        <v>202049308</v>
      </c>
      <c r="E5" s="13">
        <v>45003</v>
      </c>
      <c r="F5" s="3">
        <v>977</v>
      </c>
      <c r="G5" s="3">
        <v>642</v>
      </c>
      <c r="H5" s="3"/>
      <c r="I5" s="3" t="str" cm="1">
        <f t="array" ref="I5">Module4.fn결과(C5,F5,G5)</f>
        <v>B등급</v>
      </c>
    </row>
    <row r="6" spans="1:9">
      <c r="A6" s="3">
        <v>4</v>
      </c>
      <c r="B6" s="3" t="s">
        <v>132</v>
      </c>
      <c r="C6" s="18" t="s">
        <v>169</v>
      </c>
      <c r="D6" s="15">
        <v>202219016</v>
      </c>
      <c r="E6" s="13">
        <v>45004</v>
      </c>
      <c r="F6" s="3">
        <v>741</v>
      </c>
      <c r="G6" s="3">
        <v>607</v>
      </c>
      <c r="H6" s="3"/>
      <c r="I6" s="3" t="str" cm="1">
        <f t="array" ref="I6">Module4.fn결과(C6,F6,G6)</f>
        <v>D등급</v>
      </c>
    </row>
    <row r="7" spans="1:9">
      <c r="A7" s="3">
        <v>5</v>
      </c>
      <c r="B7" s="3" t="s">
        <v>132</v>
      </c>
      <c r="C7" s="18" t="s">
        <v>169</v>
      </c>
      <c r="D7" s="16">
        <v>202224019</v>
      </c>
      <c r="E7" s="13">
        <v>45001</v>
      </c>
      <c r="F7" s="3">
        <v>800</v>
      </c>
      <c r="G7" s="3">
        <v>874</v>
      </c>
      <c r="H7" s="3"/>
      <c r="I7" s="3" t="str" cm="1">
        <f t="array" ref="I7">Module4.fn결과(C7,F7,G7)</f>
        <v>B등급</v>
      </c>
    </row>
    <row r="8" spans="1:9">
      <c r="A8" s="3">
        <v>6</v>
      </c>
      <c r="B8" s="3" t="s">
        <v>132</v>
      </c>
      <c r="C8" s="18" t="s">
        <v>168</v>
      </c>
      <c r="D8" s="16">
        <v>202029015</v>
      </c>
      <c r="E8" s="13">
        <v>44998</v>
      </c>
      <c r="F8" s="3">
        <v>674</v>
      </c>
      <c r="G8" s="3">
        <v>876</v>
      </c>
      <c r="H8" s="3"/>
      <c r="I8" s="3" t="str" cm="1">
        <f t="array" ref="I8">Module4.fn결과(C8,F8,G8)</f>
        <v>C등급</v>
      </c>
    </row>
    <row r="9" spans="1:9">
      <c r="A9" s="3">
        <v>7</v>
      </c>
      <c r="B9" s="3" t="s">
        <v>132</v>
      </c>
      <c r="C9" s="18" t="s">
        <v>166</v>
      </c>
      <c r="D9" s="16">
        <v>201919013</v>
      </c>
      <c r="E9" s="13">
        <v>45001</v>
      </c>
      <c r="F9" s="3">
        <v>713</v>
      </c>
      <c r="G9" s="3">
        <v>645</v>
      </c>
      <c r="H9" s="3"/>
      <c r="I9" s="3" t="str" cm="1">
        <f t="array" ref="I9">Module4.fn결과(C9,F9,G9)</f>
        <v>재시험</v>
      </c>
    </row>
    <row r="10" spans="1:9">
      <c r="A10" s="3">
        <v>8</v>
      </c>
      <c r="B10" s="3" t="s">
        <v>132</v>
      </c>
      <c r="C10" s="18" t="s">
        <v>168</v>
      </c>
      <c r="D10" s="16">
        <v>202049033</v>
      </c>
      <c r="E10" s="13">
        <v>45000</v>
      </c>
      <c r="F10" s="3">
        <v>856</v>
      </c>
      <c r="G10" s="3">
        <v>850</v>
      </c>
      <c r="H10" s="3"/>
      <c r="I10" s="3" t="str" cm="1">
        <f t="array" ref="I10">Module4.fn결과(C10,F10,G10)</f>
        <v>B등급</v>
      </c>
    </row>
    <row r="11" spans="1:9">
      <c r="A11" s="3">
        <v>9</v>
      </c>
      <c r="B11" s="3" t="s">
        <v>132</v>
      </c>
      <c r="C11" s="18" t="s">
        <v>167</v>
      </c>
      <c r="D11" s="16">
        <v>202131015</v>
      </c>
      <c r="E11" s="13">
        <v>45003</v>
      </c>
      <c r="F11" s="3">
        <v>887</v>
      </c>
      <c r="G11" s="3">
        <v>820</v>
      </c>
      <c r="H11" s="3"/>
      <c r="I11" s="3" t="str" cm="1">
        <f t="array" ref="I11">Module4.fn결과(C11,F11,G11)</f>
        <v>B등급</v>
      </c>
    </row>
    <row r="12" spans="1:9">
      <c r="A12" s="3">
        <v>10</v>
      </c>
      <c r="B12" s="3" t="s">
        <v>132</v>
      </c>
      <c r="C12" s="18" t="s">
        <v>167</v>
      </c>
      <c r="D12" s="16">
        <v>202111301</v>
      </c>
      <c r="E12" s="13">
        <v>44998</v>
      </c>
      <c r="F12" s="3">
        <v>718</v>
      </c>
      <c r="G12" s="3">
        <v>686</v>
      </c>
      <c r="H12" s="3"/>
      <c r="I12" s="3" t="str" cm="1">
        <f t="array" ref="I12">Module4.fn결과(C12,F12,G12)</f>
        <v>C등급</v>
      </c>
    </row>
    <row r="13" spans="1:9">
      <c r="A13" s="3">
        <v>11</v>
      </c>
      <c r="B13" s="3" t="s">
        <v>132</v>
      </c>
      <c r="C13" s="18" t="s">
        <v>168</v>
      </c>
      <c r="D13" s="15">
        <v>202041047</v>
      </c>
      <c r="E13" s="13">
        <v>45003</v>
      </c>
      <c r="F13" s="3">
        <v>754</v>
      </c>
      <c r="G13" s="3">
        <v>990</v>
      </c>
      <c r="H13" s="3"/>
      <c r="I13" s="3" t="str" cm="1">
        <f t="array" ref="I13">Module4.fn결과(C13,F13,G13)</f>
        <v>B등급</v>
      </c>
    </row>
    <row r="14" spans="1:9">
      <c r="A14" s="3">
        <v>12</v>
      </c>
      <c r="B14" s="3" t="s">
        <v>132</v>
      </c>
      <c r="C14" s="18" t="s">
        <v>169</v>
      </c>
      <c r="D14" s="16">
        <v>202211046</v>
      </c>
      <c r="E14" s="13">
        <v>45000</v>
      </c>
      <c r="F14" s="3">
        <v>669</v>
      </c>
      <c r="G14" s="3">
        <v>819</v>
      </c>
      <c r="H14" s="3"/>
      <c r="I14" s="3" t="str" cm="1">
        <f t="array" ref="I14">Module4.fn결과(C14,F14,G14)</f>
        <v>C등급</v>
      </c>
    </row>
    <row r="15" spans="1:9">
      <c r="A15" s="3">
        <v>13</v>
      </c>
      <c r="B15" s="3" t="s">
        <v>132</v>
      </c>
      <c r="C15" s="18" t="s">
        <v>169</v>
      </c>
      <c r="D15" s="16">
        <v>202227015</v>
      </c>
      <c r="E15" s="13">
        <v>45002</v>
      </c>
      <c r="F15" s="3">
        <v>790</v>
      </c>
      <c r="G15" s="3">
        <v>962</v>
      </c>
      <c r="H15" s="3"/>
      <c r="I15" s="3" t="str" cm="1">
        <f t="array" ref="I15">Module4.fn결과(C15,F15,G15)</f>
        <v>B등급</v>
      </c>
    </row>
    <row r="16" spans="1:9">
      <c r="A16" s="3">
        <v>14</v>
      </c>
      <c r="B16" s="3" t="s">
        <v>131</v>
      </c>
      <c r="C16" s="18" t="s">
        <v>167</v>
      </c>
      <c r="D16" s="16">
        <v>202149330</v>
      </c>
      <c r="E16" s="13">
        <v>45001</v>
      </c>
      <c r="F16" s="3">
        <v>963</v>
      </c>
      <c r="G16" s="3">
        <v>623</v>
      </c>
      <c r="H16" s="3"/>
      <c r="I16" s="3" t="str" cm="1">
        <f t="array" ref="I16">Module4.fn결과(C16,F16,G16)</f>
        <v>C등급</v>
      </c>
    </row>
    <row r="17" spans="1:9">
      <c r="A17" s="3">
        <v>15</v>
      </c>
      <c r="B17" s="3" t="s">
        <v>131</v>
      </c>
      <c r="C17" s="18" t="s">
        <v>169</v>
      </c>
      <c r="D17" s="15">
        <v>202227002</v>
      </c>
      <c r="E17" s="13">
        <v>45001</v>
      </c>
      <c r="F17" s="3">
        <v>978</v>
      </c>
      <c r="G17" s="3">
        <v>640</v>
      </c>
      <c r="H17" s="3"/>
      <c r="I17" s="3" t="str" cm="1">
        <f t="array" ref="I17">Module4.fn결과(C17,F17,G17)</f>
        <v>B등급</v>
      </c>
    </row>
    <row r="18" spans="1:9">
      <c r="A18" s="3">
        <v>16</v>
      </c>
      <c r="B18" s="3" t="s">
        <v>131</v>
      </c>
      <c r="C18" s="18" t="s">
        <v>169</v>
      </c>
      <c r="D18" s="15">
        <v>202214007</v>
      </c>
      <c r="E18" s="13">
        <v>45003</v>
      </c>
      <c r="F18" s="3">
        <v>992</v>
      </c>
      <c r="G18" s="3">
        <v>831</v>
      </c>
      <c r="H18" s="3"/>
      <c r="I18" s="3" t="str" cm="1">
        <f t="array" ref="I18">Module4.fn결과(C18,F18,G18)</f>
        <v>A등급</v>
      </c>
    </row>
    <row r="19" spans="1:9">
      <c r="A19" s="3">
        <v>17</v>
      </c>
      <c r="B19" s="3" t="s">
        <v>131</v>
      </c>
      <c r="C19" s="18" t="s">
        <v>168</v>
      </c>
      <c r="D19" s="15">
        <v>202034020</v>
      </c>
      <c r="E19" s="13">
        <v>45000</v>
      </c>
      <c r="F19" s="3">
        <v>966</v>
      </c>
      <c r="G19" s="3">
        <v>825</v>
      </c>
      <c r="H19" s="3"/>
      <c r="I19" s="3" t="str" cm="1">
        <f t="array" ref="I19">Module4.fn결과(C19,F19,G19)</f>
        <v>B등급</v>
      </c>
    </row>
    <row r="20" spans="1:9">
      <c r="A20" s="3">
        <v>18</v>
      </c>
      <c r="B20" s="3" t="s">
        <v>131</v>
      </c>
      <c r="C20" s="18" t="s">
        <v>166</v>
      </c>
      <c r="D20" s="15">
        <v>201934022</v>
      </c>
      <c r="E20" s="13">
        <v>45000</v>
      </c>
      <c r="F20" s="3">
        <v>818</v>
      </c>
      <c r="G20" s="3">
        <v>991</v>
      </c>
      <c r="H20" s="3"/>
      <c r="I20" s="3" t="str" cm="1">
        <f t="array" ref="I20">Module4.fn결과(C20,F20,G20)</f>
        <v>졸업</v>
      </c>
    </row>
    <row r="21" spans="1:9">
      <c r="A21" s="3">
        <v>19</v>
      </c>
      <c r="B21" s="3" t="s">
        <v>131</v>
      </c>
      <c r="C21" s="18" t="s">
        <v>169</v>
      </c>
      <c r="D21" s="16">
        <v>202211028</v>
      </c>
      <c r="E21" s="13">
        <v>44998</v>
      </c>
      <c r="F21" s="3">
        <v>946</v>
      </c>
      <c r="G21" s="3">
        <v>617</v>
      </c>
      <c r="H21" s="3"/>
      <c r="I21" s="3" t="str" cm="1">
        <f t="array" ref="I21">Module4.fn결과(C21,F21,G21)</f>
        <v>C등급</v>
      </c>
    </row>
    <row r="22" spans="1:9">
      <c r="A22" s="3">
        <v>20</v>
      </c>
      <c r="B22" s="3" t="s">
        <v>131</v>
      </c>
      <c r="C22" s="18" t="s">
        <v>169</v>
      </c>
      <c r="D22" s="16">
        <v>202211013</v>
      </c>
      <c r="E22" s="13">
        <v>45003</v>
      </c>
      <c r="F22" s="3">
        <v>967</v>
      </c>
      <c r="G22" s="3">
        <v>711</v>
      </c>
      <c r="H22" s="3"/>
      <c r="I22" s="3" t="str" cm="1">
        <f t="array" ref="I22">Module4.fn결과(C22,F22,G22)</f>
        <v>B등급</v>
      </c>
    </row>
    <row r="23" spans="1:9">
      <c r="A23" s="3">
        <v>21</v>
      </c>
      <c r="B23" s="3" t="s">
        <v>131</v>
      </c>
      <c r="C23" s="18" t="s">
        <v>166</v>
      </c>
      <c r="D23" s="16">
        <v>201911005</v>
      </c>
      <c r="E23" s="13">
        <v>44998</v>
      </c>
      <c r="F23" s="3">
        <v>602</v>
      </c>
      <c r="G23" s="3">
        <v>867</v>
      </c>
      <c r="H23" s="3"/>
      <c r="I23" s="3" t="str" cm="1">
        <f t="array" ref="I23">Module4.fn결과(C23,F23,G23)</f>
        <v>재시험</v>
      </c>
    </row>
    <row r="24" spans="1:9">
      <c r="A24" s="3">
        <v>22</v>
      </c>
      <c r="B24" s="3" t="s">
        <v>131</v>
      </c>
      <c r="C24" s="18" t="s">
        <v>168</v>
      </c>
      <c r="D24" s="16">
        <v>202041050</v>
      </c>
      <c r="E24" s="13">
        <v>45001</v>
      </c>
      <c r="F24" s="3">
        <v>729</v>
      </c>
      <c r="G24" s="3">
        <v>611</v>
      </c>
      <c r="H24" s="3"/>
      <c r="I24" s="3" t="str" cm="1">
        <f t="array" ref="I24">Module4.fn결과(C24,F24,G24)</f>
        <v>D등급</v>
      </c>
    </row>
    <row r="25" spans="1:9">
      <c r="A25" s="3">
        <v>23</v>
      </c>
      <c r="B25" s="3" t="s">
        <v>131</v>
      </c>
      <c r="C25" s="18" t="s">
        <v>166</v>
      </c>
      <c r="D25" s="16">
        <v>201911304</v>
      </c>
      <c r="E25" s="13">
        <v>45004</v>
      </c>
      <c r="F25" s="3">
        <v>644</v>
      </c>
      <c r="G25" s="3">
        <v>714</v>
      </c>
      <c r="H25" s="3"/>
      <c r="I25" s="3" t="str" cm="1">
        <f t="array" ref="I25">Module4.fn결과(C25,F25,G25)</f>
        <v>재시험</v>
      </c>
    </row>
    <row r="26" spans="1:9">
      <c r="A26" s="3">
        <v>24</v>
      </c>
      <c r="B26" s="3" t="s">
        <v>131</v>
      </c>
      <c r="C26" s="18" t="s">
        <v>168</v>
      </c>
      <c r="D26" s="16">
        <v>202037036</v>
      </c>
      <c r="E26" s="13">
        <v>45000</v>
      </c>
      <c r="F26" s="3">
        <v>974</v>
      </c>
      <c r="G26" s="3">
        <v>603</v>
      </c>
      <c r="H26" s="3"/>
      <c r="I26" s="3" t="str" cm="1">
        <f t="array" ref="I26">Module4.fn결과(C26,F26,G26)</f>
        <v>C등급</v>
      </c>
    </row>
    <row r="27" spans="1:9">
      <c r="A27" s="3">
        <v>25</v>
      </c>
      <c r="B27" s="3" t="s">
        <v>131</v>
      </c>
      <c r="C27" s="18" t="s">
        <v>166</v>
      </c>
      <c r="D27" s="15">
        <v>201921026</v>
      </c>
      <c r="E27" s="13">
        <v>44998</v>
      </c>
      <c r="F27" s="3">
        <v>638</v>
      </c>
      <c r="G27" s="3">
        <v>641</v>
      </c>
      <c r="H27" s="3"/>
      <c r="I27" s="3" t="str" cm="1">
        <f t="array" ref="I27">Module4.fn결과(C27,F27,G27)</f>
        <v>재시험</v>
      </c>
    </row>
    <row r="29" spans="1:9">
      <c r="A29" s="2" t="s">
        <v>148</v>
      </c>
    </row>
    <row r="30" spans="1:9">
      <c r="A30" s="3" t="s">
        <v>147</v>
      </c>
      <c r="B30" s="14" t="s">
        <v>140</v>
      </c>
      <c r="C30" s="14" t="s">
        <v>141</v>
      </c>
      <c r="D30" s="14" t="s">
        <v>142</v>
      </c>
      <c r="E30" s="14" t="s">
        <v>143</v>
      </c>
      <c r="F30" s="14" t="s">
        <v>144</v>
      </c>
      <c r="G30" s="14" t="s">
        <v>145</v>
      </c>
      <c r="H30" s="14" t="s">
        <v>146</v>
      </c>
    </row>
    <row r="31" spans="1:9">
      <c r="A31" s="14">
        <v>1</v>
      </c>
      <c r="B31" s="3"/>
      <c r="C31" s="3"/>
      <c r="D31" s="3"/>
      <c r="E31" s="3"/>
      <c r="F31" s="3"/>
      <c r="G31" s="3"/>
      <c r="H31" s="3"/>
    </row>
    <row r="32" spans="1:9">
      <c r="A32" s="14">
        <v>2</v>
      </c>
      <c r="B32" s="3"/>
      <c r="C32" s="3"/>
      <c r="D32" s="3"/>
      <c r="E32" s="3"/>
      <c r="F32" s="3"/>
      <c r="G32" s="3"/>
      <c r="H32" s="3"/>
    </row>
    <row r="34" spans="1:7">
      <c r="A34" s="2" t="s">
        <v>156</v>
      </c>
      <c r="E34" s="2" t="s">
        <v>158</v>
      </c>
    </row>
    <row r="35" spans="1:7">
      <c r="A35" s="14" t="s">
        <v>155</v>
      </c>
      <c r="B35" s="14" t="s">
        <v>153</v>
      </c>
      <c r="C35" s="14" t="s">
        <v>154</v>
      </c>
      <c r="E35" s="14" t="s">
        <v>159</v>
      </c>
      <c r="F35" s="14" t="s">
        <v>160</v>
      </c>
      <c r="G35" s="14" t="s">
        <v>161</v>
      </c>
    </row>
    <row r="36" spans="1:7">
      <c r="A36" s="3" t="s">
        <v>149</v>
      </c>
      <c r="B36" s="17">
        <v>0.4</v>
      </c>
      <c r="C36" s="17">
        <v>0.6</v>
      </c>
      <c r="E36" s="18" t="s">
        <v>195</v>
      </c>
      <c r="F36" s="3">
        <f t="array" ref="F36">ROUNDUP(AVERAGE(IF($C$3:$C$27=$E36,F$3:F$27)),0)</f>
        <v>861</v>
      </c>
      <c r="G36" s="3">
        <f t="array" ref="G36">ROUNDUP(AVERAGE(IF($C$3:$C$27=$E36,G$3:G$27)),0)</f>
        <v>758</v>
      </c>
    </row>
    <row r="37" spans="1:7">
      <c r="A37" s="3" t="s">
        <v>150</v>
      </c>
      <c r="B37" s="17">
        <v>0.5</v>
      </c>
      <c r="C37" s="17">
        <v>0.5</v>
      </c>
      <c r="E37" s="18" t="s">
        <v>167</v>
      </c>
      <c r="F37" s="3">
        <f t="array" ref="F37">ROUNDUP(AVERAGE(IF($C$3:$C$27=$E37,F$3:F$27)),0)</f>
        <v>820</v>
      </c>
      <c r="G37" s="3">
        <f t="array" ref="G37">ROUNDUP(AVERAGE(IF($C$3:$C$27=$E37,G$3:G$27)),0)</f>
        <v>693</v>
      </c>
    </row>
    <row r="38" spans="1:7">
      <c r="A38" s="3" t="s">
        <v>151</v>
      </c>
      <c r="B38" s="17">
        <v>0.6</v>
      </c>
      <c r="C38" s="17">
        <v>0.4</v>
      </c>
      <c r="E38" s="18" t="s">
        <v>168</v>
      </c>
      <c r="F38" s="3">
        <f t="array" ref="F38">ROUNDUP(AVERAGE(IF($C$3:$C$27=$E38,F$3:F$27)),0)</f>
        <v>848</v>
      </c>
      <c r="G38" s="3">
        <f t="array" ref="G38">ROUNDUP(AVERAGE(IF($C$3:$C$27=$E38,G$3:G$27)),0)</f>
        <v>771</v>
      </c>
    </row>
    <row r="39" spans="1:7">
      <c r="A39" s="3" t="s">
        <v>152</v>
      </c>
      <c r="B39" s="17">
        <v>0.3</v>
      </c>
      <c r="C39" s="17">
        <v>0.7</v>
      </c>
      <c r="E39" s="18" t="s">
        <v>166</v>
      </c>
      <c r="F39" s="3">
        <f t="array" ref="F39">ROUNDUP(AVERAGE(IF($C$3:$C$27=$E39,F$3:F$27)),0)</f>
        <v>734</v>
      </c>
      <c r="G39" s="3">
        <f t="array" ref="G39">ROUNDUP(AVERAGE(IF($C$3:$C$27=$E39,G$3:G$27)),0)</f>
        <v>809</v>
      </c>
    </row>
    <row r="41" spans="1:7">
      <c r="E41" s="5" t="s">
        <v>162</v>
      </c>
      <c r="F41" s="2" t="s">
        <v>164</v>
      </c>
    </row>
    <row r="42" spans="1:7">
      <c r="E42" s="20" t="s">
        <v>163</v>
      </c>
      <c r="F42" s="19" t="s">
        <v>137</v>
      </c>
      <c r="G42" s="19" t="s">
        <v>138</v>
      </c>
    </row>
    <row r="43" spans="1:7">
      <c r="E43" s="18" t="s">
        <v>195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167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168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166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G22"/>
  <sheetViews>
    <sheetView workbookViewId="0"/>
  </sheetViews>
  <sheetFormatPr defaultRowHeight="16.899999999999999"/>
  <cols>
    <col min="1" max="1" width="10.5625" bestFit="1" customWidth="1"/>
    <col min="2" max="2" width="13.0625" bestFit="1" customWidth="1"/>
    <col min="3" max="6" width="6.6875" bestFit="1" customWidth="1"/>
    <col min="7" max="7" width="6.4375" bestFit="1" customWidth="1"/>
    <col min="8" max="9" width="13.0625" bestFit="1" customWidth="1"/>
    <col min="10" max="10" width="15.625" bestFit="1" customWidth="1"/>
    <col min="11" max="11" width="17.5625" bestFit="1" customWidth="1"/>
  </cols>
  <sheetData>
    <row r="3" spans="1:7">
      <c r="C3" s="27" t="s">
        <v>204</v>
      </c>
    </row>
    <row r="4" spans="1:7">
      <c r="A4" s="27" t="s">
        <v>203</v>
      </c>
      <c r="B4" s="27" t="s">
        <v>206</v>
      </c>
      <c r="C4" t="s">
        <v>169</v>
      </c>
      <c r="D4" t="s">
        <v>167</v>
      </c>
      <c r="E4" t="s">
        <v>168</v>
      </c>
      <c r="F4" t="s">
        <v>166</v>
      </c>
      <c r="G4" t="s">
        <v>205</v>
      </c>
    </row>
    <row r="5" spans="1:7">
      <c r="A5" s="28">
        <v>44998</v>
      </c>
      <c r="C5" s="29"/>
      <c r="D5" s="29"/>
      <c r="E5" s="29"/>
      <c r="F5" s="29"/>
      <c r="G5" s="29"/>
    </row>
    <row r="6" spans="1:7">
      <c r="B6" t="s">
        <v>207</v>
      </c>
      <c r="C6" s="29">
        <v>946</v>
      </c>
      <c r="D6" s="29">
        <v>718</v>
      </c>
      <c r="E6" s="29">
        <v>674</v>
      </c>
      <c r="F6" s="29">
        <v>638</v>
      </c>
      <c r="G6" s="29">
        <v>946</v>
      </c>
    </row>
    <row r="7" spans="1:7">
      <c r="B7" t="s">
        <v>208</v>
      </c>
      <c r="C7" s="29">
        <v>617</v>
      </c>
      <c r="D7" s="29">
        <v>686</v>
      </c>
      <c r="E7" s="29">
        <v>876</v>
      </c>
      <c r="F7" s="29">
        <v>867</v>
      </c>
      <c r="G7" s="29">
        <v>876</v>
      </c>
    </row>
    <row r="8" spans="1:7">
      <c r="A8" s="28">
        <v>45000</v>
      </c>
      <c r="C8" s="29"/>
      <c r="D8" s="29"/>
      <c r="E8" s="29"/>
      <c r="F8" s="29"/>
      <c r="G8" s="29"/>
    </row>
    <row r="9" spans="1:7">
      <c r="B9" t="s">
        <v>207</v>
      </c>
      <c r="C9" s="29">
        <v>669</v>
      </c>
      <c r="D9" s="29"/>
      <c r="E9" s="29">
        <v>974</v>
      </c>
      <c r="F9" s="29">
        <v>818</v>
      </c>
      <c r="G9" s="29">
        <v>974</v>
      </c>
    </row>
    <row r="10" spans="1:7">
      <c r="B10" t="s">
        <v>208</v>
      </c>
      <c r="C10" s="29">
        <v>819</v>
      </c>
      <c r="D10" s="29"/>
      <c r="E10" s="29">
        <v>850</v>
      </c>
      <c r="F10" s="29">
        <v>991</v>
      </c>
      <c r="G10" s="29">
        <v>991</v>
      </c>
    </row>
    <row r="11" spans="1:7">
      <c r="A11" s="28">
        <v>45001</v>
      </c>
      <c r="C11" s="29"/>
      <c r="D11" s="29"/>
      <c r="E11" s="29"/>
      <c r="F11" s="29"/>
      <c r="G11" s="29"/>
    </row>
    <row r="12" spans="1:7">
      <c r="B12" t="s">
        <v>207</v>
      </c>
      <c r="C12" s="29">
        <v>978</v>
      </c>
      <c r="D12" s="29">
        <v>963</v>
      </c>
      <c r="E12" s="29">
        <v>729</v>
      </c>
      <c r="F12" s="29">
        <v>713</v>
      </c>
      <c r="G12" s="29">
        <v>978</v>
      </c>
    </row>
    <row r="13" spans="1:7">
      <c r="B13" t="s">
        <v>208</v>
      </c>
      <c r="C13" s="29">
        <v>874</v>
      </c>
      <c r="D13" s="29">
        <v>623</v>
      </c>
      <c r="E13" s="29">
        <v>611</v>
      </c>
      <c r="F13" s="29">
        <v>645</v>
      </c>
      <c r="G13" s="29">
        <v>874</v>
      </c>
    </row>
    <row r="14" spans="1:7">
      <c r="A14" s="28">
        <v>45002</v>
      </c>
      <c r="C14" s="29"/>
      <c r="D14" s="29"/>
      <c r="E14" s="29"/>
      <c r="F14" s="29"/>
      <c r="G14" s="29"/>
    </row>
    <row r="15" spans="1:7">
      <c r="B15" t="s">
        <v>207</v>
      </c>
      <c r="C15" s="29">
        <v>790</v>
      </c>
      <c r="D15" s="29">
        <v>712</v>
      </c>
      <c r="E15" s="29"/>
      <c r="F15" s="29">
        <v>989</v>
      </c>
      <c r="G15" s="29">
        <v>989</v>
      </c>
    </row>
    <row r="16" spans="1:7">
      <c r="B16" t="s">
        <v>208</v>
      </c>
      <c r="C16" s="29">
        <v>962</v>
      </c>
      <c r="D16" s="29">
        <v>640</v>
      </c>
      <c r="E16" s="29"/>
      <c r="F16" s="29">
        <v>993</v>
      </c>
      <c r="G16" s="29">
        <v>993</v>
      </c>
    </row>
    <row r="17" spans="1:7">
      <c r="A17" s="28">
        <v>45003</v>
      </c>
      <c r="C17" s="29"/>
      <c r="D17" s="29"/>
      <c r="E17" s="29"/>
      <c r="F17" s="29"/>
      <c r="G17" s="29"/>
    </row>
    <row r="18" spans="1:7">
      <c r="B18" t="s">
        <v>207</v>
      </c>
      <c r="C18" s="29">
        <v>992</v>
      </c>
      <c r="D18" s="29">
        <v>887</v>
      </c>
      <c r="E18" s="29">
        <v>977</v>
      </c>
      <c r="F18" s="29"/>
      <c r="G18" s="29">
        <v>992</v>
      </c>
    </row>
    <row r="19" spans="1:7">
      <c r="B19" t="s">
        <v>208</v>
      </c>
      <c r="C19" s="29">
        <v>831</v>
      </c>
      <c r="D19" s="29">
        <v>820</v>
      </c>
      <c r="E19" s="29">
        <v>990</v>
      </c>
      <c r="F19" s="29"/>
      <c r="G19" s="29">
        <v>990</v>
      </c>
    </row>
    <row r="20" spans="1:7">
      <c r="A20" s="28">
        <v>45004</v>
      </c>
      <c r="C20" s="29"/>
      <c r="D20" s="29"/>
      <c r="E20" s="29"/>
      <c r="F20" s="29"/>
      <c r="G20" s="29"/>
    </row>
    <row r="21" spans="1:7">
      <c r="B21" t="s">
        <v>207</v>
      </c>
      <c r="C21" s="29">
        <v>741</v>
      </c>
      <c r="D21" s="29"/>
      <c r="E21" s="29"/>
      <c r="F21" s="29">
        <v>644</v>
      </c>
      <c r="G21" s="29">
        <v>741</v>
      </c>
    </row>
    <row r="22" spans="1:7">
      <c r="B22" t="s">
        <v>208</v>
      </c>
      <c r="C22" s="29">
        <v>607</v>
      </c>
      <c r="D22" s="29"/>
      <c r="E22" s="29"/>
      <c r="F22" s="29">
        <v>714</v>
      </c>
      <c r="G22" s="29">
        <v>714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27"/>
  <sheetViews>
    <sheetView tabSelected="1" workbookViewId="0">
      <selection activeCell="H1" sqref="H1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0</v>
      </c>
      <c r="B1" s="2"/>
      <c r="C1" s="2"/>
      <c r="D1" s="2"/>
      <c r="E1" s="2"/>
      <c r="F1" s="2"/>
      <c r="G1" s="2"/>
      <c r="I1" t="s">
        <v>170</v>
      </c>
    </row>
    <row r="2" spans="1:11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I2" s="14" t="s">
        <v>136</v>
      </c>
      <c r="J2" s="14" t="s">
        <v>137</v>
      </c>
      <c r="K2" s="14" t="s">
        <v>138</v>
      </c>
    </row>
    <row r="3" spans="1:11">
      <c r="A3" s="3">
        <v>1</v>
      </c>
      <c r="B3" s="3" t="s">
        <v>132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31">
        <v>1</v>
      </c>
      <c r="J3" s="30">
        <v>741</v>
      </c>
      <c r="K3" s="30">
        <v>607</v>
      </c>
    </row>
    <row r="4" spans="1:11">
      <c r="A4" s="3">
        <v>2</v>
      </c>
      <c r="B4" s="3" t="s">
        <v>132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31">
        <v>2</v>
      </c>
      <c r="J4" s="30">
        <v>712</v>
      </c>
      <c r="K4" s="30">
        <v>640</v>
      </c>
    </row>
    <row r="5" spans="1:11">
      <c r="A5" s="3">
        <v>3</v>
      </c>
      <c r="B5" s="3" t="s">
        <v>132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31">
        <v>3</v>
      </c>
      <c r="J5" s="30">
        <v>977</v>
      </c>
      <c r="K5" s="30">
        <v>642</v>
      </c>
    </row>
    <row r="6" spans="1:11">
      <c r="A6" s="3">
        <v>4</v>
      </c>
      <c r="B6" s="3" t="s">
        <v>132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31">
        <v>4</v>
      </c>
      <c r="J6" s="30">
        <v>989</v>
      </c>
      <c r="K6" s="30">
        <v>993</v>
      </c>
    </row>
    <row r="7" spans="1:11">
      <c r="A7" s="3">
        <v>5</v>
      </c>
      <c r="B7" s="3" t="s">
        <v>132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132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132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132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132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132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132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132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132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131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131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131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131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131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131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131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131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131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131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131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131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sortState xmlns:xlrd2="http://schemas.microsoft.com/office/spreadsheetml/2017/richdata2" ref="I3:K6">
    <sortCondition ref="I3:I6"/>
  </sortState>
  <dataConsolidate function="average" topLabels="1">
    <dataRefs count="1">
      <dataRef ref="C2:G27" sheet="분석작업-2"/>
    </dataRefs>
  </dataConsolidate>
  <phoneticPr fontId="2" type="noConversion"/>
  <dataValidations count="1">
    <dataValidation type="custom" errorStyle="warning" allowBlank="1" showInputMessage="1" showErrorMessage="1" errorTitle="입력오류" error="1부터 1000까지입력하세요" sqref="F3:G27" xr:uid="{1A141D68-86F5-425D-A099-ADB565150458}">
      <formula1>"between 1 and 1000"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7"/>
  <sheetViews>
    <sheetView zoomScaleNormal="100" workbookViewId="0">
      <selection activeCell="D1" sqref="D1"/>
    </sheetView>
  </sheetViews>
  <sheetFormatPr defaultRowHeight="16.899999999999999"/>
  <sheetData>
    <row r="1" spans="1:3">
      <c r="A1" t="s">
        <v>171</v>
      </c>
    </row>
    <row r="2" spans="1:3">
      <c r="A2" s="14"/>
      <c r="B2" s="14" t="s">
        <v>137</v>
      </c>
      <c r="C2" s="14" t="s">
        <v>138</v>
      </c>
    </row>
    <row r="3" spans="1:3">
      <c r="A3" s="22">
        <v>1</v>
      </c>
      <c r="B3" s="26">
        <v>860.375</v>
      </c>
      <c r="C3" s="26">
        <v>757.625</v>
      </c>
    </row>
    <row r="4" spans="1:3">
      <c r="A4" s="22">
        <v>2</v>
      </c>
      <c r="B4" s="26">
        <v>820</v>
      </c>
      <c r="C4" s="26">
        <v>692.25</v>
      </c>
    </row>
    <row r="5" spans="1:3">
      <c r="A5" s="22">
        <v>3</v>
      </c>
      <c r="B5" s="26">
        <v>847.14285714285711</v>
      </c>
      <c r="C5" s="26">
        <v>771</v>
      </c>
    </row>
    <row r="6" spans="1:3">
      <c r="A6" s="22">
        <v>4</v>
      </c>
      <c r="B6" s="26">
        <v>734</v>
      </c>
      <c r="C6" s="26">
        <v>808.5</v>
      </c>
    </row>
    <row r="7" spans="1:3">
      <c r="B7" s="25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14"/>
  <sheetViews>
    <sheetView workbookViewId="0">
      <selection activeCell="I1" sqref="I1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172</v>
      </c>
    </row>
    <row r="2" spans="1:8" ht="18" customHeight="1">
      <c r="B2" s="2" t="s">
        <v>173</v>
      </c>
      <c r="C2" s="2" t="s">
        <v>174</v>
      </c>
      <c r="D2" s="2" t="s">
        <v>175</v>
      </c>
      <c r="E2" s="2" t="s">
        <v>176</v>
      </c>
      <c r="F2" s="2" t="s">
        <v>177</v>
      </c>
      <c r="G2" s="2" t="s">
        <v>190</v>
      </c>
      <c r="H2" s="2" t="s">
        <v>191</v>
      </c>
    </row>
    <row r="3" spans="1:8" ht="18" customHeight="1">
      <c r="A3" s="2" t="s">
        <v>178</v>
      </c>
      <c r="B3" s="2">
        <v>0.23</v>
      </c>
      <c r="C3" s="2">
        <v>0.7</v>
      </c>
      <c r="D3" s="2">
        <v>0.64</v>
      </c>
      <c r="E3" s="2">
        <v>0.09</v>
      </c>
      <c r="F3" s="2">
        <v>0.06</v>
      </c>
      <c r="G3" s="2">
        <v>0.64</v>
      </c>
      <c r="H3" s="2">
        <v>0.6</v>
      </c>
    </row>
    <row r="4" spans="1:8" ht="18" customHeight="1">
      <c r="A4" s="2" t="s">
        <v>179</v>
      </c>
      <c r="B4" s="2">
        <v>0.86</v>
      </c>
      <c r="C4" s="2">
        <v>1</v>
      </c>
      <c r="D4" s="2">
        <v>0.35</v>
      </c>
      <c r="E4" s="2">
        <v>0.56999999999999995</v>
      </c>
      <c r="F4" s="2">
        <v>0.18</v>
      </c>
      <c r="G4" s="2">
        <v>0.88</v>
      </c>
      <c r="H4" s="2">
        <v>0.97</v>
      </c>
    </row>
    <row r="5" spans="1:8" ht="18" customHeight="1">
      <c r="A5" s="2" t="s">
        <v>180</v>
      </c>
      <c r="B5" s="2">
        <v>0.15</v>
      </c>
      <c r="C5" s="2">
        <v>0.76</v>
      </c>
      <c r="D5" s="2">
        <v>0.54</v>
      </c>
      <c r="E5" s="2">
        <v>0.03</v>
      </c>
      <c r="F5" s="2">
        <v>0.21</v>
      </c>
      <c r="G5" s="2">
        <v>0</v>
      </c>
      <c r="H5" s="2">
        <v>0.35</v>
      </c>
    </row>
    <row r="6" spans="1:8" ht="18" customHeight="1">
      <c r="A6" s="2" t="s">
        <v>181</v>
      </c>
      <c r="B6" s="2">
        <v>0.62</v>
      </c>
      <c r="C6" s="2">
        <v>0.3</v>
      </c>
      <c r="D6" s="2">
        <v>0.72</v>
      </c>
      <c r="E6" s="2">
        <v>0.06</v>
      </c>
      <c r="F6" s="2">
        <v>0.1</v>
      </c>
      <c r="G6" s="2">
        <v>0.46</v>
      </c>
      <c r="H6" s="2">
        <v>0.85</v>
      </c>
    </row>
    <row r="7" spans="1:8" ht="18" customHeight="1">
      <c r="A7" s="2" t="s">
        <v>182</v>
      </c>
      <c r="B7" s="2">
        <v>0.98</v>
      </c>
      <c r="C7" s="2">
        <v>0.99</v>
      </c>
      <c r="D7" s="2">
        <v>0.5</v>
      </c>
      <c r="E7" s="2">
        <v>0.1</v>
      </c>
      <c r="F7" s="2">
        <v>0.43</v>
      </c>
      <c r="G7" s="2">
        <v>0.43</v>
      </c>
      <c r="H7" s="2">
        <v>0.11</v>
      </c>
    </row>
    <row r="8" spans="1:8" ht="18" customHeight="1">
      <c r="A8" s="2" t="s">
        <v>183</v>
      </c>
      <c r="B8" s="2">
        <v>0.9</v>
      </c>
      <c r="C8" s="2">
        <v>0.24</v>
      </c>
      <c r="D8" s="2">
        <v>0.28000000000000003</v>
      </c>
      <c r="E8" s="2">
        <v>0</v>
      </c>
      <c r="F8" s="2">
        <v>0.06</v>
      </c>
      <c r="G8" s="2">
        <v>7.0000000000000007E-2</v>
      </c>
      <c r="H8" s="2">
        <v>0.43</v>
      </c>
    </row>
    <row r="9" spans="1:8" ht="18" customHeight="1">
      <c r="A9" s="2" t="s">
        <v>184</v>
      </c>
      <c r="B9" s="2">
        <v>0.99</v>
      </c>
      <c r="C9" s="2">
        <v>0.65</v>
      </c>
      <c r="D9" s="2">
        <v>0.57999999999999996</v>
      </c>
      <c r="E9" s="2">
        <v>0.84</v>
      </c>
      <c r="F9" s="2">
        <v>0.65</v>
      </c>
      <c r="G9" s="2">
        <v>0.7</v>
      </c>
      <c r="H9" s="2">
        <v>0.89</v>
      </c>
    </row>
    <row r="10" spans="1:8" ht="18" customHeight="1">
      <c r="A10" s="2" t="s">
        <v>185</v>
      </c>
      <c r="B10" s="2">
        <v>0.28000000000000003</v>
      </c>
      <c r="C10" s="2">
        <v>0</v>
      </c>
      <c r="D10" s="2">
        <v>0.31</v>
      </c>
      <c r="E10" s="2">
        <v>0.36</v>
      </c>
      <c r="F10" s="2">
        <v>0.78</v>
      </c>
      <c r="G10" s="2">
        <v>0</v>
      </c>
      <c r="H10" s="2">
        <v>0.81</v>
      </c>
    </row>
    <row r="11" spans="1:8" ht="18" customHeight="1">
      <c r="A11" s="2" t="s">
        <v>186</v>
      </c>
      <c r="B11" s="2">
        <v>0.96</v>
      </c>
      <c r="C11" s="2">
        <v>0.67</v>
      </c>
      <c r="D11" s="2">
        <v>0.38</v>
      </c>
      <c r="E11" s="2">
        <v>0.3</v>
      </c>
      <c r="F11" s="2">
        <v>0.2</v>
      </c>
      <c r="G11" s="2">
        <v>0.54</v>
      </c>
      <c r="H11" s="2">
        <v>0.78</v>
      </c>
    </row>
    <row r="12" spans="1:8" ht="18" customHeight="1">
      <c r="A12" s="2" t="s">
        <v>187</v>
      </c>
      <c r="B12" s="2">
        <v>0.02</v>
      </c>
      <c r="C12" s="2">
        <v>0.26</v>
      </c>
      <c r="D12" s="2">
        <v>0.64</v>
      </c>
      <c r="E12" s="2">
        <v>0.48</v>
      </c>
      <c r="F12" s="2">
        <v>0.36</v>
      </c>
      <c r="G12" s="2">
        <v>0.04</v>
      </c>
      <c r="H12" s="2">
        <v>0.7</v>
      </c>
    </row>
    <row r="13" spans="1:8" ht="18" customHeight="1">
      <c r="A13" s="2" t="s">
        <v>188</v>
      </c>
      <c r="B13" s="2">
        <v>0</v>
      </c>
      <c r="C13" s="2">
        <v>0.53</v>
      </c>
      <c r="D13" s="2">
        <v>0.24</v>
      </c>
      <c r="E13" s="2">
        <v>0.97</v>
      </c>
      <c r="F13" s="2">
        <v>0.56999999999999995</v>
      </c>
      <c r="G13" s="2">
        <v>0.8</v>
      </c>
      <c r="H13" s="2">
        <v>0.72</v>
      </c>
    </row>
    <row r="14" spans="1:8" ht="18" customHeight="1">
      <c r="A14" s="2" t="s">
        <v>189</v>
      </c>
      <c r="B14" s="2">
        <v>0.03</v>
      </c>
      <c r="C14" s="2">
        <v>0.5</v>
      </c>
      <c r="D14" s="2">
        <v>0.2</v>
      </c>
      <c r="E14" s="2">
        <v>0.83</v>
      </c>
      <c r="F14" s="2">
        <v>7.0000000000000007E-2</v>
      </c>
      <c r="G14" s="2">
        <v>0.43</v>
      </c>
      <c r="H14" s="2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서식해제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K7"/>
  <sheetViews>
    <sheetView workbookViewId="0">
      <selection activeCell="C2" sqref="C2"/>
    </sheetView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0</v>
      </c>
      <c r="C2" s="24" t="s">
        <v>209</v>
      </c>
    </row>
    <row r="3" spans="2:11">
      <c r="B3" s="5" t="s">
        <v>133</v>
      </c>
      <c r="C3" s="5" t="s">
        <v>136</v>
      </c>
      <c r="D3" s="5" t="s">
        <v>135</v>
      </c>
      <c r="E3" s="5" t="s">
        <v>139</v>
      </c>
      <c r="F3" s="5" t="s">
        <v>137</v>
      </c>
      <c r="G3" s="5" t="s">
        <v>138</v>
      </c>
      <c r="H3" s="5" t="s">
        <v>192</v>
      </c>
      <c r="I3" s="5" t="s">
        <v>193</v>
      </c>
      <c r="K3" s="5" t="s">
        <v>194</v>
      </c>
    </row>
    <row r="4" spans="2:11">
      <c r="B4" s="2" t="s">
        <v>198</v>
      </c>
      <c r="C4" s="2" t="s">
        <v>167</v>
      </c>
      <c r="D4" s="2">
        <v>202312345</v>
      </c>
      <c r="E4" s="23">
        <v>45008</v>
      </c>
      <c r="F4" s="2">
        <v>925</v>
      </c>
      <c r="G4" s="2">
        <v>968</v>
      </c>
      <c r="H4" s="2">
        <v>946</v>
      </c>
      <c r="I4" s="5" t="s">
        <v>199</v>
      </c>
      <c r="K4" s="5" t="s">
        <v>195</v>
      </c>
    </row>
    <row r="5" spans="2:11">
      <c r="B5" s="2" t="s">
        <v>200</v>
      </c>
      <c r="C5" s="2" t="s">
        <v>168</v>
      </c>
      <c r="D5" s="2">
        <v>202314785</v>
      </c>
      <c r="E5" s="23">
        <v>45009</v>
      </c>
      <c r="F5" s="2">
        <v>560</v>
      </c>
      <c r="G5" s="2">
        <v>450</v>
      </c>
      <c r="H5" s="2">
        <v>505</v>
      </c>
      <c r="I5" s="5" t="s">
        <v>201</v>
      </c>
      <c r="K5" s="5" t="s">
        <v>196</v>
      </c>
    </row>
    <row r="6" spans="2:11">
      <c r="E6" s="23"/>
      <c r="K6" s="5" t="s">
        <v>197</v>
      </c>
    </row>
    <row r="7" spans="2:11">
      <c r="K7" s="5" t="s">
        <v>166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2023-03-16T06:05:47Z</cp:lastPrinted>
  <dcterms:created xsi:type="dcterms:W3CDTF">2020-12-09T06:53:57Z</dcterms:created>
  <dcterms:modified xsi:type="dcterms:W3CDTF">2023-07-24T12:42:16Z</dcterms:modified>
</cp:coreProperties>
</file>