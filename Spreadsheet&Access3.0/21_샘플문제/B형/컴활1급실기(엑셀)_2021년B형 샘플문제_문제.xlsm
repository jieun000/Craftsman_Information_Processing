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ondi\Desktop\새 폴더 (2)\Craftsman_Information_Processing\Spreadsheet&amp;Access3.0\21_샘플문제\B형\"/>
    </mc:Choice>
  </mc:AlternateContent>
  <xr:revisionPtr revIDLastSave="0" documentId="13_ncr:1_{61D148A1-58D3-4AD2-B71E-3F13F3140B95}" xr6:coauthVersionLast="47" xr6:coauthVersionMax="47" xr10:uidLastSave="{00000000-0000-0000-0000-000000000000}"/>
  <bookViews>
    <workbookView xWindow="-98" yWindow="-98" windowWidth="21795" windowHeight="12975" firstSheet="1" activeTab="2" xr2:uid="{00000000-000D-0000-FFFF-FFFF00000000}"/>
  </bookViews>
  <sheets>
    <sheet name="기본작업-1" sheetId="13" r:id="rId1"/>
    <sheet name="기본작업-2" sheetId="23" r:id="rId2"/>
    <sheet name="계산작업" sheetId="17" r:id="rId3"/>
    <sheet name="분석작업-1" sheetId="25" r:id="rId4"/>
    <sheet name="분석작업-2" sheetId="24" r:id="rId5"/>
    <sheet name="기타작업-1" sheetId="19" r:id="rId6"/>
    <sheet name="기타작업-2" sheetId="26" r:id="rId7"/>
    <sheet name="기타작업-3" sheetId="14" r:id="rId8"/>
  </sheets>
  <functionGroups builtInGroupCount="19"/>
  <definedNames>
    <definedName name="_xlnm._FilterDatabase" localSheetId="2" hidden="1">계산작업!$B$3:$J$42</definedName>
    <definedName name="_xlnm._FilterDatabase" localSheetId="0" hidden="1">'기본작업-1'!$B$2:$G$43</definedName>
    <definedName name="_xlnm._FilterDatabase" localSheetId="1" hidden="1">'기본작업-2'!$B$2:$D$42</definedName>
    <definedName name="_xlnm._FilterDatabase" localSheetId="4" hidden="1">'분석작업-2'!$B$2:$F$35</definedName>
    <definedName name="_xlnm.Criteria" localSheetId="0">'기본작업-1'!$I$2:$I$3</definedName>
    <definedName name="_xlnm.Criteria" localSheetId="1">'기본작업-2'!#REF!</definedName>
    <definedName name="_xlnm.Extract" localSheetId="0">'기본작업-1'!$I$7:$M$7</definedName>
    <definedName name="_xlnm.Extract" localSheetId="1">'기본작업-2'!#REF!</definedName>
    <definedName name="_xlnm.Print_Area" localSheetId="1">'기본작업-2'!$B$2:$D$42</definedName>
    <definedName name="_xlnm.Print_Titles" localSheetId="1">'기본작업-2'!$2:$2</definedName>
  </definedNames>
  <calcPr calcId="191029"/>
  <pivotCaches>
    <pivotCache cacheId="0" r:id="rId9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21" i="17" l="1" a="1"/>
  <c r="N21" i="17" s="1"/>
  <c r="N22" i="17" a="1"/>
  <c r="N22" i="17" s="1"/>
  <c r="N23" i="17" a="1"/>
  <c r="N23" i="17" s="1"/>
  <c r="N24" i="17" a="1"/>
  <c r="N24" i="17" s="1"/>
  <c r="N14" i="17" a="1"/>
  <c r="N14" i="17"/>
  <c r="N15" i="17" a="1"/>
  <c r="N15" i="17" s="1"/>
  <c r="O15" i="17" a="1"/>
  <c r="O15" i="17" s="1"/>
  <c r="P15" i="17" a="1"/>
  <c r="P15" i="17" s="1"/>
  <c r="N16" i="17" a="1"/>
  <c r="N16" i="17" s="1"/>
  <c r="O16" i="17" a="1"/>
  <c r="O16" i="17" s="1"/>
  <c r="P16" i="17" a="1"/>
  <c r="P16" i="17" s="1"/>
  <c r="O14" i="17" a="1"/>
  <c r="O14" i="17" s="1"/>
  <c r="P14" i="17" a="1"/>
  <c r="P14" i="17" s="1"/>
  <c r="H4" i="17"/>
  <c r="H5" i="17"/>
  <c r="H6" i="17"/>
  <c r="H7" i="17"/>
  <c r="H8" i="17"/>
  <c r="H9" i="17"/>
  <c r="H10" i="17"/>
  <c r="H11" i="17"/>
  <c r="H12" i="17"/>
  <c r="H13" i="17"/>
  <c r="H14" i="17"/>
  <c r="H15" i="17"/>
  <c r="H16" i="17"/>
  <c r="H17" i="17"/>
  <c r="H18" i="17"/>
  <c r="H19" i="17"/>
  <c r="H20" i="17"/>
  <c r="H21" i="17"/>
  <c r="H22" i="17"/>
  <c r="H23" i="17"/>
  <c r="H24" i="17"/>
  <c r="H25" i="17"/>
  <c r="H26" i="17"/>
  <c r="H27" i="17"/>
  <c r="H28" i="17"/>
  <c r="H29" i="17"/>
  <c r="H30" i="17"/>
  <c r="H31" i="17"/>
  <c r="H32" i="17"/>
  <c r="H33" i="17"/>
  <c r="H34" i="17"/>
  <c r="H35" i="17"/>
  <c r="H36" i="17"/>
  <c r="H37" i="17"/>
  <c r="H38" i="17"/>
  <c r="H39" i="17"/>
  <c r="H40" i="17"/>
  <c r="H41" i="17"/>
  <c r="H42" i="17"/>
  <c r="D4" i="17"/>
  <c r="D5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J5" i="17" a="1"/>
  <c r="J13" i="17" a="1"/>
  <c r="J21" i="17" a="1"/>
  <c r="J29" i="17" a="1"/>
  <c r="J37" i="17" a="1"/>
  <c r="J32" i="17" a="1"/>
  <c r="J40" i="17" a="1"/>
  <c r="J9" i="17" a="1"/>
  <c r="J33" i="17" a="1"/>
  <c r="J18" i="17" a="1"/>
  <c r="J19" i="17" a="1"/>
  <c r="J28" i="17" a="1"/>
  <c r="J6" i="17" a="1"/>
  <c r="J14" i="17" a="1"/>
  <c r="J22" i="17" a="1"/>
  <c r="J30" i="17" a="1"/>
  <c r="J38" i="17" a="1"/>
  <c r="J15" i="17" a="1"/>
  <c r="J23" i="17" a="1"/>
  <c r="J31" i="17" a="1"/>
  <c r="J39" i="17" a="1"/>
  <c r="J24" i="17" a="1"/>
  <c r="J17" i="17" a="1"/>
  <c r="J41" i="17" a="1"/>
  <c r="J10" i="17" a="1"/>
  <c r="J11" i="17" a="1"/>
  <c r="J20" i="17" a="1"/>
  <c r="J7" i="17" a="1"/>
  <c r="J26" i="17" a="1"/>
  <c r="J35" i="17" a="1"/>
  <c r="J36" i="17" a="1"/>
  <c r="J8" i="17" a="1"/>
  <c r="J25" i="17" a="1"/>
  <c r="J34" i="17" a="1"/>
  <c r="J16" i="17" a="1"/>
  <c r="J42" i="17" a="1"/>
  <c r="J27" i="17" a="1"/>
  <c r="J12" i="17" a="1"/>
  <c r="J4" i="17" a="1"/>
  <c r="J12" i="17" l="1"/>
  <c r="J27" i="17"/>
  <c r="J42" i="17"/>
  <c r="J16" i="17"/>
  <c r="J34" i="17"/>
  <c r="J25" i="17"/>
  <c r="J8" i="17"/>
  <c r="J36" i="17"/>
  <c r="J35" i="17"/>
  <c r="J26" i="17"/>
  <c r="J7" i="17"/>
  <c r="J20" i="17"/>
  <c r="J11" i="17"/>
  <c r="J10" i="17"/>
  <c r="J41" i="17"/>
  <c r="J17" i="17"/>
  <c r="J24" i="17"/>
  <c r="J39" i="17"/>
  <c r="J31" i="17"/>
  <c r="J23" i="17"/>
  <c r="J15" i="17"/>
  <c r="J38" i="17"/>
  <c r="J30" i="17"/>
  <c r="J22" i="17"/>
  <c r="J14" i="17"/>
  <c r="J6" i="17"/>
  <c r="J28" i="17"/>
  <c r="J19" i="17"/>
  <c r="J18" i="17"/>
  <c r="J33" i="17"/>
  <c r="J9" i="17"/>
  <c r="J40" i="17"/>
  <c r="J32" i="17"/>
  <c r="J37" i="17"/>
  <c r="J29" i="17"/>
  <c r="J21" i="17"/>
  <c r="J13" i="17"/>
  <c r="J5" i="17"/>
  <c r="J4" i="17"/>
  <c r="I3" i="13"/>
  <c r="F39" i="26" l="1"/>
  <c r="F38" i="26"/>
  <c r="F37" i="26"/>
  <c r="F36" i="26"/>
  <c r="F35" i="26"/>
  <c r="F34" i="26"/>
  <c r="F33" i="26"/>
  <c r="F32" i="26"/>
  <c r="F31" i="26"/>
  <c r="F30" i="26"/>
  <c r="F29" i="26"/>
  <c r="F28" i="26"/>
  <c r="F27" i="26"/>
  <c r="F26" i="26"/>
  <c r="F25" i="26"/>
  <c r="F24" i="26"/>
  <c r="F23" i="26"/>
  <c r="F22" i="26"/>
  <c r="F21" i="26"/>
  <c r="F20" i="26"/>
  <c r="F19" i="26"/>
  <c r="F18" i="26"/>
  <c r="F17" i="26"/>
  <c r="F15" i="26"/>
  <c r="F14" i="26"/>
  <c r="F13" i="26"/>
  <c r="F12" i="26"/>
  <c r="F11" i="26"/>
  <c r="F10" i="26"/>
  <c r="F9" i="26"/>
  <c r="F8" i="26"/>
  <c r="F7" i="2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MS Access Database_Query" type="1" refreshedVersion="3">
    <dbPr connection="DSN=MS Access Database;DBQ=C:\성연주\컴활2016\엑셀문제\C형\생활기상정보.accdb;DefaultDir=C:\성연주\컴활2016\엑셀문제\C형;DriverId=25;FIL=MS Access;MaxBufferSize=2048;PageTimeout=5;" command="SELECT 기상자료.기상, 기상자료.지역, 기상자료.`1월`, 기상자료.`2월`, 기상자료.`3월`, 기상자료.`4월`, 기상자료.`5월`, 기상자료.`12월`_x000d__x000a_FROM `C:\성연주\컴활2016\엑셀문제\C형\생활기상정보.accdb`.기상자료 기상자료"/>
  </connection>
  <connection id="2" xr16:uid="{00000000-0015-0000-FFFF-FFFF01000000}" name="MS Access Database_Query1" type="1" refreshedVersion="3">
    <dbPr connection="DSN=MS Access Database;DBQ=C:\김윤이\2016년 제3회 컴활 실기_김윤이_작업중\1급 엑셀\A형\생활기상정보.accdb;DefaultDir=C:\김윤이\2016년 제3회 컴활 실기_김윤이_작업중\1급 엑셀\A형;DriverId=25;FIL=MS Access;MaxBufferSize=2048;PageTimeout=5;" command="SELECT 기상자료.기상, 기상자료.지역, 기상자료.`1월`, 기상자료.`2월`, 기상자료.`3월`, 기상자료.`4월`, 기상자료.`5월`, 기상자료.`12월`_x000d__x000a_FROM 기상자료 기상자료"/>
  </connection>
  <connection id="3" xr16:uid="{00000000-0015-0000-FFFF-FFFF02000000}" name="MS Access Database_Query2" type="1" refreshedVersion="6">
    <dbPr connection="DSN=MS Access Database;DBQ=C:\OA\생활기상정보.accdb;DefaultDir=C:\OA;DriverId=25;FIL=MS Access;MaxBufferSize=2048;PageTimeout=5;" command="SELECT 기상자료.ID, 기상자료.기상, 기상자료.지역명, 기상자료.지역, 기상자료.`1월`, 기상자료.`2월`, 기상자료.`3월`, 기상자료.`4월`, 기상자료.`5월`, 기상자료.`6월`, 기상자료.`7월`, 기상자료.`8월`, 기상자료.`9월`, 기상자료.`10월`, 기상자료.`11월`, 기상자료.`12월`_x000d__x000a_FROM `C:\OA\생활기상정보.accdb`.기상자료 기상자료_x000d__x000a_WHERE (기상자료.기상='최고기온') AND (기상자료.지역='강원') OR (기상자료.기상='평균온도') AND (기상자료.지역='강원')"/>
  </connection>
  <connection id="4" xr16:uid="{00000000-0015-0000-FFFF-FFFF03000000}" name="MS Access Database_Query3" type="1" refreshedVersion="6">
    <dbPr connection="DSN=MS Access Database;DBQ=C:\OA\생활기상정보.accdb;DefaultDir=C:\OA;DriverId=25;FIL=MS Access;MaxBufferSize=2048;PageTimeout=5;" command="SELECT 기상자료.ID, 기상자료.기상, 기상자료.지역, 기상자료.`1월`, 기상자료.`2월`, 기상자료.`3월`, 기상자료.`4월`, 기상자료.`5월`, 기상자료.`6월`, 기상자료.`7월`, 기상자료.`8월`, 기상자료.`9월`, 기상자료.`10월`, 기상자료.`11월`, 기상자료.`12월`_x000d__x000a_FROM `C:\OA\생활기상정보.accdb`.기상자료 기상자료"/>
  </connection>
  <connection id="5" xr16:uid="{81FEBC3A-5969-4C90-A190-79250C9A0C43}" name="MS Access Database_Query4" type="1" refreshedVersion="8" background="1">
    <dbPr connection="DSN=MS Access Database;DBQ=C:\Users\mondi\Desktop\새 폴더 (2)\Craftsman_Information_Processing\Spreadsheet&amp;Access3.0\21_샘플문제\B형\생활기상정보.accdb;DefaultDir=C:\Users\mondi\Desktop\새 폴더 (2)\Craftsman_Information_Processing\Spreadsheet&amp;Access3.0\21_샘플문제\B형;DriverId=25;FIL=MS Access;MaxBufferSize=2048;PageTimeout=5;" command="SELECT 기상자료.기상, 기상자료.지역, 기상자료.`1월`, 기상자료.`2월`, 기상자료.`3월`, 기상자료.`4월`, 기상자료.`5월`, 기상자료.`12월`_x000d__x000a_FROM 기상자료 기상자료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<sst xmlns="http://schemas.openxmlformats.org/spreadsheetml/2006/main" count="760" uniqueCount="281">
  <si>
    <t>지역명</t>
  </si>
  <si>
    <t>서귀포</t>
  </si>
  <si>
    <t>부산</t>
  </si>
  <si>
    <t>여수</t>
  </si>
  <si>
    <t>광주</t>
  </si>
  <si>
    <t>전주</t>
  </si>
  <si>
    <t>대구</t>
  </si>
  <si>
    <t>대전</t>
  </si>
  <si>
    <t>수원</t>
  </si>
  <si>
    <t>서울</t>
  </si>
  <si>
    <t>인천</t>
  </si>
  <si>
    <t>강릉</t>
  </si>
  <si>
    <t>주요도시 빗물의 산도 [단위 : pH]</t>
  </si>
  <si>
    <t>서명</t>
  </si>
  <si>
    <t>저자</t>
  </si>
  <si>
    <t>출판년</t>
  </si>
  <si>
    <t>입력일자</t>
  </si>
  <si>
    <t>신청자이름</t>
  </si>
  <si>
    <t>작업사항</t>
  </si>
  <si>
    <t>김*영</t>
    <phoneticPr fontId="3" type="noConversion"/>
  </si>
  <si>
    <t>프라이다이나믹스</t>
  </si>
  <si>
    <t>고형준</t>
  </si>
  <si>
    <t>지식재산 금융과 법제도</t>
  </si>
  <si>
    <t>김승열</t>
  </si>
  <si>
    <t>값싼 음식의 실제 가격</t>
  </si>
  <si>
    <t>마이클 캐롤런</t>
  </si>
  <si>
    <t>조*현</t>
    <phoneticPr fontId="3" type="noConversion"/>
  </si>
  <si>
    <t>0년</t>
  </si>
  <si>
    <t>이안 부루마</t>
  </si>
  <si>
    <t>나이트 워치 상</t>
  </si>
  <si>
    <t>세르게이 루키야넨코</t>
  </si>
  <si>
    <t>행운 연습</t>
  </si>
  <si>
    <t>류쉬안</t>
  </si>
  <si>
    <t>새 하늘과 새 땅</t>
  </si>
  <si>
    <t>리처드 미들턴</t>
  </si>
  <si>
    <t>미로슬라브 볼프</t>
  </si>
  <si>
    <t>섬을 탈출하는 방법</t>
  </si>
  <si>
    <t>조형근, 김종배</t>
  </si>
  <si>
    <t>내 몸의 바운스를 깨워라</t>
  </si>
  <si>
    <t>벤저민 그레이엄의 정량분석 Quant</t>
  </si>
  <si>
    <t>스티븐 P. 그라이너</t>
  </si>
  <si>
    <t>히가시노게이고</t>
  </si>
  <si>
    <t>글쓰는 여자의 공간</t>
  </si>
  <si>
    <t>타니아 슐리</t>
  </si>
  <si>
    <t>돼지 루퍼스, 학교에 가다</t>
  </si>
  <si>
    <t>킴 그리스웰</t>
  </si>
  <si>
    <t>빼꼼 아저씨네 동물원</t>
  </si>
  <si>
    <t>케빈 월드론</t>
  </si>
  <si>
    <t>변*우</t>
    <phoneticPr fontId="3" type="noConversion"/>
  </si>
  <si>
    <t>우리 아이 유치원 에이스 만들기</t>
  </si>
  <si>
    <t>에이미</t>
  </si>
  <si>
    <t>Duck and Goose, Goose Needs a Hug</t>
  </si>
  <si>
    <t>Tad Hills</t>
  </si>
  <si>
    <t>스웨덴 엄마의 말하기 수업</t>
  </si>
  <si>
    <t>페트라 크란츠 린드그렌</t>
  </si>
  <si>
    <t>칼 요한 포센 엘린</t>
  </si>
  <si>
    <t>고미 타로</t>
  </si>
  <si>
    <t>2030년에는 투명망토가 나올까</t>
    <phoneticPr fontId="3" type="noConversion"/>
  </si>
  <si>
    <t>얀 파울 스취턴</t>
  </si>
  <si>
    <t>조금만 기다려봐</t>
  </si>
  <si>
    <t>케빈 행크스</t>
  </si>
  <si>
    <t>프랑스 여자는 늙지 않는다</t>
  </si>
  <si>
    <t>미리유 길리아노</t>
  </si>
  <si>
    <t>D&amp;B</t>
  </si>
  <si>
    <t>Extra Yarn</t>
  </si>
  <si>
    <t>Mac Barnett</t>
  </si>
  <si>
    <t>The Unfinished Angel</t>
  </si>
  <si>
    <t>Creech, Sharon</t>
  </si>
  <si>
    <t>2016-02-01</t>
  </si>
  <si>
    <t>2016-02-03</t>
  </si>
  <si>
    <t>2016-02-04</t>
  </si>
  <si>
    <t>2016-02-06</t>
  </si>
  <si>
    <t>2016-02-08</t>
  </si>
  <si>
    <t>2016-02-09</t>
  </si>
  <si>
    <t>2016-02-11</t>
  </si>
  <si>
    <t>2016-02-12</t>
  </si>
  <si>
    <t>2016-02-13</t>
  </si>
  <si>
    <t>2016-02-16</t>
  </si>
  <si>
    <t>2016-02-17</t>
  </si>
  <si>
    <t>2016-02-19</t>
  </si>
  <si>
    <t>2016-02-20</t>
  </si>
  <si>
    <t>2016-02-23</t>
  </si>
  <si>
    <t>2016-02-24</t>
  </si>
  <si>
    <t>2016-02-25</t>
  </si>
  <si>
    <t>2016-02-26</t>
  </si>
  <si>
    <t>2016-02-27</t>
  </si>
  <si>
    <t>2016-02-28</t>
  </si>
  <si>
    <t>2016-02-29</t>
  </si>
  <si>
    <t>입고예정</t>
    <phoneticPr fontId="3" type="noConversion"/>
  </si>
  <si>
    <t>우선신청도서</t>
    <phoneticPr fontId="3" type="noConversion"/>
  </si>
  <si>
    <t>조*현</t>
    <phoneticPr fontId="3" type="noConversion"/>
  </si>
  <si>
    <t>김*선</t>
    <phoneticPr fontId="3" type="noConversion"/>
  </si>
  <si>
    <t>나는 단순하게 살기로 했다</t>
    <phoneticPr fontId="3" type="noConversion"/>
  </si>
  <si>
    <t>사사키 후미오</t>
    <phoneticPr fontId="3" type="noConversion"/>
  </si>
  <si>
    <t>정*지</t>
    <phoneticPr fontId="3" type="noConversion"/>
  </si>
  <si>
    <t>김*레</t>
    <phoneticPr fontId="3" type="noConversion"/>
  </si>
  <si>
    <t>3월입고예정</t>
    <phoneticPr fontId="3" type="noConversion"/>
  </si>
  <si>
    <t>박*정</t>
    <phoneticPr fontId="3" type="noConversion"/>
  </si>
  <si>
    <t>Duck &amp; Goose : Find a Pumpkin</t>
    <phoneticPr fontId="3" type="noConversion"/>
  </si>
  <si>
    <t>정*식</t>
    <phoneticPr fontId="3" type="noConversion"/>
  </si>
  <si>
    <t>입고예정</t>
    <phoneticPr fontId="3" type="noConversion"/>
  </si>
  <si>
    <t>이*숙</t>
    <phoneticPr fontId="3" type="noConversion"/>
  </si>
  <si>
    <t>3월말입고예정</t>
    <phoneticPr fontId="3" type="noConversion"/>
  </si>
  <si>
    <t>알라</t>
    <phoneticPr fontId="3" type="noConversion"/>
  </si>
  <si>
    <t>정*울</t>
    <phoneticPr fontId="3" type="noConversion"/>
  </si>
  <si>
    <t>박*철</t>
    <phoneticPr fontId="3" type="noConversion"/>
  </si>
  <si>
    <t>옥주현</t>
    <phoneticPr fontId="3" type="noConversion"/>
  </si>
  <si>
    <t>김*화</t>
    <phoneticPr fontId="3" type="noConversion"/>
  </si>
  <si>
    <t>민*준</t>
    <phoneticPr fontId="3" type="noConversion"/>
  </si>
  <si>
    <t>라플라스의 마녀</t>
    <phoneticPr fontId="3" type="noConversion"/>
  </si>
  <si>
    <t>김*연</t>
    <phoneticPr fontId="3" type="noConversion"/>
  </si>
  <si>
    <t>조*혜</t>
    <phoneticPr fontId="3" type="noConversion"/>
  </si>
  <si>
    <t>이*경</t>
    <phoneticPr fontId="3" type="noConversion"/>
  </si>
  <si>
    <t>주*민</t>
    <phoneticPr fontId="3" type="noConversion"/>
  </si>
  <si>
    <t>부동산의 보이지 않는 진실</t>
    <phoneticPr fontId="3" type="noConversion"/>
  </si>
  <si>
    <t>이재범 외1</t>
    <phoneticPr fontId="3" type="noConversion"/>
  </si>
  <si>
    <t>영재들의 비밀습관 하브루타</t>
    <phoneticPr fontId="3" type="noConversion"/>
  </si>
  <si>
    <t>장성애</t>
    <phoneticPr fontId="3" type="noConversion"/>
  </si>
  <si>
    <t>정*정</t>
    <phoneticPr fontId="3" type="noConversion"/>
  </si>
  <si>
    <t>Why? 소프트웨어와 코딩</t>
    <phoneticPr fontId="3" type="noConversion"/>
  </si>
  <si>
    <t>조영선</t>
    <phoneticPr fontId="3" type="noConversion"/>
  </si>
  <si>
    <t>나는 누구인가 - 인문학 최고의 공부</t>
    <phoneticPr fontId="3" type="noConversion"/>
  </si>
  <si>
    <t>강신주, 고미숙 외5</t>
    <phoneticPr fontId="3" type="noConversion"/>
  </si>
  <si>
    <t>송*자</t>
    <phoneticPr fontId="3" type="noConversion"/>
  </si>
  <si>
    <t>음의 방정식</t>
    <phoneticPr fontId="3" type="noConversion"/>
  </si>
  <si>
    <t>미야베 미유키</t>
    <phoneticPr fontId="3" type="noConversion"/>
  </si>
  <si>
    <t>이*아</t>
    <phoneticPr fontId="3" type="noConversion"/>
  </si>
  <si>
    <t>인성이 실력이다</t>
    <phoneticPr fontId="3" type="noConversion"/>
  </si>
  <si>
    <t>조벽</t>
    <phoneticPr fontId="3" type="noConversion"/>
  </si>
  <si>
    <t>고*원</t>
    <phoneticPr fontId="3" type="noConversion"/>
  </si>
  <si>
    <t>학교를 개선하는 교사</t>
    <phoneticPr fontId="3" type="noConversion"/>
  </si>
  <si>
    <t>마이클 풀란</t>
    <phoneticPr fontId="3" type="noConversion"/>
  </si>
  <si>
    <t>한*원</t>
    <phoneticPr fontId="3" type="noConversion"/>
  </si>
  <si>
    <t>혁신교육에 대한 교육학적 성찰</t>
    <phoneticPr fontId="3" type="noConversion"/>
  </si>
  <si>
    <t>한국교육연구네트워크</t>
    <phoneticPr fontId="3" type="noConversion"/>
  </si>
  <si>
    <t>부시파일럿, 나는 길이 없는 곳으로 간다</t>
    <phoneticPr fontId="3" type="noConversion"/>
  </si>
  <si>
    <t>오현호</t>
    <phoneticPr fontId="3" type="noConversion"/>
  </si>
  <si>
    <t>최*설</t>
    <phoneticPr fontId="3" type="noConversion"/>
  </si>
  <si>
    <t>ENJOY 훗카이도(2015-2016)</t>
    <phoneticPr fontId="3" type="noConversion"/>
  </si>
  <si>
    <t>정태관,박용준,민보영</t>
    <phoneticPr fontId="3" type="noConversion"/>
  </si>
  <si>
    <t>김*일</t>
    <phoneticPr fontId="3" type="noConversion"/>
  </si>
  <si>
    <t>잠자고 싶은 토끼</t>
    <phoneticPr fontId="3" type="noConversion"/>
  </si>
  <si>
    <t>정*희</t>
    <phoneticPr fontId="3" type="noConversion"/>
  </si>
  <si>
    <t>뭐? 나랑 너랑 닮았다고!?</t>
    <phoneticPr fontId="3" type="noConversion"/>
  </si>
  <si>
    <t>김*윤</t>
    <phoneticPr fontId="3" type="noConversion"/>
  </si>
  <si>
    <t>김*송</t>
    <phoneticPr fontId="3" type="noConversion"/>
  </si>
  <si>
    <t>자본에 관한 불편한 진실</t>
    <phoneticPr fontId="3" type="noConversion"/>
  </si>
  <si>
    <t>정철진</t>
    <phoneticPr fontId="3" type="noConversion"/>
  </si>
  <si>
    <t>맹*현</t>
    <phoneticPr fontId="3" type="noConversion"/>
  </si>
  <si>
    <t>당나귀와 다이아몬드</t>
    <phoneticPr fontId="3" type="noConversion"/>
  </si>
  <si>
    <t>오*진</t>
    <phoneticPr fontId="3" type="noConversion"/>
  </si>
  <si>
    <t>품절도서</t>
    <phoneticPr fontId="3" type="noConversion"/>
  </si>
  <si>
    <t>아바타 나영일</t>
    <phoneticPr fontId="3" type="noConversion"/>
  </si>
  <si>
    <t>박상재</t>
    <phoneticPr fontId="3" type="noConversion"/>
  </si>
  <si>
    <t>서*원</t>
    <phoneticPr fontId="3" type="noConversion"/>
  </si>
  <si>
    <t>겉은 노란</t>
    <phoneticPr fontId="3" type="noConversion"/>
  </si>
  <si>
    <t>파트릭 종대 룬드베리</t>
    <phoneticPr fontId="3" type="noConversion"/>
  </si>
  <si>
    <t>채*아</t>
    <phoneticPr fontId="3" type="noConversion"/>
  </si>
  <si>
    <t>[표1]</t>
    <phoneticPr fontId="1" type="noConversion"/>
  </si>
  <si>
    <t>[표2]</t>
    <phoneticPr fontId="1" type="noConversion"/>
  </si>
  <si>
    <t>학번</t>
  </si>
  <si>
    <t>성명</t>
  </si>
  <si>
    <t>결석</t>
  </si>
  <si>
    <t>지각</t>
  </si>
  <si>
    <t>출석</t>
  </si>
  <si>
    <t>과제</t>
  </si>
  <si>
    <t>평가</t>
    <phoneticPr fontId="1" type="noConversion"/>
  </si>
  <si>
    <t>홍희주</t>
  </si>
  <si>
    <t>유지연</t>
  </si>
  <si>
    <t>출석미달</t>
  </si>
  <si>
    <t>강주희</t>
  </si>
  <si>
    <t>이유진</t>
  </si>
  <si>
    <t>송새연</t>
  </si>
  <si>
    <t>정혜인</t>
  </si>
  <si>
    <t>유시현</t>
  </si>
  <si>
    <t>하영은</t>
  </si>
  <si>
    <t>이지은</t>
  </si>
  <si>
    <t>김재혁</t>
  </si>
  <si>
    <t>윤희식</t>
  </si>
  <si>
    <t>김민정</t>
  </si>
  <si>
    <t>주인철</t>
  </si>
  <si>
    <t>부</t>
  </si>
  <si>
    <t>일반의료비</t>
  </si>
  <si>
    <t>간소화자료</t>
  </si>
  <si>
    <t>김가인</t>
  </si>
  <si>
    <t>모</t>
  </si>
  <si>
    <t>주인해</t>
  </si>
  <si>
    <t>자</t>
  </si>
  <si>
    <t>주호백</t>
  </si>
  <si>
    <t>본인</t>
  </si>
  <si>
    <t>신용카드</t>
  </si>
  <si>
    <t>지정기부금</t>
  </si>
  <si>
    <t>법인</t>
  </si>
  <si>
    <t>현금영수증</t>
  </si>
  <si>
    <t>일반사용분</t>
  </si>
  <si>
    <t/>
  </si>
  <si>
    <t>관계</t>
  </si>
  <si>
    <t>부양공제</t>
  </si>
  <si>
    <t>소득공제</t>
    <phoneticPr fontId="3" type="noConversion"/>
  </si>
  <si>
    <t>직불카드</t>
  </si>
  <si>
    <t>대중교통</t>
  </si>
  <si>
    <t>전통시장</t>
  </si>
  <si>
    <t>알파고카드</t>
  </si>
  <si>
    <t>중앙병원</t>
  </si>
  <si>
    <t>사랑의원</t>
  </si>
  <si>
    <t>상공카드</t>
  </si>
  <si>
    <t>미래카드</t>
  </si>
  <si>
    <t>중앙병원</t>
    <phoneticPr fontId="1" type="noConversion"/>
  </si>
  <si>
    <t>사랑의원</t>
    <phoneticPr fontId="1" type="noConversion"/>
  </si>
  <si>
    <t>상공카드</t>
    <phoneticPr fontId="1" type="noConversion"/>
  </si>
  <si>
    <t>사단법인</t>
    <phoneticPr fontId="1" type="noConversion"/>
  </si>
  <si>
    <t>법인명</t>
    <phoneticPr fontId="3" type="noConversion"/>
  </si>
  <si>
    <t>한국대학교</t>
    <phoneticPr fontId="3" type="noConversion"/>
  </si>
  <si>
    <t>123-45-6789</t>
    <phoneticPr fontId="1" type="noConversion"/>
  </si>
  <si>
    <t>123-45-6790</t>
  </si>
  <si>
    <t>123-45-6791</t>
  </si>
  <si>
    <t>123-45-6792</t>
  </si>
  <si>
    <t>123-45-6793</t>
  </si>
  <si>
    <t>123-45-6794</t>
  </si>
  <si>
    <t>임윤아</t>
    <phoneticPr fontId="1" type="noConversion"/>
  </si>
  <si>
    <t>[표5]</t>
    <phoneticPr fontId="1" type="noConversion"/>
  </si>
  <si>
    <t>부</t>
    <phoneticPr fontId="1" type="noConversion"/>
  </si>
  <si>
    <t>[표1]</t>
    <phoneticPr fontId="1" type="noConversion"/>
  </si>
  <si>
    <t>[표3]</t>
    <phoneticPr fontId="1" type="noConversion"/>
  </si>
  <si>
    <t>성명</t>
    <phoneticPr fontId="3" type="noConversion"/>
  </si>
  <si>
    <t>소득공제내용</t>
    <phoneticPr fontId="3" type="noConversion"/>
  </si>
  <si>
    <t>[표4]</t>
    <phoneticPr fontId="1" type="noConversion"/>
  </si>
  <si>
    <t>처</t>
    <phoneticPr fontId="1" type="noConversion"/>
  </si>
  <si>
    <t>관계</t>
    <phoneticPr fontId="3" type="noConversion"/>
  </si>
  <si>
    <t>비고</t>
    <phoneticPr fontId="3" type="noConversion"/>
  </si>
  <si>
    <t>성명</t>
    <phoneticPr fontId="3" type="noConversion"/>
  </si>
  <si>
    <t>소득공제</t>
    <phoneticPr fontId="3" type="noConversion"/>
  </si>
  <si>
    <t>법인명</t>
    <phoneticPr fontId="3" type="noConversion"/>
  </si>
  <si>
    <t>금액</t>
    <phoneticPr fontId="3" type="noConversion"/>
  </si>
  <si>
    <t>의료비보조</t>
    <phoneticPr fontId="3" type="noConversion"/>
  </si>
  <si>
    <t>일반사용분</t>
    <phoneticPr fontId="3" type="noConversion"/>
  </si>
  <si>
    <t>대중교통</t>
    <phoneticPr fontId="3" type="noConversion"/>
  </si>
  <si>
    <t>전통시장</t>
    <phoneticPr fontId="3" type="noConversion"/>
  </si>
  <si>
    <t>일반의료비</t>
    <phoneticPr fontId="3" type="noConversion"/>
  </si>
  <si>
    <t>본인</t>
    <phoneticPr fontId="1" type="noConversion"/>
  </si>
  <si>
    <t>부</t>
    <phoneticPr fontId="1" type="noConversion"/>
  </si>
  <si>
    <t>모</t>
    <phoneticPr fontId="1" type="noConversion"/>
  </si>
  <si>
    <t>자</t>
    <phoneticPr fontId="1" type="noConversion"/>
  </si>
  <si>
    <t>(단위: 천원)</t>
    <phoneticPr fontId="1" type="noConversion"/>
  </si>
  <si>
    <t>사업자번호</t>
    <phoneticPr fontId="3" type="noConversion"/>
  </si>
  <si>
    <t>개화일</t>
    <phoneticPr fontId="1" type="noConversion"/>
  </si>
  <si>
    <t>평년차</t>
    <phoneticPr fontId="1" type="noConversion"/>
  </si>
  <si>
    <t>진달래</t>
    <phoneticPr fontId="1" type="noConversion"/>
  </si>
  <si>
    <t>개나리</t>
    <phoneticPr fontId="1" type="noConversion"/>
  </si>
  <si>
    <t>꽃</t>
  </si>
  <si>
    <t>개화일</t>
  </si>
  <si>
    <t>평년</t>
  </si>
  <si>
    <t>평년차</t>
  </si>
  <si>
    <t>개나리</t>
  </si>
  <si>
    <t>벚꽃</t>
  </si>
  <si>
    <t>진달래</t>
  </si>
  <si>
    <t>꽃</t>
    <phoneticPr fontId="1" type="noConversion"/>
  </si>
  <si>
    <t>평년</t>
    <phoneticPr fontId="3" type="noConversion"/>
  </si>
  <si>
    <t>벚꽃</t>
    <phoneticPr fontId="1" type="noConversion"/>
  </si>
  <si>
    <t>벚꽃</t>
    <phoneticPr fontId="1" type="noConversion"/>
  </si>
  <si>
    <t>벚꽃</t>
    <phoneticPr fontId="1" type="noConversion"/>
  </si>
  <si>
    <t>진달래</t>
    <phoneticPr fontId="1" type="noConversion"/>
  </si>
  <si>
    <t>개나리</t>
    <phoneticPr fontId="1" type="noConversion"/>
  </si>
  <si>
    <t>조건</t>
    <phoneticPr fontId="1" type="noConversion"/>
  </si>
  <si>
    <t>지역</t>
  </si>
  <si>
    <t>강원</t>
  </si>
  <si>
    <t>경기</t>
  </si>
  <si>
    <t>경상</t>
  </si>
  <si>
    <t>전라</t>
  </si>
  <si>
    <t>제주</t>
  </si>
  <si>
    <t>충청</t>
  </si>
  <si>
    <t>기상</t>
  </si>
  <si>
    <t>강수량</t>
  </si>
  <si>
    <t>습도</t>
  </si>
  <si>
    <t>최고기온</t>
  </si>
  <si>
    <t>평균온도</t>
  </si>
  <si>
    <t>합계 : 겨울기상</t>
  </si>
  <si>
    <t>값</t>
  </si>
  <si>
    <t>전체 합계 : 겨울기상</t>
  </si>
  <si>
    <t>전체 합계 : 봄기상</t>
  </si>
  <si>
    <t>합계 : 봄기상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</si>
</sst>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0_ "/>
    <numFmt numFmtId="177" formatCode="0.0"/>
    <numFmt numFmtId="178" formatCode="mm&quot;월&quot;\ dd&quot;일&quot;;@"/>
  </numFmts>
  <fonts count="2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Arial"/>
      <family val="2"/>
    </font>
    <font>
      <sz val="8"/>
      <name val="돋움"/>
      <family val="3"/>
      <charset val="129"/>
    </font>
    <font>
      <b/>
      <sz val="18"/>
      <color theme="3"/>
      <name val="맑은 고딕"/>
      <family val="2"/>
      <charset val="129"/>
      <scheme val="major"/>
    </font>
    <font>
      <b/>
      <sz val="13"/>
      <color theme="3"/>
      <name val="맑은 고딕"/>
      <family val="2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2"/>
      <color theme="3"/>
      <name val="맑은 고딕"/>
      <family val="2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rgb="FF9C6500"/>
      <name val="맑은 고딕"/>
      <family val="3"/>
      <charset val="129"/>
      <scheme val="minor"/>
    </font>
    <font>
      <sz val="10"/>
      <color rgb="FF006100"/>
      <name val="맑은 고딕"/>
      <family val="3"/>
      <charset val="129"/>
      <scheme val="minor"/>
    </font>
    <font>
      <b/>
      <sz val="10"/>
      <color rgb="FF9C65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</fonts>
  <fills count="9">
    <fill>
      <patternFill patternType="none"/>
    </fill>
    <fill>
      <patternFill patternType="gray125"/>
    </fill>
    <fill>
      <patternFill patternType="solid">
        <fgColor theme="8"/>
        <bgColor theme="8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indexed="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/>
      </patternFill>
    </fill>
    <fill>
      <patternFill patternType="solid">
        <fgColor rgb="FF7030A0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9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  <xf numFmtId="0" fontId="4" fillId="0" borderId="0" applyNumberFormat="0" applyFill="0" applyBorder="0" applyAlignment="0" applyProtection="0">
      <alignment vertical="center"/>
    </xf>
    <xf numFmtId="0" fontId="5" fillId="0" borderId="6" applyNumberFormat="0" applyFill="0" applyAlignment="0" applyProtection="0">
      <alignment vertical="center"/>
    </xf>
    <xf numFmtId="41" fontId="12" fillId="0" borderId="0" applyFont="0" applyFill="0" applyBorder="0" applyAlignment="0" applyProtection="0">
      <alignment vertical="center"/>
    </xf>
    <xf numFmtId="0" fontId="13" fillId="3" borderId="0" applyNumberFormat="0" applyBorder="0" applyAlignment="0" applyProtection="0">
      <alignment vertical="center"/>
    </xf>
    <xf numFmtId="0" fontId="14" fillId="4" borderId="0" applyNumberFormat="0" applyBorder="0" applyAlignment="0" applyProtection="0">
      <alignment vertical="center"/>
    </xf>
    <xf numFmtId="0" fontId="23" fillId="7" borderId="0" applyNumberFormat="0" applyBorder="0" applyAlignment="0" applyProtection="0">
      <alignment vertical="center"/>
    </xf>
  </cellStyleXfs>
  <cellXfs count="63">
    <xf numFmtId="0" fontId="0" fillId="0" borderId="0" xfId="0">
      <alignment vertical="center"/>
    </xf>
    <xf numFmtId="0" fontId="7" fillId="2" borderId="5" xfId="4" applyFont="1" applyFill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" xfId="0" applyBorder="1">
      <alignment vertical="center"/>
    </xf>
    <xf numFmtId="176" fontId="0" fillId="0" borderId="0" xfId="5" applyNumberFormat="1" applyFont="1">
      <alignment vertical="center"/>
    </xf>
    <xf numFmtId="41" fontId="0" fillId="0" borderId="0" xfId="5" applyFont="1" applyAlignment="1">
      <alignment horizontal="center" vertical="center"/>
    </xf>
    <xf numFmtId="0" fontId="11" fillId="0" borderId="1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176" fontId="11" fillId="0" borderId="2" xfId="5" applyNumberFormat="1" applyFont="1" applyFill="1" applyBorder="1" applyAlignment="1">
      <alignment horizontal="center"/>
    </xf>
    <xf numFmtId="41" fontId="11" fillId="0" borderId="3" xfId="5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15" fillId="5" borderId="7" xfId="0" applyFont="1" applyFill="1" applyBorder="1" applyAlignment="1">
      <alignment horizontal="center" vertical="center" wrapText="1"/>
    </xf>
    <xf numFmtId="0" fontId="15" fillId="5" borderId="7" xfId="1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19" fillId="0" borderId="0" xfId="7" applyFont="1" applyFill="1" applyBorder="1" applyAlignment="1">
      <alignment horizontal="center" vertical="center"/>
    </xf>
    <xf numFmtId="0" fontId="15" fillId="5" borderId="8" xfId="0" applyFont="1" applyFill="1" applyBorder="1" applyAlignment="1">
      <alignment horizontal="center" vertical="center" wrapText="1"/>
    </xf>
    <xf numFmtId="0" fontId="15" fillId="5" borderId="8" xfId="0" applyFont="1" applyFill="1" applyBorder="1" applyAlignment="1">
      <alignment vertical="center" wrapText="1"/>
    </xf>
    <xf numFmtId="3" fontId="15" fillId="5" borderId="10" xfId="0" applyNumberFormat="1" applyFont="1" applyFill="1" applyBorder="1" applyAlignment="1">
      <alignment horizontal="right" vertical="center" wrapText="1"/>
    </xf>
    <xf numFmtId="3" fontId="17" fillId="0" borderId="0" xfId="5" applyNumberFormat="1" applyFont="1" applyBorder="1">
      <alignment vertical="center"/>
    </xf>
    <xf numFmtId="0" fontId="15" fillId="5" borderId="7" xfId="1" applyFont="1" applyFill="1" applyBorder="1" applyAlignment="1">
      <alignment vertical="center" wrapText="1"/>
    </xf>
    <xf numFmtId="3" fontId="15" fillId="5" borderId="9" xfId="1" applyNumberFormat="1" applyFont="1" applyFill="1" applyBorder="1" applyAlignment="1">
      <alignment horizontal="right" vertical="center" wrapText="1"/>
    </xf>
    <xf numFmtId="0" fontId="15" fillId="5" borderId="7" xfId="0" applyFont="1" applyFill="1" applyBorder="1" applyAlignment="1">
      <alignment vertical="center" wrapText="1"/>
    </xf>
    <xf numFmtId="3" fontId="15" fillId="5" borderId="9" xfId="0" applyNumberFormat="1" applyFont="1" applyFill="1" applyBorder="1" applyAlignment="1">
      <alignment horizontal="right" vertical="center" wrapText="1"/>
    </xf>
    <xf numFmtId="0" fontId="15" fillId="0" borderId="0" xfId="6" applyFont="1" applyFill="1" applyBorder="1" applyAlignment="1">
      <alignment vertical="center" wrapText="1"/>
    </xf>
    <xf numFmtId="0" fontId="4" fillId="0" borderId="11" xfId="3" applyBorder="1" applyAlignment="1">
      <alignment vertical="center"/>
    </xf>
    <xf numFmtId="0" fontId="6" fillId="0" borderId="11" xfId="3" applyFont="1" applyBorder="1" applyAlignment="1">
      <alignment vertical="center"/>
    </xf>
    <xf numFmtId="0" fontId="18" fillId="0" borderId="5" xfId="1" applyFont="1" applyBorder="1" applyAlignment="1">
      <alignment horizontal="center" vertical="center"/>
    </xf>
    <xf numFmtId="0" fontId="20" fillId="3" borderId="5" xfId="6" applyFont="1" applyBorder="1" applyAlignment="1">
      <alignment vertical="center" wrapText="1"/>
    </xf>
    <xf numFmtId="3" fontId="17" fillId="0" borderId="4" xfId="5" applyNumberFormat="1" applyFont="1" applyBorder="1">
      <alignment vertical="center"/>
    </xf>
    <xf numFmtId="0" fontId="15" fillId="5" borderId="5" xfId="0" applyFont="1" applyFill="1" applyBorder="1" applyAlignment="1">
      <alignment horizontal="center" vertical="center" wrapText="1"/>
    </xf>
    <xf numFmtId="0" fontId="15" fillId="5" borderId="5" xfId="1" applyFont="1" applyFill="1" applyBorder="1" applyAlignment="1">
      <alignment horizontal="center" vertical="center" wrapText="1"/>
    </xf>
    <xf numFmtId="0" fontId="21" fillId="4" borderId="5" xfId="7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17" fillId="0" borderId="5" xfId="0" applyFont="1" applyBorder="1" applyAlignment="1">
      <alignment horizontal="center" vertical="center"/>
    </xf>
    <xf numFmtId="3" fontId="17" fillId="0" borderId="5" xfId="5" applyNumberFormat="1" applyFont="1" applyBorder="1" applyAlignment="1">
      <alignment horizontal="right" vertical="center"/>
    </xf>
    <xf numFmtId="0" fontId="17" fillId="0" borderId="0" xfId="0" applyFont="1" applyAlignment="1">
      <alignment horizontal="right" vertical="center"/>
    </xf>
    <xf numFmtId="0" fontId="24" fillId="7" borderId="5" xfId="8" applyFont="1" applyBorder="1" applyAlignment="1">
      <alignment horizontal="center" vertical="center"/>
    </xf>
    <xf numFmtId="0" fontId="25" fillId="0" borderId="0" xfId="1" applyFont="1"/>
    <xf numFmtId="0" fontId="25" fillId="0" borderId="0" xfId="1" applyFont="1" applyAlignment="1">
      <alignment horizontal="center" vertical="center"/>
    </xf>
    <xf numFmtId="0" fontId="25" fillId="0" borderId="0" xfId="1" applyFont="1" applyAlignment="1">
      <alignment horizontal="center"/>
    </xf>
    <xf numFmtId="0" fontId="26" fillId="0" borderId="5" xfId="1" applyFont="1" applyBorder="1" applyAlignment="1">
      <alignment horizontal="center" vertical="center"/>
    </xf>
    <xf numFmtId="0" fontId="27" fillId="0" borderId="5" xfId="1" applyFont="1" applyBorder="1" applyAlignment="1">
      <alignment horizontal="center" vertical="center" wrapText="1"/>
    </xf>
    <xf numFmtId="0" fontId="25" fillId="0" borderId="5" xfId="1" applyFont="1" applyBorder="1" applyAlignment="1">
      <alignment horizontal="center" vertical="center"/>
    </xf>
    <xf numFmtId="0" fontId="28" fillId="0" borderId="5" xfId="1" applyFont="1" applyBorder="1" applyAlignment="1">
      <alignment horizontal="center" wrapText="1"/>
    </xf>
    <xf numFmtId="0" fontId="8" fillId="2" borderId="5" xfId="4" applyNumberFormat="1" applyFont="1" applyFill="1" applyBorder="1" applyAlignment="1">
      <alignment horizontal="center" vertical="center"/>
    </xf>
    <xf numFmtId="177" fontId="10" fillId="0" borderId="5" xfId="0" applyNumberFormat="1" applyFont="1" applyBorder="1" applyAlignment="1">
      <alignment vertical="center" wrapText="1"/>
    </xf>
    <xf numFmtId="0" fontId="24" fillId="8" borderId="5" xfId="8" applyFont="1" applyFill="1" applyBorder="1" applyAlignment="1">
      <alignment horizontal="center" vertical="center"/>
    </xf>
    <xf numFmtId="0" fontId="16" fillId="6" borderId="13" xfId="0" applyFont="1" applyFill="1" applyBorder="1" applyAlignment="1">
      <alignment horizontal="center" vertical="center"/>
    </xf>
    <xf numFmtId="0" fontId="16" fillId="6" borderId="12" xfId="0" applyFont="1" applyFill="1" applyBorder="1" applyAlignment="1">
      <alignment horizontal="center" vertical="center"/>
    </xf>
    <xf numFmtId="0" fontId="16" fillId="6" borderId="14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0" fillId="0" borderId="12" xfId="0" applyNumberFormat="1" applyBorder="1" applyAlignment="1">
      <alignment horizontal="center" vertical="center"/>
    </xf>
    <xf numFmtId="178" fontId="28" fillId="0" borderId="5" xfId="1" applyNumberFormat="1" applyFont="1" applyBorder="1" applyAlignment="1">
      <alignment horizontal="center" wrapText="1"/>
    </xf>
    <xf numFmtId="0" fontId="0" fillId="0" borderId="0" xfId="0" pivotButton="1">
      <alignment vertical="center"/>
    </xf>
    <xf numFmtId="0" fontId="28" fillId="0" borderId="5" xfId="1" applyNumberFormat="1" applyFont="1" applyBorder="1" applyAlignment="1">
      <alignment horizontal="center" wrapText="1"/>
    </xf>
    <xf numFmtId="3" fontId="17" fillId="0" borderId="5" xfId="5" quotePrefix="1" applyNumberFormat="1" applyFont="1" applyBorder="1">
      <alignment vertical="center"/>
    </xf>
  </cellXfs>
  <cellStyles count="9">
    <cellStyle name="강조색1" xfId="8" builtinId="29"/>
    <cellStyle name="백분율 2" xfId="2" xr:uid="{00000000-0005-0000-0000-000001000000}"/>
    <cellStyle name="보통" xfId="7" builtinId="28"/>
    <cellStyle name="쉼표 [0]" xfId="5" builtinId="6"/>
    <cellStyle name="제목" xfId="3" builtinId="15"/>
    <cellStyle name="제목 2" xfId="4" builtinId="17"/>
    <cellStyle name="좋음" xfId="6" builtinId="26"/>
    <cellStyle name="표준" xfId="0" builtinId="0"/>
    <cellStyle name="표준 2" xfId="1" xr:uid="{00000000-0005-0000-0000-000008000000}"/>
  </cellStyles>
  <dxfs count="1">
    <dxf>
      <font>
        <b val="0"/>
        <i/>
      </font>
      <fill>
        <patternFill>
          <bgColor rgb="FFFFFF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'기타작업-1'!$B$2</c:f>
          <c:strCache>
            <c:ptCount val="1"/>
            <c:pt idx="0">
              <c:v>주요도시 빗물의 산도 [단위 : pH]</c:v>
            </c:pt>
          </c:strCache>
        </c:strRef>
      </c:tx>
      <c:overlay val="0"/>
      <c:txPr>
        <a:bodyPr/>
        <a:lstStyle/>
        <a:p>
          <a:pPr>
            <a:defRPr sz="1300"/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서울</c:v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('기타작업-1'!$D$4,'기타작업-1'!$F$4,'기타작업-1'!$H$4,'기타작업-1'!$J$4)</c:f>
              <c:numCache>
                <c:formatCode>0.0</c:formatCode>
                <c:ptCount val="4"/>
                <c:pt idx="0">
                  <c:v>4.8</c:v>
                </c:pt>
                <c:pt idx="1">
                  <c:v>4.7</c:v>
                </c:pt>
                <c:pt idx="2">
                  <c:v>4.5999999999999996</c:v>
                </c:pt>
                <c:pt idx="3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1C-4A28-845A-F3ADFAE41FC4}"/>
            </c:ext>
          </c:extLst>
        </c:ser>
        <c:ser>
          <c:idx val="5"/>
          <c:order val="1"/>
          <c:tx>
            <c:v>대전</c:v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('기타작업-1'!$D$9,'기타작업-1'!$F$9,'기타작업-1'!$H$9,'기타작업-1'!$J$9)</c:f>
              <c:numCache>
                <c:formatCode>0.0</c:formatCode>
                <c:ptCount val="4"/>
                <c:pt idx="0">
                  <c:v>4.7</c:v>
                </c:pt>
                <c:pt idx="1">
                  <c:v>4.5999999999999996</c:v>
                </c:pt>
                <c:pt idx="2">
                  <c:v>4.9000000000000004</c:v>
                </c:pt>
                <c:pt idx="3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41C-4A28-845A-F3ADFAE41FC4}"/>
            </c:ext>
          </c:extLst>
        </c:ser>
        <c:ser>
          <c:idx val="2"/>
          <c:order val="2"/>
          <c:tx>
            <c:v>대구</c:v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('기타작업-1'!$D$6,'기타작업-1'!$F$6,'기타작업-1'!$H$6,'기타작업-1'!$J$6)</c:f>
              <c:numCache>
                <c:formatCode>0.0</c:formatCode>
                <c:ptCount val="4"/>
                <c:pt idx="0">
                  <c:v>5.7</c:v>
                </c:pt>
                <c:pt idx="1">
                  <c:v>5</c:v>
                </c:pt>
                <c:pt idx="2">
                  <c:v>4.7</c:v>
                </c:pt>
                <c:pt idx="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41C-4A28-845A-F3ADFAE41FC4}"/>
            </c:ext>
          </c:extLst>
        </c:ser>
        <c:ser>
          <c:idx val="1"/>
          <c:order val="3"/>
          <c:tx>
            <c:v>부산</c:v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('기타작업-1'!$D$5,'기타작업-1'!$F$5,'기타작업-1'!$H$5,'기타작업-1'!$J$5)</c:f>
              <c:numCache>
                <c:formatCode>0.0</c:formatCode>
                <c:ptCount val="4"/>
                <c:pt idx="0">
                  <c:v>5.5</c:v>
                </c:pt>
                <c:pt idx="1">
                  <c:v>4.7</c:v>
                </c:pt>
                <c:pt idx="2">
                  <c:v>4.9000000000000004</c:v>
                </c:pt>
                <c:pt idx="3">
                  <c:v>4.9000000000000004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41C-4A28-845A-F3ADFAE41F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91392"/>
        <c:axId val="76092928"/>
      </c:lineChart>
      <c:catAx>
        <c:axId val="7609139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76092928"/>
        <c:crosses val="autoZero"/>
        <c:auto val="1"/>
        <c:lblAlgn val="ctr"/>
        <c:lblOffset val="100"/>
        <c:noMultiLvlLbl val="0"/>
      </c:catAx>
      <c:valAx>
        <c:axId val="76092928"/>
        <c:scaling>
          <c:orientation val="minMax"/>
          <c:max val="6"/>
          <c:min val="4"/>
        </c:scaling>
        <c:delete val="0"/>
        <c:axPos val="l"/>
        <c:majorGridlines/>
        <c:numFmt formatCode="0.0" sourceLinked="1"/>
        <c:majorTickMark val="none"/>
        <c:minorTickMark val="none"/>
        <c:tickLblPos val="nextTo"/>
        <c:spPr>
          <a:ln w="9525">
            <a:noFill/>
          </a:ln>
        </c:spPr>
        <c:crossAx val="76091392"/>
        <c:crosses val="autoZero"/>
        <c:crossBetween val="between"/>
        <c:majorUnit val="0.2"/>
      </c:valAx>
      <c:spPr>
        <a:gradFill rotWithShape="1">
          <a:gsLst>
            <a:gs pos="0">
              <a:schemeClr val="dk1">
                <a:tint val="50000"/>
                <a:satMod val="300000"/>
              </a:schemeClr>
            </a:gs>
            <a:gs pos="35000">
              <a:schemeClr val="dk1">
                <a:tint val="37000"/>
                <a:satMod val="300000"/>
              </a:schemeClr>
            </a:gs>
            <a:gs pos="100000">
              <a:schemeClr val="dk1">
                <a:tint val="15000"/>
                <a:satMod val="350000"/>
              </a:schemeClr>
            </a:gs>
          </a:gsLst>
          <a:lin ang="16200000" scaled="1"/>
        </a:gradFill>
        <a:ln w="9525" cap="flat" cmpd="sng" algn="ctr">
          <a:solidFill>
            <a:schemeClr val="dk1">
              <a:shade val="95000"/>
              <a:satMod val="105000"/>
            </a:schemeClr>
          </a:solidFill>
          <a:prstDash val="solid"/>
        </a:ln>
        <a:effectLst>
          <a:outerShdw blurRad="40000" dist="20000" dir="5400000" rotWithShape="0">
            <a:srgbClr val="000000">
              <a:alpha val="38000"/>
            </a:srgbClr>
          </a:outerShdw>
        </a:effectLst>
      </c:spPr>
    </c:plotArea>
    <c:legend>
      <c:legendPos val="b"/>
      <c:overlay val="0"/>
    </c:legend>
    <c:plotVisOnly val="1"/>
    <c:dispBlanksAs val="gap"/>
    <c:showDLblsOverMax val="0"/>
  </c:chart>
  <c:spPr>
    <a:effectLst>
      <a:innerShdw blurRad="114300">
        <a:prstClr val="black"/>
      </a:innerShdw>
    </a:effectLst>
  </c:spPr>
  <c:txPr>
    <a:bodyPr/>
    <a:lstStyle/>
    <a:p>
      <a:pPr>
        <a:defRPr sz="1500"/>
      </a:pPr>
      <a:endParaRPr lang="ko-KR"/>
    </a:p>
  </c:tx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11</xdr:row>
      <xdr:rowOff>1</xdr:rowOff>
    </xdr:from>
    <xdr:to>
      <xdr:col>10</xdr:col>
      <xdr:colOff>1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6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0</xdr:rowOff>
        </xdr:from>
        <xdr:to>
          <xdr:col>5</xdr:col>
          <xdr:colOff>0</xdr:colOff>
          <xdr:row>3</xdr:row>
          <xdr:rowOff>9525</xdr:rowOff>
        </xdr:to>
        <xdr:sp macro="" textlink="">
          <xdr:nvSpPr>
            <xdr:cNvPr id="1025" name="cmd등록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7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ieun Park" refreshedDate="45129.829964930555" backgroundQuery="1" createdVersion="8" refreshedVersion="8" minRefreshableVersion="3" recordCount="88" xr:uid="{9F2F91A6-4B35-48C2-84E5-8EA3CA963FCA}">
  <cacheSource type="external" connectionId="5"/>
  <cacheFields count="10">
    <cacheField name="기상" numFmtId="0" sqlType="-9">
      <sharedItems count="4">
        <s v="강수량"/>
        <s v="최고기온"/>
        <s v="평균온도"/>
        <s v="습도"/>
      </sharedItems>
    </cacheField>
    <cacheField name="지역" numFmtId="0" sqlType="-9">
      <sharedItems count="6">
        <s v="강원"/>
        <s v="경상"/>
        <s v="전라"/>
        <s v="충청"/>
        <s v="경기"/>
        <s v="제주"/>
      </sharedItems>
    </cacheField>
    <cacheField name="1월" numFmtId="0" sqlType="8">
      <sharedItems containsSemiMixedTypes="0" containsString="0" containsNumber="1" minValue="-7" maxValue="72.5"/>
    </cacheField>
    <cacheField name="2월" numFmtId="0" sqlType="8">
      <sharedItems containsSemiMixedTypes="0" containsString="0" containsNumber="1" minValue="-4.7" maxValue="71"/>
    </cacheField>
    <cacheField name="3월" numFmtId="0" sqlType="8">
      <sharedItems containsSemiMixedTypes="0" containsString="0" containsNumber="1" minValue="0" maxValue="94.4"/>
    </cacheField>
    <cacheField name="4월" numFmtId="0" sqlType="8">
      <sharedItems containsSemiMixedTypes="0" containsString="0" containsNumber="1" minValue="6.9" maxValue="136.6"/>
    </cacheField>
    <cacheField name="5월" numFmtId="0" sqlType="8">
      <sharedItems containsSemiMixedTypes="0" containsString="0" containsNumber="1" minValue="12" maxValue="173.2"/>
    </cacheField>
    <cacheField name="12월" numFmtId="0" sqlType="8">
      <sharedItems containsSemiMixedTypes="0" containsString="0" containsNumber="1" minValue="-4.2" maxValue="72"/>
    </cacheField>
    <cacheField name="겨울기상" numFmtId="0" formula="'12월'+'1월'+'2월'" databaseField="0"/>
    <cacheField name="봄기상" numFmtId="0" formula="'3월'+'4월'+'5월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">
  <r>
    <x v="0"/>
    <x v="0"/>
    <n v="53.1"/>
    <n v="43.9"/>
    <n v="68.599999999999994"/>
    <n v="72.900000000000006"/>
    <n v="91"/>
    <n v="40.299999999999997"/>
  </r>
  <r>
    <x v="0"/>
    <x v="1"/>
    <n v="42.8"/>
    <n v="42.7"/>
    <n v="77.5"/>
    <n v="88.7"/>
    <n v="114.1"/>
    <n v="34.5"/>
  </r>
  <r>
    <x v="0"/>
    <x v="2"/>
    <n v="34.200000000000003"/>
    <n v="47.8"/>
    <n v="61.9"/>
    <n v="81.8"/>
    <n v="98.5"/>
    <n v="37"/>
  </r>
  <r>
    <x v="0"/>
    <x v="0"/>
    <n v="66.599999999999994"/>
    <n v="53.8"/>
    <n v="87.5"/>
    <n v="93.7"/>
    <n v="127.3"/>
    <n v="39.200000000000003"/>
  </r>
  <r>
    <x v="0"/>
    <x v="1"/>
    <n v="19.2"/>
    <n v="25.1"/>
    <n v="44.7"/>
    <n v="62.4"/>
    <n v="87.2"/>
    <n v="17.5"/>
  </r>
  <r>
    <x v="0"/>
    <x v="3"/>
    <n v="26.5"/>
    <n v="35.700000000000003"/>
    <n v="54.5"/>
    <n v="78.7"/>
    <n v="102.6"/>
    <n v="27.7"/>
  </r>
  <r>
    <x v="0"/>
    <x v="2"/>
    <n v="31.2"/>
    <n v="38.4"/>
    <n v="64.2"/>
    <n v="69.400000000000006"/>
    <n v="91.8"/>
    <n v="33"/>
  </r>
  <r>
    <x v="0"/>
    <x v="1"/>
    <n v="34.1"/>
    <n v="48.9"/>
    <n v="83.5"/>
    <n v="136.6"/>
    <n v="173.2"/>
    <n v="26.3"/>
  </r>
  <r>
    <x v="0"/>
    <x v="3"/>
    <n v="25.3"/>
    <n v="26.7"/>
    <n v="44.2"/>
    <n v="72.099999999999994"/>
    <n v="112.6"/>
    <n v="29.9"/>
  </r>
  <r>
    <x v="0"/>
    <x v="4"/>
    <n v="17.899999999999999"/>
    <n v="26.9"/>
    <n v="42.9"/>
    <n v="70.099999999999994"/>
    <n v="113.7"/>
    <n v="20.9"/>
  </r>
  <r>
    <x v="0"/>
    <x v="4"/>
    <n v="19"/>
    <n v="25.5"/>
    <n v="43.8"/>
    <n v="64.599999999999994"/>
    <n v="101.7"/>
    <n v="22.3"/>
  </r>
  <r>
    <x v="0"/>
    <x v="1"/>
    <n v="18.2"/>
    <n v="23.5"/>
    <n v="44.2"/>
    <n v="69.3"/>
    <n v="96.3"/>
    <n v="18"/>
  </r>
  <r>
    <x v="0"/>
    <x v="0"/>
    <n v="19.2"/>
    <n v="26.9"/>
    <n v="47.9"/>
    <n v="69.099999999999994"/>
    <n v="93.9"/>
    <n v="23.5"/>
  </r>
  <r>
    <x v="0"/>
    <x v="4"/>
    <n v="17.3"/>
    <n v="22.5"/>
    <n v="37.6"/>
    <n v="60.9"/>
    <n v="106.9"/>
    <n v="18.8"/>
  </r>
  <r>
    <x v="0"/>
    <x v="2"/>
    <n v="29"/>
    <n v="38.200000000000003"/>
    <n v="52.5"/>
    <n v="76.400000000000006"/>
    <n v="88.5"/>
    <n v="32.299999999999997"/>
  </r>
  <r>
    <x v="0"/>
    <x v="5"/>
    <n v="72.5"/>
    <n v="55.2"/>
    <n v="94.4"/>
    <n v="88.3"/>
    <n v="104.7"/>
    <n v="52.1"/>
  </r>
  <r>
    <x v="0"/>
    <x v="2"/>
    <n v="29"/>
    <n v="44.3"/>
    <n v="74.099999999999994"/>
    <n v="116.7"/>
    <n v="143.6"/>
    <n v="22.6"/>
  </r>
  <r>
    <x v="0"/>
    <x v="3"/>
    <n v="22.2"/>
    <n v="27.8"/>
    <n v="45.5"/>
    <n v="71.3"/>
    <n v="95.2"/>
    <n v="25.2"/>
  </r>
  <r>
    <x v="0"/>
    <x v="3"/>
    <n v="23.5"/>
    <n v="33.5"/>
    <n v="50.6"/>
    <n v="72.900000000000006"/>
    <n v="90.4"/>
    <n v="24"/>
  </r>
  <r>
    <x v="0"/>
    <x v="0"/>
    <n v="19.100000000000001"/>
    <n v="24.7"/>
    <n v="37.299999999999997"/>
    <n v="66"/>
    <n v="106.5"/>
    <n v="22.3"/>
  </r>
  <r>
    <x v="0"/>
    <x v="1"/>
    <n v="39.200000000000003"/>
    <n v="33.799999999999997"/>
    <n v="57"/>
    <n v="70.599999999999994"/>
    <n v="101.6"/>
    <n v="25.9"/>
  </r>
  <r>
    <x v="0"/>
    <x v="2"/>
    <n v="15.5"/>
    <n v="23.3"/>
    <n v="34.200000000000003"/>
    <n v="56.8"/>
    <n v="71.7"/>
    <n v="16.7"/>
  </r>
  <r>
    <x v="1"/>
    <x v="0"/>
    <n v="5.2"/>
    <n v="7.3"/>
    <n v="11.3"/>
    <n v="18"/>
    <n v="22.2"/>
    <n v="8"/>
  </r>
  <r>
    <x v="1"/>
    <x v="1"/>
    <n v="8.6"/>
    <n v="9.4"/>
    <n v="12.4"/>
    <n v="16.5"/>
    <n v="20.100000000000001"/>
    <n v="11.2"/>
  </r>
  <r>
    <x v="1"/>
    <x v="2"/>
    <n v="5.7"/>
    <n v="8.3000000000000007"/>
    <n v="13.3"/>
    <n v="19.8"/>
    <n v="24.3"/>
    <n v="8.1999999999999993"/>
  </r>
  <r>
    <x v="1"/>
    <x v="0"/>
    <n v="-1.9"/>
    <n v="0.5"/>
    <n v="4.9000000000000004"/>
    <n v="12.8"/>
    <n v="17.7"/>
    <n v="0.8"/>
  </r>
  <r>
    <x v="1"/>
    <x v="1"/>
    <n v="6"/>
    <n v="8.9"/>
    <n v="13.8"/>
    <n v="20.7"/>
    <n v="25.3"/>
    <n v="8.3000000000000007"/>
  </r>
  <r>
    <x v="1"/>
    <x v="3"/>
    <n v="4.0999999999999996"/>
    <n v="7"/>
    <n v="12.3"/>
    <n v="19.399999999999999"/>
    <n v="24.1"/>
    <n v="6.6"/>
  </r>
  <r>
    <x v="1"/>
    <x v="2"/>
    <n v="6.3"/>
    <n v="8"/>
    <n v="12"/>
    <n v="17.8"/>
    <n v="22.2"/>
    <n v="8.8000000000000007"/>
  </r>
  <r>
    <x v="1"/>
    <x v="1"/>
    <n v="8.1999999999999993"/>
    <n v="10.199999999999999"/>
    <n v="13.6"/>
    <n v="18.3"/>
    <n v="21.7"/>
    <n v="10.6"/>
  </r>
  <r>
    <x v="1"/>
    <x v="3"/>
    <n v="3.5"/>
    <n v="5.7"/>
    <n v="10.6"/>
    <n v="17.3"/>
    <n v="22.2"/>
    <n v="6.1"/>
  </r>
  <r>
    <x v="1"/>
    <x v="4"/>
    <n v="2.1"/>
    <n v="5.2"/>
    <n v="10.6"/>
    <n v="17.8"/>
    <n v="23.2"/>
    <n v="4.5"/>
  </r>
  <r>
    <x v="1"/>
    <x v="4"/>
    <n v="2.7"/>
    <n v="5.5"/>
    <n v="10.9"/>
    <n v="18"/>
    <n v="23.1"/>
    <n v="5.2"/>
  </r>
  <r>
    <x v="1"/>
    <x v="1"/>
    <n v="3.9"/>
    <n v="6.9"/>
    <n v="12.2"/>
    <n v="19.399999999999999"/>
    <n v="24.2"/>
    <n v="6.2"/>
  </r>
  <r>
    <x v="1"/>
    <x v="0"/>
    <n v="2.4"/>
    <n v="5.6"/>
    <n v="11.4"/>
    <n v="19.100000000000001"/>
    <n v="24"/>
    <n v="4.5999999999999996"/>
  </r>
  <r>
    <x v="1"/>
    <x v="4"/>
    <n v="2.5"/>
    <n v="5.0999999999999996"/>
    <n v="10.1"/>
    <n v="16.5"/>
    <n v="21.7"/>
    <n v="5.0999999999999996"/>
  </r>
  <r>
    <x v="1"/>
    <x v="2"/>
    <n v="4.9000000000000004"/>
    <n v="7.4"/>
    <n v="12.7"/>
    <n v="19.7"/>
    <n v="24.6"/>
    <n v="7.3"/>
  </r>
  <r>
    <x v="1"/>
    <x v="5"/>
    <n v="8.6"/>
    <n v="9.8000000000000007"/>
    <n v="13.1"/>
    <n v="17.7"/>
    <n v="21.7"/>
    <n v="11.1"/>
  </r>
  <r>
    <x v="1"/>
    <x v="2"/>
    <n v="7.2"/>
    <n v="9.6999999999999993"/>
    <n v="14"/>
    <n v="20.100000000000001"/>
    <n v="24.5"/>
    <n v="9.6"/>
  </r>
  <r>
    <x v="1"/>
    <x v="3"/>
    <n v="3.4"/>
    <n v="6.5"/>
    <n v="12.2"/>
    <n v="19.600000000000001"/>
    <n v="24.3"/>
    <n v="5.8"/>
  </r>
  <r>
    <x v="1"/>
    <x v="3"/>
    <n v="3.1"/>
    <n v="6.1"/>
    <n v="11.6"/>
    <n v="18.899999999999999"/>
    <n v="23.5"/>
    <n v="5.6"/>
  </r>
  <r>
    <x v="1"/>
    <x v="0"/>
    <n v="1.9"/>
    <n v="5.6"/>
    <n v="11.3"/>
    <n v="19"/>
    <n v="23.9"/>
    <n v="3.9"/>
  </r>
  <r>
    <x v="1"/>
    <x v="1"/>
    <n v="6.8"/>
    <n v="9.1"/>
    <n v="13"/>
    <n v="19.100000000000001"/>
    <n v="23.1"/>
    <n v="9.1999999999999993"/>
  </r>
  <r>
    <x v="1"/>
    <x v="2"/>
    <n v="5.3"/>
    <n v="6.3"/>
    <n v="9.4"/>
    <n v="14.2"/>
    <n v="18.600000000000001"/>
    <n v="8.1"/>
  </r>
  <r>
    <x v="2"/>
    <x v="0"/>
    <n v="0.9"/>
    <n v="2.8"/>
    <n v="6.7"/>
    <n v="13.1"/>
    <n v="17.5"/>
    <n v="3.5"/>
  </r>
  <r>
    <x v="2"/>
    <x v="1"/>
    <n v="6.2"/>
    <n v="6.7"/>
    <n v="9.3000000000000007"/>
    <n v="13.3"/>
    <n v="16.8"/>
    <n v="8.6"/>
  </r>
  <r>
    <x v="2"/>
    <x v="2"/>
    <n v="1.1000000000000001"/>
    <n v="2.9"/>
    <n v="7.3"/>
    <n v="13.3"/>
    <n v="18.399999999999999"/>
    <n v="3.3"/>
  </r>
  <r>
    <x v="2"/>
    <x v="0"/>
    <n v="-7"/>
    <n v="-4.7"/>
    <n v="0"/>
    <n v="6.9"/>
    <n v="12"/>
    <n v="-4.2"/>
  </r>
  <r>
    <x v="2"/>
    <x v="1"/>
    <n v="1.1000000000000001"/>
    <n v="3.5"/>
    <n v="8.1"/>
    <n v="14.4"/>
    <n v="19.2"/>
    <n v="3.1"/>
  </r>
  <r>
    <x v="2"/>
    <x v="3"/>
    <n v="-1"/>
    <n v="1.3"/>
    <n v="6.3"/>
    <n v="12.9"/>
    <n v="18.100000000000001"/>
    <n v="1.2"/>
  </r>
  <r>
    <x v="2"/>
    <x v="2"/>
    <n v="2"/>
    <n v="3.2"/>
    <n v="6.9"/>
    <n v="12.4"/>
    <n v="17.3"/>
    <n v="4.4000000000000004"/>
  </r>
  <r>
    <x v="2"/>
    <x v="1"/>
    <n v="3.6"/>
    <n v="5.4"/>
    <n v="8.9"/>
    <n v="13.7"/>
    <n v="17.5"/>
    <n v="6.1"/>
  </r>
  <r>
    <x v="2"/>
    <x v="3"/>
    <n v="-1.6"/>
    <n v="0.1"/>
    <n v="4.7"/>
    <n v="10.9"/>
    <n v="16.399999999999999"/>
    <n v="0.9"/>
  </r>
  <r>
    <x v="2"/>
    <x v="4"/>
    <n v="-1.8"/>
    <n v="0.9"/>
    <n v="5.9"/>
    <n v="12.6"/>
    <n v="18"/>
    <n v="0.6"/>
  </r>
  <r>
    <x v="2"/>
    <x v="4"/>
    <n v="-2.1"/>
    <n v="0.2"/>
    <n v="5.4"/>
    <n v="11.9"/>
    <n v="17.399999999999999"/>
    <n v="0.3"/>
  </r>
  <r>
    <x v="2"/>
    <x v="1"/>
    <n v="-1.9"/>
    <n v="0.6"/>
    <n v="5.7"/>
    <n v="12.3"/>
    <n v="17.399999999999999"/>
    <n v="0.1"/>
  </r>
  <r>
    <x v="2"/>
    <x v="0"/>
    <n v="-3.3"/>
    <n v="-0.6"/>
    <n v="5.0999999999999996"/>
    <n v="12.1"/>
    <n v="17.5"/>
    <n v="-1"/>
  </r>
  <r>
    <x v="2"/>
    <x v="4"/>
    <n v="-1.4"/>
    <n v="0.8"/>
    <n v="5.5"/>
    <n v="11.5"/>
    <n v="16.600000000000001"/>
    <n v="1.1000000000000001"/>
  </r>
  <r>
    <x v="2"/>
    <x v="2"/>
    <n v="0.1"/>
    <n v="1.9"/>
    <n v="6.6"/>
    <n v="12.9"/>
    <n v="18.3"/>
    <n v="2.4"/>
  </r>
  <r>
    <x v="2"/>
    <x v="5"/>
    <n v="6.1"/>
    <n v="6.8"/>
    <n v="9.6"/>
    <n v="14"/>
    <n v="17.899999999999999"/>
    <n v="8.4"/>
  </r>
  <r>
    <x v="2"/>
    <x v="2"/>
    <n v="0.4"/>
    <n v="2.6"/>
    <n v="7.1"/>
    <n v="12.9"/>
    <n v="17.899999999999999"/>
    <n v="2.2000000000000002"/>
  </r>
  <r>
    <x v="2"/>
    <x v="3"/>
    <n v="-1.6"/>
    <n v="0.8"/>
    <n v="6.1"/>
    <n v="12.9"/>
    <n v="18.2"/>
    <n v="0.7"/>
  </r>
  <r>
    <x v="2"/>
    <x v="3"/>
    <n v="-1.7"/>
    <n v="0.5"/>
    <n v="5.4"/>
    <n v="12.1"/>
    <n v="16.899999999999999"/>
    <n v="0.4"/>
  </r>
  <r>
    <x v="2"/>
    <x v="0"/>
    <n v="-4"/>
    <n v="-1"/>
    <n v="4.7"/>
    <n v="11.7"/>
    <n v="17.2"/>
    <n v="-1.7"/>
  </r>
  <r>
    <x v="2"/>
    <x v="1"/>
    <n v="2.2000000000000002"/>
    <n v="4.3"/>
    <n v="8.1999999999999993"/>
    <n v="14"/>
    <n v="18.2"/>
    <n v="4.5999999999999996"/>
  </r>
  <r>
    <x v="2"/>
    <x v="2"/>
    <n v="3.3"/>
    <n v="3.8"/>
    <n v="6.2"/>
    <n v="10.5"/>
    <n v="14.8"/>
    <n v="5.9"/>
  </r>
  <r>
    <x v="3"/>
    <x v="0"/>
    <n v="49"/>
    <n v="50"/>
    <n v="55"/>
    <n v="53"/>
    <n v="61"/>
    <n v="47"/>
  </r>
  <r>
    <x v="3"/>
    <x v="1"/>
    <n v="67"/>
    <n v="68"/>
    <n v="69"/>
    <n v="73"/>
    <n v="79"/>
    <n v="66"/>
  </r>
  <r>
    <x v="3"/>
    <x v="2"/>
    <n v="66"/>
    <n v="62"/>
    <n v="61"/>
    <n v="60"/>
    <n v="65"/>
    <n v="67"/>
  </r>
  <r>
    <x v="3"/>
    <x v="0"/>
    <n v="68"/>
    <n v="66"/>
    <n v="67"/>
    <n v="61"/>
    <n v="69"/>
    <n v="67"/>
  </r>
  <r>
    <x v="3"/>
    <x v="1"/>
    <n v="53"/>
    <n v="50"/>
    <n v="51"/>
    <n v="51"/>
    <n v="57"/>
    <n v="54"/>
  </r>
  <r>
    <x v="3"/>
    <x v="3"/>
    <n v="65"/>
    <n v="60"/>
    <n v="58"/>
    <n v="56"/>
    <n v="63"/>
    <n v="67"/>
  </r>
  <r>
    <x v="3"/>
    <x v="2"/>
    <n v="68"/>
    <n v="68"/>
    <n v="67"/>
    <n v="67"/>
    <n v="72"/>
    <n v="68"/>
  </r>
  <r>
    <x v="3"/>
    <x v="1"/>
    <n v="48"/>
    <n v="49"/>
    <n v="56"/>
    <n v="62"/>
    <n v="70"/>
    <n v="48"/>
  </r>
  <r>
    <x v="3"/>
    <x v="3"/>
    <n v="70"/>
    <n v="68"/>
    <n v="67"/>
    <n v="66"/>
    <n v="71"/>
    <n v="71"/>
  </r>
  <r>
    <x v="3"/>
    <x v="4"/>
    <n v="58"/>
    <n v="56"/>
    <n v="56"/>
    <n v="55"/>
    <n v="61"/>
    <n v="59"/>
  </r>
  <r>
    <x v="3"/>
    <x v="4"/>
    <n v="63"/>
    <n v="62"/>
    <n v="62"/>
    <n v="61"/>
    <n v="66"/>
    <n v="64"/>
  </r>
  <r>
    <x v="3"/>
    <x v="1"/>
    <n v="62"/>
    <n v="59"/>
    <n v="58"/>
    <n v="56"/>
    <n v="63"/>
    <n v="64"/>
  </r>
  <r>
    <x v="3"/>
    <x v="0"/>
    <n v="67"/>
    <n v="63"/>
    <n v="61"/>
    <n v="58"/>
    <n v="64"/>
    <n v="69"/>
  </r>
  <r>
    <x v="3"/>
    <x v="4"/>
    <n v="61"/>
    <n v="60"/>
    <n v="63"/>
    <n v="63"/>
    <n v="69"/>
    <n v="61"/>
  </r>
  <r>
    <x v="3"/>
    <x v="2"/>
    <n v="68"/>
    <n v="65"/>
    <n v="62"/>
    <n v="59"/>
    <n v="64"/>
    <n v="68"/>
  </r>
  <r>
    <x v="3"/>
    <x v="5"/>
    <n v="64"/>
    <n v="63"/>
    <n v="63"/>
    <n v="64"/>
    <n v="68"/>
    <n v="64"/>
  </r>
  <r>
    <x v="3"/>
    <x v="2"/>
    <n v="59"/>
    <n v="58"/>
    <n v="59"/>
    <n v="61"/>
    <n v="67"/>
    <n v="63"/>
  </r>
  <r>
    <x v="3"/>
    <x v="3"/>
    <n v="65"/>
    <n v="61"/>
    <n v="58"/>
    <n v="54"/>
    <n v="59"/>
    <n v="66"/>
  </r>
  <r>
    <x v="3"/>
    <x v="3"/>
    <n v="62"/>
    <n v="58"/>
    <n v="57"/>
    <n v="55"/>
    <n v="63"/>
    <n v="63"/>
  </r>
  <r>
    <x v="3"/>
    <x v="0"/>
    <n v="68"/>
    <n v="64"/>
    <n v="62"/>
    <n v="59"/>
    <n v="66"/>
    <n v="72"/>
  </r>
  <r>
    <x v="3"/>
    <x v="1"/>
    <n v="49"/>
    <n v="50"/>
    <n v="56"/>
    <n v="57"/>
    <n v="65"/>
    <n v="50"/>
  </r>
  <r>
    <x v="3"/>
    <x v="2"/>
    <n v="69"/>
    <n v="71"/>
    <n v="73"/>
    <n v="76"/>
    <n v="81"/>
    <n v="6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0F00BE-D584-4A8B-9082-110611154FA6}" name="피벗 테이블1" cacheId="0" dataOnRows="1" applyNumberFormats="0" applyBorderFormats="0" applyFontFormats="0" applyPatternFormats="0" applyAlignmentFormats="0" applyWidthHeightFormats="1" dataCaption="값" updatedVersion="8" minRefreshableVersion="3" useAutoFormatting="1" colGrandTotals="0" itemPrintTitles="1" createdVersion="8" indent="0" compact="0" compactData="0" multipleFieldFilters="0" fieldListSortAscending="1">
  <location ref="A2:F17" firstHeaderRow="1" firstDataRow="2" firstDataCol="2"/>
  <pivotFields count="10">
    <pivotField axis="axisCol" compact="0" outline="0" showAll="0">
      <items count="5">
        <item x="0"/>
        <item x="3"/>
        <item x="1"/>
        <item x="2"/>
        <item t="default"/>
      </items>
    </pivotField>
    <pivotField axis="axisRow" compact="0" outline="0" showAll="0">
      <items count="7">
        <item x="4"/>
        <item x="0"/>
        <item x="1"/>
        <item x="2"/>
        <item x="5"/>
        <item x="3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dragToRow="0" dragToCol="0" dragToPage="0" showAll="0" defaultSubtotal="0"/>
    <pivotField dataField="1" compact="0" outline="0" dragToRow="0" dragToCol="0" dragToPage="0" showAll="0" defaultSubtotal="0"/>
  </pivotFields>
  <rowFields count="2">
    <field x="1"/>
    <field x="-2"/>
  </rowFields>
  <rowItems count="14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 t="grand">
      <x/>
    </i>
    <i t="grand" i="1">
      <x/>
    </i>
  </rowItems>
  <colFields count="1">
    <field x="0"/>
  </colFields>
  <colItems count="4">
    <i>
      <x/>
    </i>
    <i>
      <x v="1"/>
    </i>
    <i>
      <x v="2"/>
    </i>
    <i>
      <x v="3"/>
    </i>
  </colItems>
  <dataFields count="2">
    <dataField name="합계 : 겨울기상" fld="8" baseField="0" baseItem="0"/>
    <dataField name="합계 : 봄기상" fld="9" baseField="0" baseItem="0"/>
  </dataFields>
  <pivotTableStyleInfo name="PivotStyleLight15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7" Type="http://schemas.openxmlformats.org/officeDocument/2006/relationships/ctrlProp" Target="../ctrlProps/ctrlProp1.xml"/><Relationship Id="rId2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1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M43"/>
  <sheetViews>
    <sheetView workbookViewId="0"/>
  </sheetViews>
  <sheetFormatPr defaultRowHeight="16.899999999999999" x14ac:dyDescent="0.6"/>
  <cols>
    <col min="2" max="2" width="37.75" bestFit="1" customWidth="1"/>
    <col min="3" max="3" width="20.625" bestFit="1" customWidth="1"/>
    <col min="4" max="4" width="9" style="3"/>
    <col min="5" max="5" width="11.125" style="3" bestFit="1" customWidth="1"/>
    <col min="6" max="6" width="11" style="3" bestFit="1" customWidth="1"/>
    <col min="7" max="7" width="14.125" style="3" bestFit="1" customWidth="1"/>
    <col min="9" max="9" width="11.125" bestFit="1" customWidth="1"/>
    <col min="10" max="10" width="11" bestFit="1" customWidth="1"/>
    <col min="11" max="11" width="37.75" bestFit="1" customWidth="1"/>
    <col min="12" max="12" width="20.625" bestFit="1" customWidth="1"/>
    <col min="13" max="13" width="14.125" bestFit="1" customWidth="1"/>
  </cols>
  <sheetData>
    <row r="2" spans="2:13" x14ac:dyDescent="0.6">
      <c r="B2" s="41" t="s">
        <v>13</v>
      </c>
      <c r="C2" s="41" t="s">
        <v>14</v>
      </c>
      <c r="D2" s="41" t="s">
        <v>15</v>
      </c>
      <c r="E2" s="41" t="s">
        <v>16</v>
      </c>
      <c r="F2" s="41" t="s">
        <v>17</v>
      </c>
      <c r="G2" s="41" t="s">
        <v>18</v>
      </c>
      <c r="I2" s="17" t="s">
        <v>263</v>
      </c>
    </row>
    <row r="3" spans="2:13" x14ac:dyDescent="0.6">
      <c r="B3" s="4" t="s">
        <v>20</v>
      </c>
      <c r="C3" s="4" t="s">
        <v>21</v>
      </c>
      <c r="D3" s="5">
        <v>2015</v>
      </c>
      <c r="E3" s="5" t="s">
        <v>68</v>
      </c>
      <c r="F3" s="5" t="s">
        <v>19</v>
      </c>
      <c r="G3" s="5"/>
      <c r="I3" t="b">
        <f>AND(NOT(ISBLANK(G3)),G3&lt;&gt;"품절도서")</f>
        <v>0</v>
      </c>
    </row>
    <row r="4" spans="2:13" x14ac:dyDescent="0.6">
      <c r="B4" s="7" t="s">
        <v>22</v>
      </c>
      <c r="C4" s="7" t="s">
        <v>23</v>
      </c>
      <c r="D4" s="6">
        <v>2015</v>
      </c>
      <c r="E4" s="6" t="s">
        <v>68</v>
      </c>
      <c r="F4" s="6" t="s">
        <v>19</v>
      </c>
      <c r="G4" s="6"/>
    </row>
    <row r="5" spans="2:13" x14ac:dyDescent="0.6">
      <c r="B5" s="7" t="s">
        <v>24</v>
      </c>
      <c r="C5" s="7" t="s">
        <v>25</v>
      </c>
      <c r="D5" s="6">
        <v>2016</v>
      </c>
      <c r="E5" s="6" t="s">
        <v>69</v>
      </c>
      <c r="F5" s="6" t="s">
        <v>26</v>
      </c>
      <c r="G5" s="6" t="s">
        <v>88</v>
      </c>
    </row>
    <row r="6" spans="2:13" x14ac:dyDescent="0.6">
      <c r="B6" s="7" t="s">
        <v>27</v>
      </c>
      <c r="C6" s="7" t="s">
        <v>28</v>
      </c>
      <c r="D6" s="6">
        <v>2016</v>
      </c>
      <c r="E6" s="6" t="s">
        <v>69</v>
      </c>
      <c r="F6" s="6" t="s">
        <v>90</v>
      </c>
      <c r="G6" s="6"/>
    </row>
    <row r="7" spans="2:13" x14ac:dyDescent="0.6">
      <c r="B7" s="7" t="s">
        <v>29</v>
      </c>
      <c r="C7" s="7" t="s">
        <v>30</v>
      </c>
      <c r="D7" s="6">
        <v>2015</v>
      </c>
      <c r="E7" s="6" t="s">
        <v>69</v>
      </c>
      <c r="F7" s="6" t="s">
        <v>94</v>
      </c>
      <c r="G7" s="6"/>
      <c r="I7" s="41" t="s">
        <v>16</v>
      </c>
      <c r="J7" s="41" t="s">
        <v>17</v>
      </c>
      <c r="K7" s="41" t="s">
        <v>13</v>
      </c>
      <c r="L7" s="41" t="s">
        <v>14</v>
      </c>
      <c r="M7" s="41" t="s">
        <v>18</v>
      </c>
    </row>
    <row r="8" spans="2:13" x14ac:dyDescent="0.6">
      <c r="B8" s="7" t="s">
        <v>31</v>
      </c>
      <c r="C8" s="7" t="s">
        <v>32</v>
      </c>
      <c r="D8" s="6">
        <v>2016</v>
      </c>
      <c r="E8" s="6" t="s">
        <v>70</v>
      </c>
      <c r="F8" s="6" t="s">
        <v>97</v>
      </c>
      <c r="G8" s="6"/>
      <c r="I8" s="6" t="s">
        <v>69</v>
      </c>
      <c r="J8" s="6" t="s">
        <v>26</v>
      </c>
      <c r="K8" s="7" t="s">
        <v>24</v>
      </c>
      <c r="L8" s="7" t="s">
        <v>25</v>
      </c>
      <c r="M8" s="6" t="s">
        <v>88</v>
      </c>
    </row>
    <row r="9" spans="2:13" x14ac:dyDescent="0.6">
      <c r="B9" s="7" t="s">
        <v>33</v>
      </c>
      <c r="C9" s="7" t="s">
        <v>34</v>
      </c>
      <c r="D9" s="6">
        <v>2015</v>
      </c>
      <c r="E9" s="6" t="s">
        <v>71</v>
      </c>
      <c r="F9" s="6" t="s">
        <v>99</v>
      </c>
      <c r="G9" s="6" t="s">
        <v>100</v>
      </c>
      <c r="I9" s="6" t="s">
        <v>71</v>
      </c>
      <c r="J9" s="6" t="s">
        <v>99</v>
      </c>
      <c r="K9" s="7" t="s">
        <v>33</v>
      </c>
      <c r="L9" s="7" t="s">
        <v>34</v>
      </c>
      <c r="M9" s="6" t="s">
        <v>88</v>
      </c>
    </row>
    <row r="10" spans="2:13" x14ac:dyDescent="0.6">
      <c r="B10" s="7" t="s">
        <v>103</v>
      </c>
      <c r="C10" s="7" t="s">
        <v>35</v>
      </c>
      <c r="D10" s="6">
        <v>2016</v>
      </c>
      <c r="E10" s="6" t="s">
        <v>71</v>
      </c>
      <c r="F10" s="6" t="s">
        <v>104</v>
      </c>
      <c r="G10" s="6"/>
      <c r="I10" s="6" t="s">
        <v>74</v>
      </c>
      <c r="J10" s="6" t="s">
        <v>110</v>
      </c>
      <c r="K10" s="7" t="s">
        <v>109</v>
      </c>
      <c r="L10" s="7" t="s">
        <v>41</v>
      </c>
      <c r="M10" s="6" t="s">
        <v>89</v>
      </c>
    </row>
    <row r="11" spans="2:13" x14ac:dyDescent="0.6">
      <c r="B11" s="7" t="s">
        <v>36</v>
      </c>
      <c r="C11" s="7" t="s">
        <v>37</v>
      </c>
      <c r="D11" s="6">
        <v>2015</v>
      </c>
      <c r="E11" s="6" t="s">
        <v>71</v>
      </c>
      <c r="F11" s="6" t="s">
        <v>105</v>
      </c>
      <c r="G11" s="6"/>
      <c r="I11" s="6" t="s">
        <v>78</v>
      </c>
      <c r="J11" s="6" t="s">
        <v>91</v>
      </c>
      <c r="K11" s="7" t="s">
        <v>92</v>
      </c>
      <c r="L11" s="7" t="s">
        <v>93</v>
      </c>
      <c r="M11" s="6" t="s">
        <v>89</v>
      </c>
    </row>
    <row r="12" spans="2:13" x14ac:dyDescent="0.6">
      <c r="B12" s="7" t="s">
        <v>38</v>
      </c>
      <c r="C12" s="7" t="s">
        <v>106</v>
      </c>
      <c r="D12" s="6">
        <v>2013</v>
      </c>
      <c r="E12" s="6" t="s">
        <v>72</v>
      </c>
      <c r="F12" s="6" t="s">
        <v>107</v>
      </c>
      <c r="G12" s="6"/>
      <c r="I12" s="6" t="s">
        <v>83</v>
      </c>
      <c r="J12" s="6" t="s">
        <v>95</v>
      </c>
      <c r="K12" s="7" t="s">
        <v>51</v>
      </c>
      <c r="L12" s="7" t="s">
        <v>52</v>
      </c>
      <c r="M12" s="6" t="s">
        <v>96</v>
      </c>
    </row>
    <row r="13" spans="2:13" x14ac:dyDescent="0.6">
      <c r="B13" s="7" t="s">
        <v>39</v>
      </c>
      <c r="C13" s="7" t="s">
        <v>40</v>
      </c>
      <c r="D13" s="6">
        <v>2012</v>
      </c>
      <c r="E13" s="6" t="s">
        <v>73</v>
      </c>
      <c r="F13" s="6" t="s">
        <v>108</v>
      </c>
      <c r="G13" s="6"/>
      <c r="I13" s="6" t="s">
        <v>83</v>
      </c>
      <c r="J13" s="6" t="s">
        <v>95</v>
      </c>
      <c r="K13" s="7" t="s">
        <v>98</v>
      </c>
      <c r="L13" s="7" t="s">
        <v>52</v>
      </c>
      <c r="M13" s="6" t="s">
        <v>96</v>
      </c>
    </row>
    <row r="14" spans="2:13" x14ac:dyDescent="0.6">
      <c r="B14" s="7" t="s">
        <v>109</v>
      </c>
      <c r="C14" s="7" t="s">
        <v>41</v>
      </c>
      <c r="D14" s="6">
        <v>2016</v>
      </c>
      <c r="E14" s="6" t="s">
        <v>74</v>
      </c>
      <c r="F14" s="6" t="s">
        <v>110</v>
      </c>
      <c r="G14" s="6" t="s">
        <v>89</v>
      </c>
      <c r="I14" s="6" t="s">
        <v>85</v>
      </c>
      <c r="J14" s="6" t="s">
        <v>101</v>
      </c>
      <c r="K14" s="7" t="s">
        <v>64</v>
      </c>
      <c r="L14" s="7" t="s">
        <v>65</v>
      </c>
      <c r="M14" s="6" t="s">
        <v>102</v>
      </c>
    </row>
    <row r="15" spans="2:13" x14ac:dyDescent="0.6">
      <c r="B15" s="7" t="s">
        <v>42</v>
      </c>
      <c r="C15" s="7" t="s">
        <v>43</v>
      </c>
      <c r="D15" s="6">
        <v>2016</v>
      </c>
      <c r="E15" s="6" t="s">
        <v>74</v>
      </c>
      <c r="F15" s="6" t="s">
        <v>111</v>
      </c>
      <c r="G15" s="6"/>
      <c r="I15" s="6" t="s">
        <v>86</v>
      </c>
      <c r="J15" s="6" t="s">
        <v>154</v>
      </c>
      <c r="K15" s="7" t="s">
        <v>66</v>
      </c>
      <c r="L15" s="7" t="s">
        <v>67</v>
      </c>
      <c r="M15" s="6" t="s">
        <v>102</v>
      </c>
    </row>
    <row r="16" spans="2:13" x14ac:dyDescent="0.6">
      <c r="B16" s="7" t="s">
        <v>44</v>
      </c>
      <c r="C16" s="7" t="s">
        <v>45</v>
      </c>
      <c r="D16" s="6">
        <v>2014</v>
      </c>
      <c r="E16" s="6" t="s">
        <v>75</v>
      </c>
      <c r="F16" s="6" t="s">
        <v>112</v>
      </c>
      <c r="G16" s="6"/>
    </row>
    <row r="17" spans="2:7" x14ac:dyDescent="0.6">
      <c r="B17" s="7" t="s">
        <v>46</v>
      </c>
      <c r="C17" s="7" t="s">
        <v>47</v>
      </c>
      <c r="D17" s="6">
        <v>2015</v>
      </c>
      <c r="E17" s="6" t="s">
        <v>75</v>
      </c>
      <c r="F17" s="6" t="s">
        <v>113</v>
      </c>
      <c r="G17" s="6"/>
    </row>
    <row r="18" spans="2:7" x14ac:dyDescent="0.6">
      <c r="B18" s="7" t="s">
        <v>114</v>
      </c>
      <c r="C18" s="7" t="s">
        <v>115</v>
      </c>
      <c r="D18" s="6">
        <v>2016</v>
      </c>
      <c r="E18" s="6" t="s">
        <v>76</v>
      </c>
      <c r="F18" s="6" t="s">
        <v>108</v>
      </c>
      <c r="G18" s="6"/>
    </row>
    <row r="19" spans="2:7" x14ac:dyDescent="0.6">
      <c r="B19" s="7" t="s">
        <v>116</v>
      </c>
      <c r="C19" s="7" t="s">
        <v>117</v>
      </c>
      <c r="D19" s="6">
        <v>2016</v>
      </c>
      <c r="E19" s="6" t="s">
        <v>77</v>
      </c>
      <c r="F19" s="6" t="s">
        <v>118</v>
      </c>
      <c r="G19" s="6"/>
    </row>
    <row r="20" spans="2:7" x14ac:dyDescent="0.6">
      <c r="B20" s="7" t="s">
        <v>119</v>
      </c>
      <c r="C20" s="7" t="s">
        <v>120</v>
      </c>
      <c r="D20" s="6">
        <v>2015</v>
      </c>
      <c r="E20" s="6" t="s">
        <v>78</v>
      </c>
      <c r="F20" s="6" t="s">
        <v>48</v>
      </c>
      <c r="G20" s="6"/>
    </row>
    <row r="21" spans="2:7" x14ac:dyDescent="0.6">
      <c r="B21" s="7" t="s">
        <v>92</v>
      </c>
      <c r="C21" s="7" t="s">
        <v>93</v>
      </c>
      <c r="D21" s="6">
        <v>2015</v>
      </c>
      <c r="E21" s="6" t="s">
        <v>78</v>
      </c>
      <c r="F21" s="6" t="s">
        <v>91</v>
      </c>
      <c r="G21" s="6" t="s">
        <v>89</v>
      </c>
    </row>
    <row r="22" spans="2:7" x14ac:dyDescent="0.6">
      <c r="B22" s="7" t="s">
        <v>121</v>
      </c>
      <c r="C22" s="7" t="s">
        <v>122</v>
      </c>
      <c r="D22" s="6">
        <v>2014</v>
      </c>
      <c r="E22" s="6" t="s">
        <v>78</v>
      </c>
      <c r="F22" s="6" t="s">
        <v>123</v>
      </c>
      <c r="G22" s="6"/>
    </row>
    <row r="23" spans="2:7" x14ac:dyDescent="0.6">
      <c r="B23" s="7" t="s">
        <v>124</v>
      </c>
      <c r="C23" s="7" t="s">
        <v>125</v>
      </c>
      <c r="D23" s="6">
        <v>2016</v>
      </c>
      <c r="E23" s="6" t="s">
        <v>79</v>
      </c>
      <c r="F23" s="6" t="s">
        <v>126</v>
      </c>
      <c r="G23" s="6"/>
    </row>
    <row r="24" spans="2:7" x14ac:dyDescent="0.6">
      <c r="B24" s="7" t="s">
        <v>127</v>
      </c>
      <c r="C24" s="7" t="s">
        <v>128</v>
      </c>
      <c r="D24" s="6">
        <v>2016</v>
      </c>
      <c r="E24" s="6" t="s">
        <v>80</v>
      </c>
      <c r="F24" s="6" t="s">
        <v>129</v>
      </c>
      <c r="G24" s="6"/>
    </row>
    <row r="25" spans="2:7" x14ac:dyDescent="0.6">
      <c r="B25" s="7" t="s">
        <v>130</v>
      </c>
      <c r="C25" s="7" t="s">
        <v>131</v>
      </c>
      <c r="D25" s="6">
        <v>2013</v>
      </c>
      <c r="E25" s="6" t="s">
        <v>81</v>
      </c>
      <c r="F25" s="6" t="s">
        <v>132</v>
      </c>
      <c r="G25" s="6"/>
    </row>
    <row r="26" spans="2:7" x14ac:dyDescent="0.6">
      <c r="B26" s="7" t="s">
        <v>133</v>
      </c>
      <c r="C26" s="7" t="s">
        <v>134</v>
      </c>
      <c r="D26" s="6">
        <v>2014</v>
      </c>
      <c r="E26" s="6" t="s">
        <v>81</v>
      </c>
      <c r="F26" s="6" t="s">
        <v>132</v>
      </c>
      <c r="G26" s="6"/>
    </row>
    <row r="27" spans="2:7" x14ac:dyDescent="0.6">
      <c r="B27" s="7" t="s">
        <v>135</v>
      </c>
      <c r="C27" s="7" t="s">
        <v>136</v>
      </c>
      <c r="D27" s="6">
        <v>2016</v>
      </c>
      <c r="E27" s="6" t="s">
        <v>81</v>
      </c>
      <c r="F27" s="6" t="s">
        <v>137</v>
      </c>
      <c r="G27" s="6"/>
    </row>
    <row r="28" spans="2:7" x14ac:dyDescent="0.6">
      <c r="B28" s="7" t="s">
        <v>138</v>
      </c>
      <c r="C28" s="7" t="s">
        <v>139</v>
      </c>
      <c r="D28" s="6">
        <v>2015</v>
      </c>
      <c r="E28" s="6" t="s">
        <v>82</v>
      </c>
      <c r="F28" s="6" t="s">
        <v>126</v>
      </c>
      <c r="G28" s="6"/>
    </row>
    <row r="29" spans="2:7" x14ac:dyDescent="0.6">
      <c r="B29" s="7" t="s">
        <v>49</v>
      </c>
      <c r="C29" s="7" t="s">
        <v>50</v>
      </c>
      <c r="D29" s="6">
        <v>2016</v>
      </c>
      <c r="E29" s="6" t="s">
        <v>82</v>
      </c>
      <c r="F29" s="6" t="s">
        <v>111</v>
      </c>
      <c r="G29" s="6"/>
    </row>
    <row r="30" spans="2:7" x14ac:dyDescent="0.6">
      <c r="B30" s="7" t="s">
        <v>51</v>
      </c>
      <c r="C30" s="7" t="s">
        <v>52</v>
      </c>
      <c r="D30" s="6">
        <v>2012</v>
      </c>
      <c r="E30" s="6" t="s">
        <v>83</v>
      </c>
      <c r="F30" s="6" t="s">
        <v>95</v>
      </c>
      <c r="G30" s="6" t="s">
        <v>96</v>
      </c>
    </row>
    <row r="31" spans="2:7" x14ac:dyDescent="0.6">
      <c r="B31" s="7" t="s">
        <v>98</v>
      </c>
      <c r="C31" s="7" t="s">
        <v>52</v>
      </c>
      <c r="D31" s="6">
        <v>2009</v>
      </c>
      <c r="E31" s="6" t="s">
        <v>83</v>
      </c>
      <c r="F31" s="6" t="s">
        <v>95</v>
      </c>
      <c r="G31" s="6" t="s">
        <v>96</v>
      </c>
    </row>
    <row r="32" spans="2:7" x14ac:dyDescent="0.6">
      <c r="B32" s="7" t="s">
        <v>53</v>
      </c>
      <c r="C32" s="7" t="s">
        <v>54</v>
      </c>
      <c r="D32" s="6">
        <v>2015</v>
      </c>
      <c r="E32" s="6" t="s">
        <v>84</v>
      </c>
      <c r="F32" s="6" t="s">
        <v>140</v>
      </c>
      <c r="G32" s="6"/>
    </row>
    <row r="33" spans="2:7" x14ac:dyDescent="0.6">
      <c r="B33" s="7" t="s">
        <v>141</v>
      </c>
      <c r="C33" s="7" t="s">
        <v>55</v>
      </c>
      <c r="D33" s="6">
        <v>2015</v>
      </c>
      <c r="E33" s="6" t="s">
        <v>84</v>
      </c>
      <c r="F33" s="6" t="s">
        <v>142</v>
      </c>
      <c r="G33" s="6"/>
    </row>
    <row r="34" spans="2:7" x14ac:dyDescent="0.6">
      <c r="B34" s="7" t="s">
        <v>143</v>
      </c>
      <c r="C34" s="7" t="s">
        <v>56</v>
      </c>
      <c r="D34" s="6">
        <v>2015</v>
      </c>
      <c r="E34" s="6" t="s">
        <v>84</v>
      </c>
      <c r="F34" s="6" t="s">
        <v>142</v>
      </c>
      <c r="G34" s="6"/>
    </row>
    <row r="35" spans="2:7" x14ac:dyDescent="0.6">
      <c r="B35" s="7" t="s">
        <v>57</v>
      </c>
      <c r="C35" s="7" t="s">
        <v>58</v>
      </c>
      <c r="D35" s="6">
        <v>2015</v>
      </c>
      <c r="E35" s="6" t="s">
        <v>84</v>
      </c>
      <c r="F35" s="6" t="s">
        <v>144</v>
      </c>
      <c r="G35" s="6"/>
    </row>
    <row r="36" spans="2:7" x14ac:dyDescent="0.6">
      <c r="B36" s="7" t="s">
        <v>59</v>
      </c>
      <c r="C36" s="7" t="s">
        <v>60</v>
      </c>
      <c r="D36" s="6">
        <v>2016</v>
      </c>
      <c r="E36" s="6" t="s">
        <v>84</v>
      </c>
      <c r="F36" s="6" t="s">
        <v>145</v>
      </c>
      <c r="G36" s="6"/>
    </row>
    <row r="37" spans="2:7" x14ac:dyDescent="0.6">
      <c r="B37" s="7" t="s">
        <v>61</v>
      </c>
      <c r="C37" s="7" t="s">
        <v>62</v>
      </c>
      <c r="D37" s="6">
        <v>2016</v>
      </c>
      <c r="E37" s="6" t="s">
        <v>84</v>
      </c>
      <c r="F37" s="6" t="s">
        <v>145</v>
      </c>
      <c r="G37" s="6"/>
    </row>
    <row r="38" spans="2:7" x14ac:dyDescent="0.6">
      <c r="B38" s="7" t="s">
        <v>146</v>
      </c>
      <c r="C38" s="7" t="s">
        <v>147</v>
      </c>
      <c r="D38" s="6">
        <v>2012</v>
      </c>
      <c r="E38" s="6" t="s">
        <v>84</v>
      </c>
      <c r="F38" s="6" t="s">
        <v>148</v>
      </c>
      <c r="G38" s="6"/>
    </row>
    <row r="39" spans="2:7" x14ac:dyDescent="0.6">
      <c r="B39" s="7" t="s">
        <v>149</v>
      </c>
      <c r="C39" s="7" t="s">
        <v>63</v>
      </c>
      <c r="D39" s="6">
        <v>2011</v>
      </c>
      <c r="E39" s="6" t="s">
        <v>84</v>
      </c>
      <c r="F39" s="6" t="s">
        <v>150</v>
      </c>
      <c r="G39" s="6" t="s">
        <v>151</v>
      </c>
    </row>
    <row r="40" spans="2:7" x14ac:dyDescent="0.6">
      <c r="B40" s="7" t="s">
        <v>152</v>
      </c>
      <c r="C40" s="7" t="s">
        <v>153</v>
      </c>
      <c r="D40" s="6">
        <v>2013</v>
      </c>
      <c r="E40" s="6" t="s">
        <v>85</v>
      </c>
      <c r="F40" s="6" t="s">
        <v>150</v>
      </c>
      <c r="G40" s="6"/>
    </row>
    <row r="41" spans="2:7" x14ac:dyDescent="0.6">
      <c r="B41" s="7" t="s">
        <v>64</v>
      </c>
      <c r="C41" s="7" t="s">
        <v>65</v>
      </c>
      <c r="D41" s="6">
        <v>2014</v>
      </c>
      <c r="E41" s="6" t="s">
        <v>85</v>
      </c>
      <c r="F41" s="6" t="s">
        <v>101</v>
      </c>
      <c r="G41" s="6" t="s">
        <v>102</v>
      </c>
    </row>
    <row r="42" spans="2:7" x14ac:dyDescent="0.6">
      <c r="B42" s="7" t="s">
        <v>66</v>
      </c>
      <c r="C42" s="7" t="s">
        <v>67</v>
      </c>
      <c r="D42" s="6">
        <v>2011</v>
      </c>
      <c r="E42" s="6" t="s">
        <v>86</v>
      </c>
      <c r="F42" s="6" t="s">
        <v>154</v>
      </c>
      <c r="G42" s="6" t="s">
        <v>102</v>
      </c>
    </row>
    <row r="43" spans="2:7" x14ac:dyDescent="0.6">
      <c r="B43" s="7" t="s">
        <v>155</v>
      </c>
      <c r="C43" s="7" t="s">
        <v>156</v>
      </c>
      <c r="D43" s="6">
        <v>2014</v>
      </c>
      <c r="E43" s="6" t="s">
        <v>87</v>
      </c>
      <c r="F43" s="6" t="s">
        <v>157</v>
      </c>
      <c r="G43" s="6"/>
    </row>
  </sheetData>
  <phoneticPr fontId="1" type="noConversion"/>
  <conditionalFormatting sqref="B3:G43">
    <cfRule type="expression" dxfId="0" priority="1">
      <formula>MOD(ROW($B3)-2,5)=0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2:D42"/>
  <sheetViews>
    <sheetView workbookViewId="0"/>
  </sheetViews>
  <sheetFormatPr defaultRowHeight="16.899999999999999" x14ac:dyDescent="0.6"/>
  <cols>
    <col min="2" max="2" width="40" customWidth="1"/>
    <col min="3" max="3" width="23.375" customWidth="1"/>
    <col min="4" max="4" width="11.375" style="3" customWidth="1"/>
  </cols>
  <sheetData>
    <row r="2" spans="2:4" x14ac:dyDescent="0.6">
      <c r="B2" s="51" t="s">
        <v>13</v>
      </c>
      <c r="C2" s="51" t="s">
        <v>14</v>
      </c>
      <c r="D2" s="51" t="s">
        <v>15</v>
      </c>
    </row>
    <row r="3" spans="2:4" x14ac:dyDescent="0.6">
      <c r="B3" s="7" t="s">
        <v>57</v>
      </c>
      <c r="C3" s="7" t="s">
        <v>58</v>
      </c>
      <c r="D3" s="6">
        <v>2015</v>
      </c>
    </row>
    <row r="4" spans="2:4" x14ac:dyDescent="0.6">
      <c r="B4" s="7" t="s">
        <v>98</v>
      </c>
      <c r="C4" s="7" t="s">
        <v>52</v>
      </c>
      <c r="D4" s="6">
        <v>2009</v>
      </c>
    </row>
    <row r="5" spans="2:4" x14ac:dyDescent="0.6">
      <c r="B5" s="7" t="s">
        <v>51</v>
      </c>
      <c r="C5" s="7" t="s">
        <v>52</v>
      </c>
      <c r="D5" s="6">
        <v>2012</v>
      </c>
    </row>
    <row r="6" spans="2:4" x14ac:dyDescent="0.6">
      <c r="B6" s="7" t="s">
        <v>138</v>
      </c>
      <c r="C6" s="7" t="s">
        <v>139</v>
      </c>
      <c r="D6" s="6">
        <v>2015</v>
      </c>
    </row>
    <row r="7" spans="2:4" x14ac:dyDescent="0.6">
      <c r="B7" s="7" t="s">
        <v>64</v>
      </c>
      <c r="C7" s="7" t="s">
        <v>65</v>
      </c>
      <c r="D7" s="6">
        <v>2014</v>
      </c>
    </row>
    <row r="8" spans="2:4" x14ac:dyDescent="0.6">
      <c r="B8" s="7" t="s">
        <v>66</v>
      </c>
      <c r="C8" s="7" t="s">
        <v>67</v>
      </c>
      <c r="D8" s="6">
        <v>2011</v>
      </c>
    </row>
    <row r="9" spans="2:4" x14ac:dyDescent="0.6">
      <c r="B9" s="7" t="s">
        <v>119</v>
      </c>
      <c r="C9" s="7" t="s">
        <v>120</v>
      </c>
      <c r="D9" s="6">
        <v>2015</v>
      </c>
    </row>
    <row r="10" spans="2:4" x14ac:dyDescent="0.6">
      <c r="B10" s="7" t="s">
        <v>24</v>
      </c>
      <c r="C10" s="7" t="s">
        <v>25</v>
      </c>
      <c r="D10" s="6">
        <v>2016</v>
      </c>
    </row>
    <row r="11" spans="2:4" x14ac:dyDescent="0.6">
      <c r="B11" s="7" t="s">
        <v>155</v>
      </c>
      <c r="C11" s="7" t="s">
        <v>156</v>
      </c>
      <c r="D11" s="6">
        <v>2014</v>
      </c>
    </row>
    <row r="12" spans="2:4" x14ac:dyDescent="0.6">
      <c r="B12" s="7" t="s">
        <v>42</v>
      </c>
      <c r="C12" s="7" t="s">
        <v>43</v>
      </c>
      <c r="D12" s="6">
        <v>2016</v>
      </c>
    </row>
    <row r="13" spans="2:4" x14ac:dyDescent="0.6">
      <c r="B13" s="7" t="s">
        <v>121</v>
      </c>
      <c r="C13" s="7" t="s">
        <v>122</v>
      </c>
      <c r="D13" s="6">
        <v>2014</v>
      </c>
    </row>
    <row r="14" spans="2:4" x14ac:dyDescent="0.6">
      <c r="B14" s="7" t="s">
        <v>92</v>
      </c>
      <c r="C14" s="7" t="s">
        <v>93</v>
      </c>
      <c r="D14" s="6">
        <v>2015</v>
      </c>
    </row>
    <row r="15" spans="2:4" x14ac:dyDescent="0.6">
      <c r="B15" s="7" t="s">
        <v>29</v>
      </c>
      <c r="C15" s="7" t="s">
        <v>30</v>
      </c>
      <c r="D15" s="6">
        <v>2015</v>
      </c>
    </row>
    <row r="16" spans="2:4" x14ac:dyDescent="0.6">
      <c r="B16" s="7" t="s">
        <v>38</v>
      </c>
      <c r="C16" s="7" t="s">
        <v>106</v>
      </c>
      <c r="D16" s="6">
        <v>2013</v>
      </c>
    </row>
    <row r="17" spans="2:4" x14ac:dyDescent="0.6">
      <c r="B17" s="7" t="s">
        <v>149</v>
      </c>
      <c r="C17" s="7" t="s">
        <v>63</v>
      </c>
      <c r="D17" s="6">
        <v>2011</v>
      </c>
    </row>
    <row r="18" spans="2:4" x14ac:dyDescent="0.6">
      <c r="B18" s="7" t="s">
        <v>44</v>
      </c>
      <c r="C18" s="7" t="s">
        <v>45</v>
      </c>
      <c r="D18" s="6">
        <v>2014</v>
      </c>
    </row>
    <row r="19" spans="2:4" x14ac:dyDescent="0.6">
      <c r="B19" s="7" t="s">
        <v>109</v>
      </c>
      <c r="C19" s="7" t="s">
        <v>41</v>
      </c>
      <c r="D19" s="6">
        <v>2016</v>
      </c>
    </row>
    <row r="20" spans="2:4" x14ac:dyDescent="0.6">
      <c r="B20" s="7" t="s">
        <v>143</v>
      </c>
      <c r="C20" s="7" t="s">
        <v>56</v>
      </c>
      <c r="D20" s="6">
        <v>2015</v>
      </c>
    </row>
    <row r="21" spans="2:4" x14ac:dyDescent="0.6">
      <c r="B21" s="7" t="s">
        <v>39</v>
      </c>
      <c r="C21" s="7" t="s">
        <v>40</v>
      </c>
      <c r="D21" s="6">
        <v>2012</v>
      </c>
    </row>
    <row r="22" spans="2:4" x14ac:dyDescent="0.6">
      <c r="B22" s="7" t="s">
        <v>114</v>
      </c>
      <c r="C22" s="7" t="s">
        <v>115</v>
      </c>
      <c r="D22" s="6">
        <v>2016</v>
      </c>
    </row>
    <row r="23" spans="2:4" x14ac:dyDescent="0.6">
      <c r="B23" s="7" t="s">
        <v>135</v>
      </c>
      <c r="C23" s="7" t="s">
        <v>136</v>
      </c>
      <c r="D23" s="6">
        <v>2016</v>
      </c>
    </row>
    <row r="24" spans="2:4" x14ac:dyDescent="0.6">
      <c r="B24" s="7" t="s">
        <v>46</v>
      </c>
      <c r="C24" s="7" t="s">
        <v>47</v>
      </c>
      <c r="D24" s="6">
        <v>2015</v>
      </c>
    </row>
    <row r="25" spans="2:4" x14ac:dyDescent="0.6">
      <c r="B25" s="7" t="s">
        <v>33</v>
      </c>
      <c r="C25" s="7" t="s">
        <v>34</v>
      </c>
      <c r="D25" s="6">
        <v>2015</v>
      </c>
    </row>
    <row r="26" spans="2:4" x14ac:dyDescent="0.6">
      <c r="B26" s="7" t="s">
        <v>36</v>
      </c>
      <c r="C26" s="7" t="s">
        <v>37</v>
      </c>
      <c r="D26" s="6">
        <v>2015</v>
      </c>
    </row>
    <row r="27" spans="2:4" x14ac:dyDescent="0.6">
      <c r="B27" s="7" t="s">
        <v>53</v>
      </c>
      <c r="C27" s="7" t="s">
        <v>54</v>
      </c>
      <c r="D27" s="6">
        <v>2015</v>
      </c>
    </row>
    <row r="28" spans="2:4" x14ac:dyDescent="0.6">
      <c r="B28" s="7" t="s">
        <v>152</v>
      </c>
      <c r="C28" s="7" t="s">
        <v>153</v>
      </c>
      <c r="D28" s="6">
        <v>2013</v>
      </c>
    </row>
    <row r="29" spans="2:4" x14ac:dyDescent="0.6">
      <c r="B29" s="7" t="s">
        <v>103</v>
      </c>
      <c r="C29" s="7" t="s">
        <v>35</v>
      </c>
      <c r="D29" s="6">
        <v>2016</v>
      </c>
    </row>
    <row r="30" spans="2:4" x14ac:dyDescent="0.6">
      <c r="B30" s="7" t="s">
        <v>116</v>
      </c>
      <c r="C30" s="7" t="s">
        <v>117</v>
      </c>
      <c r="D30" s="6">
        <v>2016</v>
      </c>
    </row>
    <row r="31" spans="2:4" x14ac:dyDescent="0.6">
      <c r="B31" s="7" t="s">
        <v>49</v>
      </c>
      <c r="C31" s="7" t="s">
        <v>50</v>
      </c>
      <c r="D31" s="6">
        <v>2016</v>
      </c>
    </row>
    <row r="32" spans="2:4" x14ac:dyDescent="0.6">
      <c r="B32" s="7" t="s">
        <v>124</v>
      </c>
      <c r="C32" s="7" t="s">
        <v>125</v>
      </c>
      <c r="D32" s="6">
        <v>2016</v>
      </c>
    </row>
    <row r="33" spans="2:4" x14ac:dyDescent="0.6">
      <c r="B33" s="7" t="s">
        <v>127</v>
      </c>
      <c r="C33" s="7" t="s">
        <v>128</v>
      </c>
      <c r="D33" s="6">
        <v>2016</v>
      </c>
    </row>
    <row r="34" spans="2:4" x14ac:dyDescent="0.6">
      <c r="B34" s="7" t="s">
        <v>146</v>
      </c>
      <c r="C34" s="7" t="s">
        <v>147</v>
      </c>
      <c r="D34" s="6">
        <v>2012</v>
      </c>
    </row>
    <row r="35" spans="2:4" x14ac:dyDescent="0.6">
      <c r="B35" s="7" t="s">
        <v>141</v>
      </c>
      <c r="C35" s="7" t="s">
        <v>55</v>
      </c>
      <c r="D35" s="6">
        <v>2015</v>
      </c>
    </row>
    <row r="36" spans="2:4" x14ac:dyDescent="0.6">
      <c r="B36" s="7" t="s">
        <v>59</v>
      </c>
      <c r="C36" s="7" t="s">
        <v>60</v>
      </c>
      <c r="D36" s="6">
        <v>2016</v>
      </c>
    </row>
    <row r="37" spans="2:4" x14ac:dyDescent="0.6">
      <c r="B37" s="7" t="s">
        <v>22</v>
      </c>
      <c r="C37" s="7" t="s">
        <v>23</v>
      </c>
      <c r="D37" s="6">
        <v>2015</v>
      </c>
    </row>
    <row r="38" spans="2:4" x14ac:dyDescent="0.6">
      <c r="B38" s="7" t="s">
        <v>20</v>
      </c>
      <c r="C38" s="7" t="s">
        <v>21</v>
      </c>
      <c r="D38" s="6">
        <v>2015</v>
      </c>
    </row>
    <row r="39" spans="2:4" x14ac:dyDescent="0.6">
      <c r="B39" s="7" t="s">
        <v>61</v>
      </c>
      <c r="C39" s="7" t="s">
        <v>62</v>
      </c>
      <c r="D39" s="6">
        <v>2016</v>
      </c>
    </row>
    <row r="40" spans="2:4" x14ac:dyDescent="0.6">
      <c r="B40" s="7" t="s">
        <v>130</v>
      </c>
      <c r="C40" s="7" t="s">
        <v>131</v>
      </c>
      <c r="D40" s="6">
        <v>2013</v>
      </c>
    </row>
    <row r="41" spans="2:4" x14ac:dyDescent="0.6">
      <c r="B41" s="7" t="s">
        <v>31</v>
      </c>
      <c r="C41" s="7" t="s">
        <v>32</v>
      </c>
      <c r="D41" s="6">
        <v>2016</v>
      </c>
    </row>
    <row r="42" spans="2:4" x14ac:dyDescent="0.6">
      <c r="B42" s="7" t="s">
        <v>133</v>
      </c>
      <c r="C42" s="7" t="s">
        <v>134</v>
      </c>
      <c r="D42" s="6">
        <v>2014</v>
      </c>
    </row>
  </sheetData>
  <sortState xmlns:xlrd2="http://schemas.microsoft.com/office/spreadsheetml/2017/richdata2" ref="B3:G43">
    <sortCondition ref="B4"/>
  </sortState>
  <phoneticPr fontId="1" type="noConversion"/>
  <printOptions horizontalCentered="1" verticalCentered="1"/>
  <pageMargins left="0.70866141732283472" right="0.70866141732283472" top="0.74803149606299213" bottom="0.74803149606299213" header="0.31496062992125984" footer="0.31496062992125984"/>
  <pageSetup paperSize="9" orientation="landscape" r:id="rId1"/>
  <headerFooter>
    <oddFooter>&amp;C&amp;P/&amp;N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B2:Q42"/>
  <sheetViews>
    <sheetView tabSelected="1" workbookViewId="0"/>
  </sheetViews>
  <sheetFormatPr defaultColWidth="9" defaultRowHeight="15.75" x14ac:dyDescent="0.6"/>
  <cols>
    <col min="1" max="3" width="9" style="18"/>
    <col min="4" max="4" width="9" style="18" customWidth="1"/>
    <col min="5" max="5" width="9" style="18"/>
    <col min="6" max="6" width="13.25" style="18" bestFit="1" customWidth="1"/>
    <col min="7" max="7" width="9" style="18"/>
    <col min="8" max="8" width="13.75" style="18" customWidth="1"/>
    <col min="9" max="9" width="9" style="18"/>
    <col min="10" max="10" width="10.25" style="18" customWidth="1"/>
    <col min="11" max="11" width="12.375" style="18" customWidth="1"/>
    <col min="12" max="12" width="9" style="18"/>
    <col min="13" max="13" width="11.625" style="18" customWidth="1"/>
    <col min="14" max="14" width="10.375" style="18" customWidth="1"/>
    <col min="15" max="15" width="10.625" style="18" customWidth="1"/>
    <col min="16" max="16" width="9.25" style="18" bestFit="1" customWidth="1"/>
    <col min="17" max="17" width="15.5" style="18" customWidth="1"/>
    <col min="18" max="16384" width="9" style="18"/>
  </cols>
  <sheetData>
    <row r="2" spans="2:17" x14ac:dyDescent="0.6">
      <c r="B2" s="18" t="s">
        <v>222</v>
      </c>
      <c r="M2" s="18" t="s">
        <v>159</v>
      </c>
      <c r="P2" s="18" t="s">
        <v>223</v>
      </c>
    </row>
    <row r="3" spans="2:17" ht="21.75" customHeight="1" x14ac:dyDescent="0.6">
      <c r="B3" s="31" t="s">
        <v>230</v>
      </c>
      <c r="C3" s="31" t="s">
        <v>196</v>
      </c>
      <c r="D3" s="36" t="s">
        <v>197</v>
      </c>
      <c r="E3" s="31" t="s">
        <v>231</v>
      </c>
      <c r="F3" s="31" t="s">
        <v>225</v>
      </c>
      <c r="G3" s="31" t="s">
        <v>232</v>
      </c>
      <c r="H3" s="36" t="s">
        <v>244</v>
      </c>
      <c r="I3" s="31" t="s">
        <v>233</v>
      </c>
      <c r="J3" s="36" t="s">
        <v>234</v>
      </c>
      <c r="K3" s="19"/>
      <c r="M3" s="31" t="s">
        <v>224</v>
      </c>
      <c r="N3" s="31" t="s">
        <v>196</v>
      </c>
      <c r="P3" s="31" t="s">
        <v>211</v>
      </c>
      <c r="Q3" s="31" t="s">
        <v>244</v>
      </c>
    </row>
    <row r="4" spans="2:17" x14ac:dyDescent="0.6">
      <c r="B4" s="20" t="s">
        <v>184</v>
      </c>
      <c r="C4" s="20" t="s">
        <v>185</v>
      </c>
      <c r="D4" s="20" t="str">
        <f>IF(ISERROR(MATCH(B4,$M$4:$M$7,0)),"아니오","예")</f>
        <v>예</v>
      </c>
      <c r="E4" s="21" t="s">
        <v>182</v>
      </c>
      <c r="F4" s="21" t="s">
        <v>183</v>
      </c>
      <c r="G4" s="21" t="s">
        <v>208</v>
      </c>
      <c r="H4" s="20" t="str">
        <f>IFERROR(REPLACE(VLOOKUP(G4,$P$4:$Q$9,2,0),5,2,"○●"),"")</f>
        <v>123-○●-6793</v>
      </c>
      <c r="I4" s="22">
        <v>612700</v>
      </c>
      <c r="J4" s="33" cm="1">
        <f t="array" ref="J4">fn의료비보조(C4,E4,I4)</f>
        <v>306350</v>
      </c>
      <c r="K4" s="23"/>
      <c r="M4" s="34" t="s">
        <v>180</v>
      </c>
      <c r="N4" s="34" t="s">
        <v>221</v>
      </c>
      <c r="P4" s="34" t="s">
        <v>212</v>
      </c>
      <c r="Q4" s="34" t="s">
        <v>213</v>
      </c>
    </row>
    <row r="5" spans="2:17" x14ac:dyDescent="0.6">
      <c r="B5" s="16" t="s">
        <v>184</v>
      </c>
      <c r="C5" s="16" t="s">
        <v>185</v>
      </c>
      <c r="D5" s="20" t="str">
        <f t="shared" ref="D5:D42" si="0">IF(ISERROR(MATCH(B5,$M$4:$M$7,0)),"아니오","예")</f>
        <v>예</v>
      </c>
      <c r="E5" s="24" t="s">
        <v>190</v>
      </c>
      <c r="F5" s="24" t="s">
        <v>200</v>
      </c>
      <c r="G5" s="24" t="s">
        <v>205</v>
      </c>
      <c r="H5" s="20" t="str">
        <f t="shared" ref="H5:H42" si="1">IFERROR(REPLACE(VLOOKUP(G5,$P$4:$Q$9,2,0),5,2,"○●"),"")</f>
        <v>123-○●-6791</v>
      </c>
      <c r="I5" s="25">
        <v>13000</v>
      </c>
      <c r="J5" s="33" cm="1">
        <f t="array" ref="J5">fn의료비보조(C5,E5,I5)</f>
        <v>0</v>
      </c>
      <c r="K5" s="23"/>
      <c r="M5" s="34" t="s">
        <v>184</v>
      </c>
      <c r="N5" s="34" t="s">
        <v>185</v>
      </c>
      <c r="P5" s="35" t="s">
        <v>206</v>
      </c>
      <c r="Q5" s="34" t="s">
        <v>214</v>
      </c>
    </row>
    <row r="6" spans="2:17" x14ac:dyDescent="0.6">
      <c r="B6" s="16" t="s">
        <v>184</v>
      </c>
      <c r="C6" s="16" t="s">
        <v>185</v>
      </c>
      <c r="D6" s="20" t="str">
        <f t="shared" si="0"/>
        <v>예</v>
      </c>
      <c r="E6" s="24" t="s">
        <v>190</v>
      </c>
      <c r="F6" s="24" t="s">
        <v>200</v>
      </c>
      <c r="G6" s="24" t="s">
        <v>205</v>
      </c>
      <c r="H6" s="20" t="str">
        <f t="shared" si="1"/>
        <v>123-○●-6791</v>
      </c>
      <c r="I6" s="25">
        <v>46000</v>
      </c>
      <c r="J6" s="33" cm="1">
        <f t="array" ref="J6">fn의료비보조(C6,E6,I6)</f>
        <v>0</v>
      </c>
      <c r="K6" s="23"/>
      <c r="M6" s="35" t="s">
        <v>188</v>
      </c>
      <c r="N6" s="35" t="s">
        <v>189</v>
      </c>
      <c r="P6" s="35" t="s">
        <v>205</v>
      </c>
      <c r="Q6" s="34" t="s">
        <v>215</v>
      </c>
    </row>
    <row r="7" spans="2:17" x14ac:dyDescent="0.6">
      <c r="B7" s="16" t="s">
        <v>184</v>
      </c>
      <c r="C7" s="16" t="s">
        <v>185</v>
      </c>
      <c r="D7" s="20" t="str">
        <f t="shared" si="0"/>
        <v>예</v>
      </c>
      <c r="E7" s="24" t="s">
        <v>193</v>
      </c>
      <c r="F7" s="24" t="s">
        <v>194</v>
      </c>
      <c r="G7" s="24" t="s">
        <v>195</v>
      </c>
      <c r="H7" s="20" t="str">
        <f t="shared" si="1"/>
        <v/>
      </c>
      <c r="I7" s="25">
        <v>3000</v>
      </c>
      <c r="J7" s="33" cm="1">
        <f t="array" ref="J7">fn의료비보조(C7,E7,I7)</f>
        <v>0</v>
      </c>
      <c r="K7" s="23"/>
      <c r="M7" s="35" t="s">
        <v>186</v>
      </c>
      <c r="N7" s="35" t="s">
        <v>187</v>
      </c>
      <c r="P7" s="35" t="s">
        <v>202</v>
      </c>
      <c r="Q7" s="34" t="s">
        <v>216</v>
      </c>
    </row>
    <row r="8" spans="2:17" x14ac:dyDescent="0.6">
      <c r="B8" s="16" t="s">
        <v>184</v>
      </c>
      <c r="C8" s="16" t="s">
        <v>185</v>
      </c>
      <c r="D8" s="20" t="str">
        <f t="shared" si="0"/>
        <v>예</v>
      </c>
      <c r="E8" s="24" t="s">
        <v>190</v>
      </c>
      <c r="F8" s="24" t="s">
        <v>194</v>
      </c>
      <c r="G8" s="24" t="s">
        <v>205</v>
      </c>
      <c r="H8" s="20" t="str">
        <f t="shared" si="1"/>
        <v>123-○●-6791</v>
      </c>
      <c r="I8" s="25">
        <v>536790</v>
      </c>
      <c r="J8" s="33" cm="1">
        <f t="array" ref="J8">fn의료비보조(C8,E8,I8)</f>
        <v>0</v>
      </c>
      <c r="K8" s="23"/>
      <c r="P8" s="34" t="s">
        <v>208</v>
      </c>
      <c r="Q8" s="34" t="s">
        <v>217</v>
      </c>
    </row>
    <row r="9" spans="2:17" x14ac:dyDescent="0.6">
      <c r="B9" s="16" t="s">
        <v>184</v>
      </c>
      <c r="C9" s="16" t="s">
        <v>185</v>
      </c>
      <c r="D9" s="20" t="str">
        <f t="shared" si="0"/>
        <v>예</v>
      </c>
      <c r="E9" s="24" t="s">
        <v>190</v>
      </c>
      <c r="F9" s="24" t="s">
        <v>194</v>
      </c>
      <c r="G9" s="24" t="s">
        <v>205</v>
      </c>
      <c r="H9" s="20" t="str">
        <f t="shared" si="1"/>
        <v>123-○●-6791</v>
      </c>
      <c r="I9" s="25">
        <v>1738200</v>
      </c>
      <c r="J9" s="33" cm="1">
        <f t="array" ref="J9">fn의료비보조(C9,E9,I9)</f>
        <v>0</v>
      </c>
      <c r="K9" s="23"/>
      <c r="P9" s="34" t="s">
        <v>203</v>
      </c>
      <c r="Q9" s="34" t="s">
        <v>218</v>
      </c>
    </row>
    <row r="10" spans="2:17" x14ac:dyDescent="0.6">
      <c r="B10" s="16" t="s">
        <v>184</v>
      </c>
      <c r="C10" s="16" t="s">
        <v>185</v>
      </c>
      <c r="D10" s="20" t="str">
        <f t="shared" si="0"/>
        <v>예</v>
      </c>
      <c r="E10" s="24" t="s">
        <v>190</v>
      </c>
      <c r="F10" s="24" t="s">
        <v>201</v>
      </c>
      <c r="G10" s="24" t="s">
        <v>205</v>
      </c>
      <c r="H10" s="20" t="str">
        <f t="shared" si="1"/>
        <v>123-○●-6791</v>
      </c>
      <c r="I10" s="25">
        <v>23520</v>
      </c>
      <c r="J10" s="33" cm="1">
        <f t="array" ref="J10">fn의료비보조(C10,E10,I10)</f>
        <v>0</v>
      </c>
      <c r="K10" s="23"/>
    </row>
    <row r="11" spans="2:17" x14ac:dyDescent="0.6">
      <c r="B11" s="15" t="s">
        <v>184</v>
      </c>
      <c r="C11" s="15" t="s">
        <v>185</v>
      </c>
      <c r="D11" s="20" t="str">
        <f t="shared" si="0"/>
        <v>예</v>
      </c>
      <c r="E11" s="26" t="s">
        <v>182</v>
      </c>
      <c r="F11" s="26" t="s">
        <v>183</v>
      </c>
      <c r="G11" s="26" t="s">
        <v>203</v>
      </c>
      <c r="H11" s="20" t="str">
        <f t="shared" si="1"/>
        <v>123-○●-6794</v>
      </c>
      <c r="I11" s="27">
        <v>58600</v>
      </c>
      <c r="J11" s="33" cm="1">
        <f t="array" ref="J11">fn의료비보조(C11,E11,I11)</f>
        <v>29300</v>
      </c>
      <c r="K11" s="23"/>
    </row>
    <row r="12" spans="2:17" x14ac:dyDescent="0.6">
      <c r="B12" s="15" t="s">
        <v>184</v>
      </c>
      <c r="C12" s="15" t="s">
        <v>185</v>
      </c>
      <c r="D12" s="20" t="str">
        <f t="shared" si="0"/>
        <v>예</v>
      </c>
      <c r="E12" s="26" t="s">
        <v>182</v>
      </c>
      <c r="F12" s="26" t="s">
        <v>183</v>
      </c>
      <c r="G12" s="26" t="s">
        <v>207</v>
      </c>
      <c r="H12" s="20" t="str">
        <f t="shared" si="1"/>
        <v>123-○●-6794</v>
      </c>
      <c r="I12" s="27">
        <v>117840</v>
      </c>
      <c r="J12" s="33" cm="1">
        <f t="array" ref="J12">fn의료비보조(C12,E12,I12)</f>
        <v>58920</v>
      </c>
      <c r="K12" s="23"/>
      <c r="M12" s="18" t="s">
        <v>226</v>
      </c>
      <c r="P12" s="40" t="s">
        <v>243</v>
      </c>
    </row>
    <row r="13" spans="2:17" x14ac:dyDescent="0.6">
      <c r="B13" s="15" t="s">
        <v>219</v>
      </c>
      <c r="C13" s="15" t="s">
        <v>227</v>
      </c>
      <c r="D13" s="20" t="str">
        <f t="shared" si="0"/>
        <v>아니오</v>
      </c>
      <c r="E13" s="26" t="s">
        <v>191</v>
      </c>
      <c r="F13" s="26" t="s">
        <v>192</v>
      </c>
      <c r="G13" s="26" t="s">
        <v>210</v>
      </c>
      <c r="H13" s="20" t="str">
        <f t="shared" si="1"/>
        <v/>
      </c>
      <c r="I13" s="27">
        <v>220000</v>
      </c>
      <c r="J13" s="33" cm="1">
        <f t="array" ref="J13">fn의료비보조(C13,E13,I13)</f>
        <v>0</v>
      </c>
      <c r="K13" s="23"/>
      <c r="M13" s="31" t="s">
        <v>198</v>
      </c>
      <c r="N13" s="36" t="s">
        <v>235</v>
      </c>
      <c r="O13" s="36" t="s">
        <v>236</v>
      </c>
      <c r="P13" s="36" t="s">
        <v>237</v>
      </c>
    </row>
    <row r="14" spans="2:17" x14ac:dyDescent="0.6">
      <c r="B14" s="15" t="s">
        <v>219</v>
      </c>
      <c r="C14" s="15" t="s">
        <v>227</v>
      </c>
      <c r="D14" s="20" t="str">
        <f t="shared" si="0"/>
        <v>아니오</v>
      </c>
      <c r="E14" s="26" t="s">
        <v>182</v>
      </c>
      <c r="F14" s="26" t="s">
        <v>183</v>
      </c>
      <c r="G14" s="26" t="s">
        <v>208</v>
      </c>
      <c r="H14" s="20" t="str">
        <f t="shared" si="1"/>
        <v>123-○●-6793</v>
      </c>
      <c r="I14" s="27">
        <v>44700</v>
      </c>
      <c r="J14" s="33" cm="1">
        <f t="array" ref="J14">fn의료비보조(C14,E14,I14)</f>
        <v>35760</v>
      </c>
      <c r="K14" s="23"/>
      <c r="M14" s="32" t="s">
        <v>190</v>
      </c>
      <c r="N14" s="39" t="str">
        <f t="array" ref="N14">TEXT(IF(SUM(($E$4:$E$42=$M14)*($F$4:$F$42=N$13)),($I$4:$I$42),0),"#,##0")</f>
        <v>612,700</v>
      </c>
      <c r="O14" s="39" t="str">
        <f t="array" ref="O14">TEXT(IF(SUM(($E$4:$E$42=$M14)*($F$4:$F$42=O$13)),($I$4:$I$42),0),"#,##0")</f>
        <v>612,700</v>
      </c>
      <c r="P14" s="39" t="str">
        <f t="array" ref="P14">TEXT(IF(SUM(($E$4:$E$42=$M14)*($F$4:$F$42=P$13)),($I$4:$I$42),0),"#,##0")</f>
        <v>612,700</v>
      </c>
    </row>
    <row r="15" spans="2:17" x14ac:dyDescent="0.6">
      <c r="B15" s="15" t="s">
        <v>219</v>
      </c>
      <c r="C15" s="15" t="s">
        <v>227</v>
      </c>
      <c r="D15" s="20" t="str">
        <f t="shared" si="0"/>
        <v>아니오</v>
      </c>
      <c r="E15" s="26" t="s">
        <v>182</v>
      </c>
      <c r="F15" s="26" t="s">
        <v>183</v>
      </c>
      <c r="G15" s="26" t="s">
        <v>208</v>
      </c>
      <c r="H15" s="20" t="str">
        <f t="shared" si="1"/>
        <v>123-○●-6793</v>
      </c>
      <c r="I15" s="27">
        <v>88400</v>
      </c>
      <c r="J15" s="33" cm="1">
        <f t="array" ref="J15">fn의료비보조(C15,E15,I15)</f>
        <v>70720</v>
      </c>
      <c r="K15" s="23"/>
      <c r="M15" s="32" t="s">
        <v>199</v>
      </c>
      <c r="N15" s="39" t="str">
        <f t="array" ref="N15">TEXT(IF(SUM(($E$4:$E$42=$M15)*($F$4:$F$42=N$13)),($I$4:$I$42),0),"#,##0")</f>
        <v>612,700</v>
      </c>
      <c r="O15" s="39" t="str">
        <f t="array" ref="O15">TEXT(IF(SUM(($E$4:$E$42=$M15)*($F$4:$F$42=O$13)),($I$4:$I$42),0),"#,##0")</f>
        <v>612,700</v>
      </c>
      <c r="P15" s="39" t="str">
        <f t="array" ref="P15">TEXT(IF(SUM(($E$4:$E$42=$M15)*($F$4:$F$42=P$13)),($I$4:$I$42),0),"#,##0")</f>
        <v>612,700</v>
      </c>
    </row>
    <row r="16" spans="2:17" x14ac:dyDescent="0.6">
      <c r="B16" s="15" t="s">
        <v>219</v>
      </c>
      <c r="C16" s="15" t="s">
        <v>227</v>
      </c>
      <c r="D16" s="20" t="str">
        <f t="shared" si="0"/>
        <v>아니오</v>
      </c>
      <c r="E16" s="26" t="s">
        <v>182</v>
      </c>
      <c r="F16" s="26" t="s">
        <v>183</v>
      </c>
      <c r="G16" s="26" t="s">
        <v>207</v>
      </c>
      <c r="H16" s="20" t="str">
        <f t="shared" si="1"/>
        <v>123-○●-6794</v>
      </c>
      <c r="I16" s="27">
        <v>107190</v>
      </c>
      <c r="J16" s="33" cm="1">
        <f t="array" ref="J16">fn의료비보조(C16,E16,I16)</f>
        <v>85752</v>
      </c>
      <c r="K16" s="23"/>
      <c r="M16" s="32" t="s">
        <v>193</v>
      </c>
      <c r="N16" s="39" t="str">
        <f t="array" ref="N16">TEXT(IF(SUM(($E$4:$E$42=$M16)*($F$4:$F$42=N$13)),($I$4:$I$42),0),"#,##0")</f>
        <v>612,700</v>
      </c>
      <c r="O16" s="39" t="str">
        <f t="array" ref="O16">TEXT(IF(SUM(($E$4:$E$42=$M16)*($F$4:$F$42=O$13)),($I$4:$I$42),0),"#,##0")</f>
        <v>0</v>
      </c>
      <c r="P16" s="39" t="str">
        <f t="array" ref="P16">TEXT(IF(SUM(($E$4:$E$42=$M16)*($F$4:$F$42=P$13)),($I$4:$I$42),0),"#,##0")</f>
        <v>0</v>
      </c>
    </row>
    <row r="17" spans="2:14" x14ac:dyDescent="0.6">
      <c r="B17" s="15" t="s">
        <v>180</v>
      </c>
      <c r="C17" s="15" t="s">
        <v>181</v>
      </c>
      <c r="D17" s="20" t="str">
        <f t="shared" si="0"/>
        <v>예</v>
      </c>
      <c r="E17" s="26" t="s">
        <v>182</v>
      </c>
      <c r="F17" s="26" t="s">
        <v>183</v>
      </c>
      <c r="G17" s="26" t="s">
        <v>207</v>
      </c>
      <c r="H17" s="20" t="str">
        <f t="shared" si="1"/>
        <v>123-○●-6794</v>
      </c>
      <c r="I17" s="27">
        <v>360600</v>
      </c>
      <c r="J17" s="33" cm="1">
        <f t="array" ref="J17">fn의료비보조(C17,E17,I17)</f>
        <v>180300</v>
      </c>
      <c r="K17" s="23"/>
    </row>
    <row r="18" spans="2:14" x14ac:dyDescent="0.6">
      <c r="B18" s="16" t="s">
        <v>180</v>
      </c>
      <c r="C18" s="16" t="s">
        <v>181</v>
      </c>
      <c r="D18" s="20" t="str">
        <f t="shared" si="0"/>
        <v>예</v>
      </c>
      <c r="E18" s="24" t="s">
        <v>193</v>
      </c>
      <c r="F18" s="24" t="s">
        <v>194</v>
      </c>
      <c r="G18" s="24" t="s">
        <v>195</v>
      </c>
      <c r="H18" s="20" t="str">
        <f t="shared" si="1"/>
        <v/>
      </c>
      <c r="I18" s="25">
        <v>145000</v>
      </c>
      <c r="J18" s="33" cm="1">
        <f t="array" ref="J18">fn의료비보조(C18,E18,I18)</f>
        <v>0</v>
      </c>
      <c r="K18" s="23"/>
    </row>
    <row r="19" spans="2:14" x14ac:dyDescent="0.6">
      <c r="B19" s="16" t="s">
        <v>180</v>
      </c>
      <c r="C19" s="16" t="s">
        <v>181</v>
      </c>
      <c r="D19" s="20" t="str">
        <f t="shared" si="0"/>
        <v>예</v>
      </c>
      <c r="E19" s="24" t="s">
        <v>193</v>
      </c>
      <c r="F19" s="24" t="s">
        <v>194</v>
      </c>
      <c r="G19" s="24" t="s">
        <v>195</v>
      </c>
      <c r="H19" s="20" t="str">
        <f t="shared" si="1"/>
        <v/>
      </c>
      <c r="I19" s="25">
        <v>231000</v>
      </c>
      <c r="J19" s="33" cm="1">
        <f t="array" ref="J19">fn의료비보조(C19,E19,I19)</f>
        <v>0</v>
      </c>
      <c r="K19" s="23"/>
      <c r="M19" s="28" t="s">
        <v>220</v>
      </c>
    </row>
    <row r="20" spans="2:14" x14ac:dyDescent="0.6">
      <c r="B20" s="15" t="s">
        <v>180</v>
      </c>
      <c r="C20" s="15" t="s">
        <v>181</v>
      </c>
      <c r="D20" s="20" t="str">
        <f t="shared" si="0"/>
        <v>예</v>
      </c>
      <c r="E20" s="26" t="s">
        <v>182</v>
      </c>
      <c r="F20" s="26" t="s">
        <v>183</v>
      </c>
      <c r="G20" s="26" t="s">
        <v>207</v>
      </c>
      <c r="H20" s="20" t="str">
        <f t="shared" si="1"/>
        <v>123-○●-6794</v>
      </c>
      <c r="I20" s="27">
        <v>50620</v>
      </c>
      <c r="J20" s="33" cm="1">
        <f t="array" ref="J20">fn의료비보조(C20,E20,I20)</f>
        <v>25310</v>
      </c>
      <c r="K20" s="23"/>
      <c r="M20" s="31" t="s">
        <v>228</v>
      </c>
      <c r="N20" s="36" t="s">
        <v>238</v>
      </c>
    </row>
    <row r="21" spans="2:14" x14ac:dyDescent="0.6">
      <c r="B21" s="16" t="s">
        <v>186</v>
      </c>
      <c r="C21" s="16" t="s">
        <v>187</v>
      </c>
      <c r="D21" s="20" t="str">
        <f t="shared" si="0"/>
        <v>예</v>
      </c>
      <c r="E21" s="24" t="s">
        <v>199</v>
      </c>
      <c r="F21" s="24" t="s">
        <v>200</v>
      </c>
      <c r="G21" s="24" t="s">
        <v>202</v>
      </c>
      <c r="H21" s="20" t="str">
        <f t="shared" si="1"/>
        <v>123-○●-6792</v>
      </c>
      <c r="I21" s="25">
        <v>46360</v>
      </c>
      <c r="J21" s="33" cm="1">
        <f t="array" ref="J21">fn의료비보조(C21,E21,I21)</f>
        <v>0</v>
      </c>
      <c r="K21" s="23"/>
      <c r="M21" s="37" t="s">
        <v>239</v>
      </c>
      <c r="N21" s="62">
        <f t="array" ref="N21">LARGE(IF(($C$4:$C$42=$M21)*($E$4:$E$42=$N$20),$I$4:$I$42),1)-SMALL(IF(($C$4:$C$42=$M21)*($E$4:$E$42=$N$20),$I$4:$I$42),1)</f>
        <v>44000</v>
      </c>
    </row>
    <row r="22" spans="2:14" x14ac:dyDescent="0.6">
      <c r="B22" s="16" t="s">
        <v>186</v>
      </c>
      <c r="C22" s="16" t="s">
        <v>187</v>
      </c>
      <c r="D22" s="20" t="str">
        <f t="shared" si="0"/>
        <v>예</v>
      </c>
      <c r="E22" s="24" t="s">
        <v>199</v>
      </c>
      <c r="F22" s="24" t="s">
        <v>200</v>
      </c>
      <c r="G22" s="24" t="s">
        <v>202</v>
      </c>
      <c r="H22" s="20" t="str">
        <f t="shared" si="1"/>
        <v>123-○●-6792</v>
      </c>
      <c r="I22" s="25">
        <v>143040</v>
      </c>
      <c r="J22" s="33" cm="1">
        <f t="array" ref="J22">fn의료비보조(C22,E22,I22)</f>
        <v>0</v>
      </c>
      <c r="K22" s="23"/>
      <c r="M22" s="38" t="s">
        <v>240</v>
      </c>
      <c r="N22" s="62">
        <f t="array" ref="N22">LARGE(IF(($C$4:$C$42=$M22)*($E$4:$E$42=$N$20),$I$4:$I$42),1)-SMALL(IF(($C$4:$C$42=$M22)*($E$4:$E$42=$N$20),$I$4:$I$42),1)</f>
        <v>309980</v>
      </c>
    </row>
    <row r="23" spans="2:14" x14ac:dyDescent="0.6">
      <c r="B23" s="16" t="s">
        <v>186</v>
      </c>
      <c r="C23" s="16" t="s">
        <v>187</v>
      </c>
      <c r="D23" s="20" t="str">
        <f t="shared" si="0"/>
        <v>예</v>
      </c>
      <c r="E23" s="24" t="s">
        <v>199</v>
      </c>
      <c r="F23" s="24" t="s">
        <v>194</v>
      </c>
      <c r="G23" s="24" t="s">
        <v>202</v>
      </c>
      <c r="H23" s="20" t="str">
        <f t="shared" si="1"/>
        <v>123-○●-6792</v>
      </c>
      <c r="I23" s="25">
        <v>138660</v>
      </c>
      <c r="J23" s="33" cm="1">
        <f t="array" ref="J23">fn의료비보조(C23,E23,I23)</f>
        <v>0</v>
      </c>
      <c r="K23" s="23"/>
      <c r="M23" s="38" t="s">
        <v>241</v>
      </c>
      <c r="N23" s="62">
        <f t="array" ref="N23">LARGE(IF(($C$4:$C$42=$M23)*($E$4:$E$42=$N$20),$I$4:$I$42),1)-SMALL(IF(($C$4:$C$42=$M23)*($E$4:$E$42=$N$20),$I$4:$I$42),1)</f>
        <v>554100</v>
      </c>
    </row>
    <row r="24" spans="2:14" x14ac:dyDescent="0.6">
      <c r="B24" s="16" t="s">
        <v>186</v>
      </c>
      <c r="C24" s="16" t="s">
        <v>187</v>
      </c>
      <c r="D24" s="20" t="str">
        <f t="shared" si="0"/>
        <v>예</v>
      </c>
      <c r="E24" s="24" t="s">
        <v>199</v>
      </c>
      <c r="F24" s="24" t="s">
        <v>194</v>
      </c>
      <c r="G24" s="24" t="s">
        <v>202</v>
      </c>
      <c r="H24" s="20" t="str">
        <f t="shared" si="1"/>
        <v>123-○●-6792</v>
      </c>
      <c r="I24" s="25">
        <v>239250</v>
      </c>
      <c r="J24" s="33" cm="1">
        <f t="array" ref="J24">fn의료비보조(C24,E24,I24)</f>
        <v>0</v>
      </c>
      <c r="K24" s="23"/>
      <c r="M24" s="38" t="s">
        <v>242</v>
      </c>
      <c r="N24" s="62">
        <f t="array" ref="N24">LARGE(IF(($C$4:$C$42=$M24)*($E$4:$E$42=$N$20),$I$4:$I$42),1)-SMALL(IF(($C$4:$C$42=$M24)*($E$4:$E$42=$N$20),$I$4:$I$42),1)</f>
        <v>0</v>
      </c>
    </row>
    <row r="25" spans="2:14" x14ac:dyDescent="0.6">
      <c r="B25" s="16" t="s">
        <v>186</v>
      </c>
      <c r="C25" s="16" t="s">
        <v>187</v>
      </c>
      <c r="D25" s="20" t="str">
        <f t="shared" si="0"/>
        <v>예</v>
      </c>
      <c r="E25" s="24" t="s">
        <v>199</v>
      </c>
      <c r="F25" s="24" t="s">
        <v>201</v>
      </c>
      <c r="G25" s="24" t="s">
        <v>202</v>
      </c>
      <c r="H25" s="20" t="str">
        <f t="shared" si="1"/>
        <v>123-○●-6792</v>
      </c>
      <c r="I25" s="25">
        <v>4000</v>
      </c>
      <c r="J25" s="33" cm="1">
        <f t="array" ref="J25">fn의료비보조(C25,E25,I25)</f>
        <v>0</v>
      </c>
      <c r="K25" s="23"/>
    </row>
    <row r="26" spans="2:14" x14ac:dyDescent="0.6">
      <c r="B26" s="15" t="s">
        <v>186</v>
      </c>
      <c r="C26" s="15" t="s">
        <v>187</v>
      </c>
      <c r="D26" s="20" t="str">
        <f t="shared" si="0"/>
        <v>예</v>
      </c>
      <c r="E26" s="26" t="s">
        <v>182</v>
      </c>
      <c r="F26" s="26" t="s">
        <v>183</v>
      </c>
      <c r="G26" s="26" t="s">
        <v>203</v>
      </c>
      <c r="H26" s="20" t="str">
        <f t="shared" si="1"/>
        <v>123-○●-6794</v>
      </c>
      <c r="I26" s="27">
        <v>81970</v>
      </c>
      <c r="J26" s="33" cm="1">
        <f t="array" ref="J26">fn의료비보조(C26,E26,I26)</f>
        <v>65576</v>
      </c>
      <c r="K26" s="23"/>
    </row>
    <row r="27" spans="2:14" x14ac:dyDescent="0.6">
      <c r="B27" s="16" t="s">
        <v>188</v>
      </c>
      <c r="C27" s="16" t="s">
        <v>189</v>
      </c>
      <c r="D27" s="20" t="str">
        <f t="shared" si="0"/>
        <v>예</v>
      </c>
      <c r="E27" s="24" t="s">
        <v>190</v>
      </c>
      <c r="F27" s="24" t="s">
        <v>200</v>
      </c>
      <c r="G27" s="24" t="s">
        <v>206</v>
      </c>
      <c r="H27" s="20" t="str">
        <f t="shared" si="1"/>
        <v>123-○●-6790</v>
      </c>
      <c r="I27" s="25">
        <v>15000</v>
      </c>
      <c r="J27" s="33" cm="1">
        <f t="array" ref="J27">fn의료비보조(C27,E27,I27)</f>
        <v>0</v>
      </c>
      <c r="K27" s="23"/>
    </row>
    <row r="28" spans="2:14" x14ac:dyDescent="0.6">
      <c r="B28" s="16" t="s">
        <v>188</v>
      </c>
      <c r="C28" s="16" t="s">
        <v>189</v>
      </c>
      <c r="D28" s="20" t="str">
        <f t="shared" si="0"/>
        <v>예</v>
      </c>
      <c r="E28" s="24" t="s">
        <v>190</v>
      </c>
      <c r="F28" s="24" t="s">
        <v>200</v>
      </c>
      <c r="G28" s="24" t="s">
        <v>209</v>
      </c>
      <c r="H28" s="20" t="str">
        <f t="shared" si="1"/>
        <v>123-○●-6791</v>
      </c>
      <c r="I28" s="25">
        <v>111980</v>
      </c>
      <c r="J28" s="33" cm="1">
        <f t="array" ref="J28">fn의료비보조(C28,E28,I28)</f>
        <v>0</v>
      </c>
      <c r="K28" s="23"/>
    </row>
    <row r="29" spans="2:14" x14ac:dyDescent="0.6">
      <c r="B29" s="16" t="s">
        <v>188</v>
      </c>
      <c r="C29" s="16" t="s">
        <v>189</v>
      </c>
      <c r="D29" s="20" t="str">
        <f t="shared" si="0"/>
        <v>예</v>
      </c>
      <c r="E29" s="24" t="s">
        <v>190</v>
      </c>
      <c r="F29" s="24" t="s">
        <v>200</v>
      </c>
      <c r="G29" s="24" t="s">
        <v>209</v>
      </c>
      <c r="H29" s="20" t="str">
        <f t="shared" si="1"/>
        <v>123-○●-6791</v>
      </c>
      <c r="I29" s="25">
        <v>213200</v>
      </c>
      <c r="J29" s="33" cm="1">
        <f t="array" ref="J29">fn의료비보조(C29,E29,I29)</f>
        <v>0</v>
      </c>
      <c r="K29" s="23"/>
    </row>
    <row r="30" spans="2:14" x14ac:dyDescent="0.6">
      <c r="B30" s="15" t="s">
        <v>188</v>
      </c>
      <c r="C30" s="15" t="s">
        <v>189</v>
      </c>
      <c r="D30" s="20" t="str">
        <f t="shared" si="0"/>
        <v>예</v>
      </c>
      <c r="E30" s="26" t="s">
        <v>191</v>
      </c>
      <c r="F30" s="26" t="s">
        <v>192</v>
      </c>
      <c r="G30" s="26" t="s">
        <v>210</v>
      </c>
      <c r="H30" s="20" t="str">
        <f t="shared" si="1"/>
        <v/>
      </c>
      <c r="I30" s="27">
        <v>110000</v>
      </c>
      <c r="J30" s="33" cm="1">
        <f t="array" ref="J30">fn의료비보조(C30,E30,I30)</f>
        <v>0</v>
      </c>
      <c r="K30" s="23"/>
    </row>
    <row r="31" spans="2:14" x14ac:dyDescent="0.6">
      <c r="B31" s="15" t="s">
        <v>188</v>
      </c>
      <c r="C31" s="15" t="s">
        <v>189</v>
      </c>
      <c r="D31" s="20" t="str">
        <f t="shared" si="0"/>
        <v>예</v>
      </c>
      <c r="E31" s="26" t="s">
        <v>191</v>
      </c>
      <c r="F31" s="26" t="s">
        <v>192</v>
      </c>
      <c r="G31" s="26" t="s">
        <v>210</v>
      </c>
      <c r="H31" s="20" t="str">
        <f t="shared" si="1"/>
        <v/>
      </c>
      <c r="I31" s="27">
        <v>240000</v>
      </c>
      <c r="J31" s="33" cm="1">
        <f t="array" ref="J31">fn의료비보조(C31,E31,I31)</f>
        <v>0</v>
      </c>
      <c r="K31" s="23"/>
    </row>
    <row r="32" spans="2:14" x14ac:dyDescent="0.6">
      <c r="B32" s="15" t="s">
        <v>188</v>
      </c>
      <c r="C32" s="15" t="s">
        <v>189</v>
      </c>
      <c r="D32" s="20" t="str">
        <f t="shared" si="0"/>
        <v>예</v>
      </c>
      <c r="E32" s="26" t="s">
        <v>191</v>
      </c>
      <c r="F32" s="26" t="s">
        <v>192</v>
      </c>
      <c r="G32" s="26" t="s">
        <v>210</v>
      </c>
      <c r="H32" s="20" t="str">
        <f t="shared" si="1"/>
        <v/>
      </c>
      <c r="I32" s="27">
        <v>600000</v>
      </c>
      <c r="J32" s="33" cm="1">
        <f t="array" ref="J32">fn의료비보조(C32,E32,I32)</f>
        <v>0</v>
      </c>
      <c r="K32" s="23"/>
    </row>
    <row r="33" spans="2:11" x14ac:dyDescent="0.6">
      <c r="B33" s="16" t="s">
        <v>188</v>
      </c>
      <c r="C33" s="16" t="s">
        <v>189</v>
      </c>
      <c r="D33" s="20" t="str">
        <f t="shared" si="0"/>
        <v>예</v>
      </c>
      <c r="E33" s="24" t="s">
        <v>193</v>
      </c>
      <c r="F33" s="24" t="s">
        <v>194</v>
      </c>
      <c r="G33" s="24" t="s">
        <v>195</v>
      </c>
      <c r="H33" s="20" t="str">
        <f t="shared" si="1"/>
        <v/>
      </c>
      <c r="I33" s="25">
        <v>62340</v>
      </c>
      <c r="J33" s="33" cm="1">
        <f t="array" ref="J33">fn의료비보조(C33,E33,I33)</f>
        <v>0</v>
      </c>
      <c r="K33" s="23"/>
    </row>
    <row r="34" spans="2:11" x14ac:dyDescent="0.6">
      <c r="B34" s="16" t="s">
        <v>188</v>
      </c>
      <c r="C34" s="16" t="s">
        <v>189</v>
      </c>
      <c r="D34" s="20" t="str">
        <f t="shared" si="0"/>
        <v>예</v>
      </c>
      <c r="E34" s="24" t="s">
        <v>193</v>
      </c>
      <c r="F34" s="24" t="s">
        <v>194</v>
      </c>
      <c r="G34" s="24" t="s">
        <v>195</v>
      </c>
      <c r="H34" s="20" t="str">
        <f t="shared" si="1"/>
        <v/>
      </c>
      <c r="I34" s="25">
        <v>213020</v>
      </c>
      <c r="J34" s="33" cm="1">
        <f t="array" ref="J34">fn의료비보조(C34,E34,I34)</f>
        <v>0</v>
      </c>
      <c r="K34" s="23"/>
    </row>
    <row r="35" spans="2:11" x14ac:dyDescent="0.6">
      <c r="B35" s="16" t="s">
        <v>188</v>
      </c>
      <c r="C35" s="16" t="s">
        <v>189</v>
      </c>
      <c r="D35" s="20" t="str">
        <f t="shared" si="0"/>
        <v>예</v>
      </c>
      <c r="E35" s="24" t="s">
        <v>190</v>
      </c>
      <c r="F35" s="24" t="s">
        <v>194</v>
      </c>
      <c r="G35" s="24" t="s">
        <v>209</v>
      </c>
      <c r="H35" s="20" t="str">
        <f t="shared" si="1"/>
        <v>123-○●-6791</v>
      </c>
      <c r="I35" s="25">
        <v>1925602</v>
      </c>
      <c r="J35" s="33" cm="1">
        <f t="array" ref="J35">fn의료비보조(C35,E35,I35)</f>
        <v>0</v>
      </c>
      <c r="K35" s="23"/>
    </row>
    <row r="36" spans="2:11" x14ac:dyDescent="0.6">
      <c r="B36" s="16" t="s">
        <v>188</v>
      </c>
      <c r="C36" s="16" t="s">
        <v>189</v>
      </c>
      <c r="D36" s="20" t="str">
        <f t="shared" si="0"/>
        <v>예</v>
      </c>
      <c r="E36" s="24" t="s">
        <v>190</v>
      </c>
      <c r="F36" s="24" t="s">
        <v>194</v>
      </c>
      <c r="G36" s="24" t="s">
        <v>209</v>
      </c>
      <c r="H36" s="20" t="str">
        <f t="shared" si="1"/>
        <v>123-○●-6791</v>
      </c>
      <c r="I36" s="25">
        <v>2638488</v>
      </c>
      <c r="J36" s="33" cm="1">
        <f t="array" ref="J36">fn의료비보조(C36,E36,I36)</f>
        <v>0</v>
      </c>
      <c r="K36" s="23"/>
    </row>
    <row r="37" spans="2:11" x14ac:dyDescent="0.6">
      <c r="B37" s="16" t="s">
        <v>188</v>
      </c>
      <c r="C37" s="16" t="s">
        <v>189</v>
      </c>
      <c r="D37" s="20" t="str">
        <f t="shared" si="0"/>
        <v>예</v>
      </c>
      <c r="E37" s="24" t="s">
        <v>190</v>
      </c>
      <c r="F37" s="24" t="s">
        <v>194</v>
      </c>
      <c r="G37" s="24" t="s">
        <v>206</v>
      </c>
      <c r="H37" s="20" t="str">
        <f t="shared" si="1"/>
        <v>123-○●-6790</v>
      </c>
      <c r="I37" s="25">
        <v>10725504</v>
      </c>
      <c r="J37" s="33" cm="1">
        <f t="array" ref="J37">fn의료비보조(C37,E37,I37)</f>
        <v>0</v>
      </c>
      <c r="K37" s="23"/>
    </row>
    <row r="38" spans="2:11" x14ac:dyDescent="0.6">
      <c r="B38" s="16" t="s">
        <v>188</v>
      </c>
      <c r="C38" s="16" t="s">
        <v>189</v>
      </c>
      <c r="D38" s="20" t="str">
        <f t="shared" si="0"/>
        <v>예</v>
      </c>
      <c r="E38" s="24" t="s">
        <v>190</v>
      </c>
      <c r="F38" s="24" t="s">
        <v>194</v>
      </c>
      <c r="G38" s="24" t="s">
        <v>206</v>
      </c>
      <c r="H38" s="20" t="str">
        <f t="shared" si="1"/>
        <v>123-○●-6790</v>
      </c>
      <c r="I38" s="25">
        <v>12127516</v>
      </c>
      <c r="J38" s="33" cm="1">
        <f t="array" ref="J38">fn의료비보조(C38,E38,I38)</f>
        <v>0</v>
      </c>
      <c r="K38" s="23"/>
    </row>
    <row r="39" spans="2:11" x14ac:dyDescent="0.6">
      <c r="B39" s="16" t="s">
        <v>188</v>
      </c>
      <c r="C39" s="16" t="s">
        <v>189</v>
      </c>
      <c r="D39" s="20" t="str">
        <f t="shared" si="0"/>
        <v>예</v>
      </c>
      <c r="E39" s="24" t="s">
        <v>190</v>
      </c>
      <c r="F39" s="24" t="s">
        <v>201</v>
      </c>
      <c r="G39" s="24" t="s">
        <v>206</v>
      </c>
      <c r="H39" s="20" t="str">
        <f t="shared" si="1"/>
        <v>123-○●-6790</v>
      </c>
      <c r="I39" s="25">
        <v>8000</v>
      </c>
      <c r="J39" s="33" cm="1">
        <f t="array" ref="J39">fn의료비보조(C39,E39,I39)</f>
        <v>0</v>
      </c>
      <c r="K39" s="23"/>
    </row>
    <row r="40" spans="2:11" x14ac:dyDescent="0.6">
      <c r="B40" s="16" t="s">
        <v>188</v>
      </c>
      <c r="C40" s="16" t="s">
        <v>189</v>
      </c>
      <c r="D40" s="20" t="str">
        <f t="shared" si="0"/>
        <v>예</v>
      </c>
      <c r="E40" s="24" t="s">
        <v>190</v>
      </c>
      <c r="F40" s="24" t="s">
        <v>201</v>
      </c>
      <c r="G40" s="24" t="s">
        <v>206</v>
      </c>
      <c r="H40" s="20" t="str">
        <f t="shared" si="1"/>
        <v>123-○●-6790</v>
      </c>
      <c r="I40" s="25">
        <v>60100</v>
      </c>
      <c r="J40" s="33" cm="1">
        <f t="array" ref="J40">fn의료비보조(C40,E40,I40)</f>
        <v>0</v>
      </c>
      <c r="K40" s="23"/>
    </row>
    <row r="41" spans="2:11" x14ac:dyDescent="0.6">
      <c r="B41" s="15" t="s">
        <v>188</v>
      </c>
      <c r="C41" s="15" t="s">
        <v>189</v>
      </c>
      <c r="D41" s="20" t="str">
        <f t="shared" si="0"/>
        <v>예</v>
      </c>
      <c r="E41" s="26" t="s">
        <v>182</v>
      </c>
      <c r="F41" s="26" t="s">
        <v>183</v>
      </c>
      <c r="G41" s="26" t="s">
        <v>204</v>
      </c>
      <c r="H41" s="20" t="str">
        <f t="shared" si="1"/>
        <v>123-○●-6793</v>
      </c>
      <c r="I41" s="27">
        <v>59400</v>
      </c>
      <c r="J41" s="33" cm="1">
        <f t="array" ref="J41">fn의료비보조(C41,E41,I41)</f>
        <v>47520</v>
      </c>
      <c r="K41" s="23"/>
    </row>
    <row r="42" spans="2:11" x14ac:dyDescent="0.6">
      <c r="B42" s="15" t="s">
        <v>188</v>
      </c>
      <c r="C42" s="15" t="s">
        <v>189</v>
      </c>
      <c r="D42" s="20" t="str">
        <f t="shared" si="0"/>
        <v>예</v>
      </c>
      <c r="E42" s="26" t="s">
        <v>182</v>
      </c>
      <c r="F42" s="26" t="s">
        <v>183</v>
      </c>
      <c r="G42" s="26" t="s">
        <v>208</v>
      </c>
      <c r="H42" s="20" t="str">
        <f t="shared" si="1"/>
        <v>123-○●-6793</v>
      </c>
      <c r="I42" s="27">
        <v>103400</v>
      </c>
      <c r="J42" s="33" cm="1">
        <f t="array" ref="J42">fn의료비보조(C42,E42,I42)</f>
        <v>82720</v>
      </c>
      <c r="K42" s="23"/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2:F17"/>
  <sheetViews>
    <sheetView workbookViewId="0"/>
  </sheetViews>
  <sheetFormatPr defaultRowHeight="16.899999999999999" x14ac:dyDescent="0.6"/>
  <cols>
    <col min="1" max="1" width="6.8125" bestFit="1" customWidth="1"/>
    <col min="2" max="2" width="13.6875" bestFit="1" customWidth="1"/>
    <col min="3" max="3" width="7.5" bestFit="1" customWidth="1"/>
    <col min="4" max="4" width="5.375" bestFit="1" customWidth="1"/>
    <col min="5" max="6" width="8.375" bestFit="1" customWidth="1"/>
    <col min="7" max="9" width="14" bestFit="1" customWidth="1"/>
    <col min="10" max="10" width="18.4375" bestFit="1" customWidth="1"/>
    <col min="11" max="11" width="16.5625" bestFit="1" customWidth="1"/>
  </cols>
  <sheetData>
    <row r="2" spans="1:6" x14ac:dyDescent="0.6">
      <c r="C2" s="60" t="s">
        <v>271</v>
      </c>
    </row>
    <row r="3" spans="1:6" x14ac:dyDescent="0.6">
      <c r="A3" s="60" t="s">
        <v>264</v>
      </c>
      <c r="B3" s="60" t="s">
        <v>277</v>
      </c>
      <c r="C3" t="s">
        <v>272</v>
      </c>
      <c r="D3" t="s">
        <v>273</v>
      </c>
      <c r="E3" t="s">
        <v>274</v>
      </c>
      <c r="F3" t="s">
        <v>275</v>
      </c>
    </row>
    <row r="4" spans="1:6" x14ac:dyDescent="0.6">
      <c r="A4" t="s">
        <v>266</v>
      </c>
      <c r="B4" t="s">
        <v>276</v>
      </c>
      <c r="C4">
        <v>191.10000000000002</v>
      </c>
      <c r="D4">
        <v>544</v>
      </c>
      <c r="E4">
        <v>37.9</v>
      </c>
      <c r="F4">
        <v>-1.4000000000000006</v>
      </c>
    </row>
    <row r="5" spans="1:6" x14ac:dyDescent="0.6">
      <c r="B5" t="s">
        <v>280</v>
      </c>
      <c r="C5">
        <v>642.20000000000005</v>
      </c>
      <c r="D5">
        <v>556</v>
      </c>
      <c r="E5">
        <v>151.9</v>
      </c>
      <c r="F5">
        <v>104.8</v>
      </c>
    </row>
    <row r="6" spans="1:6" x14ac:dyDescent="0.6">
      <c r="A6" t="s">
        <v>265</v>
      </c>
      <c r="B6" t="s">
        <v>276</v>
      </c>
      <c r="C6">
        <v>432.59999999999991</v>
      </c>
      <c r="D6">
        <v>750</v>
      </c>
      <c r="E6">
        <v>43.9</v>
      </c>
      <c r="F6">
        <v>-20.299999999999997</v>
      </c>
    </row>
    <row r="7" spans="1:6" x14ac:dyDescent="0.6">
      <c r="B7" t="s">
        <v>280</v>
      </c>
      <c r="C7">
        <v>961.7</v>
      </c>
      <c r="D7">
        <v>736</v>
      </c>
      <c r="E7">
        <v>195.60000000000002</v>
      </c>
      <c r="F7">
        <v>124.5</v>
      </c>
    </row>
    <row r="8" spans="1:6" x14ac:dyDescent="0.6">
      <c r="A8" t="s">
        <v>267</v>
      </c>
      <c r="B8" t="s">
        <v>276</v>
      </c>
      <c r="C8">
        <v>449.7</v>
      </c>
      <c r="D8">
        <v>837</v>
      </c>
      <c r="E8">
        <v>123.5</v>
      </c>
      <c r="F8">
        <v>54.2</v>
      </c>
    </row>
    <row r="9" spans="1:6" x14ac:dyDescent="0.6">
      <c r="B9" t="s">
        <v>280</v>
      </c>
      <c r="C9">
        <v>1306.9000000000001</v>
      </c>
      <c r="D9">
        <v>923</v>
      </c>
      <c r="E9">
        <v>273.39999999999998</v>
      </c>
      <c r="F9">
        <v>197</v>
      </c>
    </row>
    <row r="10" spans="1:6" x14ac:dyDescent="0.6">
      <c r="A10" t="s">
        <v>268</v>
      </c>
      <c r="B10" t="s">
        <v>276</v>
      </c>
      <c r="C10">
        <v>472.5</v>
      </c>
      <c r="D10">
        <v>987</v>
      </c>
      <c r="E10">
        <v>111.10000000000001</v>
      </c>
      <c r="F10">
        <v>39.5</v>
      </c>
    </row>
    <row r="11" spans="1:6" x14ac:dyDescent="0.6">
      <c r="B11" t="s">
        <v>280</v>
      </c>
      <c r="C11">
        <v>1182.0999999999999</v>
      </c>
      <c r="D11">
        <v>994</v>
      </c>
      <c r="E11">
        <v>267.2</v>
      </c>
      <c r="F11">
        <v>182.8</v>
      </c>
    </row>
    <row r="12" spans="1:6" x14ac:dyDescent="0.6">
      <c r="A12" t="s">
        <v>269</v>
      </c>
      <c r="B12" t="s">
        <v>276</v>
      </c>
      <c r="C12">
        <v>179.8</v>
      </c>
      <c r="D12">
        <v>191</v>
      </c>
      <c r="E12">
        <v>29.5</v>
      </c>
      <c r="F12">
        <v>21.3</v>
      </c>
    </row>
    <row r="13" spans="1:6" x14ac:dyDescent="0.6">
      <c r="B13" t="s">
        <v>280</v>
      </c>
      <c r="C13">
        <v>287.39999999999998</v>
      </c>
      <c r="D13">
        <v>195</v>
      </c>
      <c r="E13">
        <v>52.5</v>
      </c>
      <c r="F13">
        <v>41.5</v>
      </c>
    </row>
    <row r="14" spans="1:6" x14ac:dyDescent="0.6">
      <c r="A14" t="s">
        <v>270</v>
      </c>
      <c r="B14" t="s">
        <v>276</v>
      </c>
      <c r="C14">
        <v>328</v>
      </c>
      <c r="D14">
        <v>776</v>
      </c>
      <c r="E14">
        <v>63.5</v>
      </c>
      <c r="F14">
        <v>0</v>
      </c>
    </row>
    <row r="15" spans="1:6" x14ac:dyDescent="0.6">
      <c r="B15" t="s">
        <v>280</v>
      </c>
      <c r="C15">
        <v>890.59999999999991</v>
      </c>
      <c r="D15">
        <v>727</v>
      </c>
      <c r="E15">
        <v>216</v>
      </c>
      <c r="F15">
        <v>140.9</v>
      </c>
    </row>
    <row r="16" spans="1:6" x14ac:dyDescent="0.6">
      <c r="A16" t="s">
        <v>278</v>
      </c>
      <c r="C16">
        <v>2053.6999999999998</v>
      </c>
      <c r="D16">
        <v>4085</v>
      </c>
      <c r="E16">
        <v>409.4</v>
      </c>
      <c r="F16">
        <v>93.3</v>
      </c>
    </row>
    <row r="17" spans="1:6" x14ac:dyDescent="0.6">
      <c r="A17" t="s">
        <v>279</v>
      </c>
      <c r="C17">
        <v>5270.9</v>
      </c>
      <c r="D17">
        <v>4131</v>
      </c>
      <c r="E17">
        <v>1156.5999999999999</v>
      </c>
      <c r="F17">
        <v>791.5</v>
      </c>
    </row>
  </sheetData>
  <phoneticPr fontId="1" type="noConversion"/>
  <pageMargins left="0.7" right="0.7" top="0.75" bottom="0.75" header="0.3" footer="0.3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 filterMode="1"/>
  <dimension ref="B2:F35"/>
  <sheetViews>
    <sheetView workbookViewId="0"/>
  </sheetViews>
  <sheetFormatPr defaultRowHeight="16.899999999999999" x14ac:dyDescent="0.6"/>
  <cols>
    <col min="1" max="1" width="4.125" customWidth="1"/>
    <col min="3" max="3" width="14" customWidth="1"/>
    <col min="4" max="5" width="11.125" bestFit="1" customWidth="1"/>
  </cols>
  <sheetData>
    <row r="2" spans="2:6" x14ac:dyDescent="0.6">
      <c r="B2" s="52" t="s">
        <v>249</v>
      </c>
      <c r="C2" s="53" t="s">
        <v>0</v>
      </c>
      <c r="D2" s="53" t="s">
        <v>250</v>
      </c>
      <c r="E2" s="53" t="s">
        <v>251</v>
      </c>
      <c r="F2" s="54" t="s">
        <v>252</v>
      </c>
    </row>
    <row r="3" spans="2:6" x14ac:dyDescent="0.6">
      <c r="B3" s="55" t="s">
        <v>253</v>
      </c>
      <c r="C3" s="56" t="s">
        <v>11</v>
      </c>
      <c r="D3" s="58">
        <v>43854</v>
      </c>
      <c r="E3" s="58">
        <v>43914</v>
      </c>
      <c r="F3" s="57">
        <v>0</v>
      </c>
    </row>
    <row r="4" spans="2:6" hidden="1" x14ac:dyDescent="0.6">
      <c r="B4" s="55" t="s">
        <v>254</v>
      </c>
      <c r="C4" s="56" t="s">
        <v>11</v>
      </c>
      <c r="D4" s="58">
        <v>43891</v>
      </c>
      <c r="E4" s="58">
        <v>43925</v>
      </c>
      <c r="F4" s="57">
        <v>-3</v>
      </c>
    </row>
    <row r="5" spans="2:6" hidden="1" x14ac:dyDescent="0.6">
      <c r="B5" s="55" t="s">
        <v>255</v>
      </c>
      <c r="C5" s="56" t="s">
        <v>11</v>
      </c>
      <c r="D5" s="58">
        <v>43951</v>
      </c>
      <c r="E5" s="58">
        <v>43917</v>
      </c>
      <c r="F5" s="57">
        <v>-1</v>
      </c>
    </row>
    <row r="6" spans="2:6" hidden="1" x14ac:dyDescent="0.6">
      <c r="B6" s="55" t="s">
        <v>253</v>
      </c>
      <c r="C6" s="56" t="s">
        <v>4</v>
      </c>
      <c r="D6" s="58">
        <v>43908</v>
      </c>
      <c r="E6" s="58">
        <v>43912</v>
      </c>
      <c r="F6" s="57">
        <v>-4</v>
      </c>
    </row>
    <row r="7" spans="2:6" hidden="1" x14ac:dyDescent="0.6">
      <c r="B7" s="55" t="s">
        <v>253</v>
      </c>
      <c r="C7" s="56" t="s">
        <v>6</v>
      </c>
      <c r="D7" s="58">
        <v>43905</v>
      </c>
      <c r="E7" s="58">
        <v>43908</v>
      </c>
      <c r="F7" s="57">
        <v>-3</v>
      </c>
    </row>
    <row r="8" spans="2:6" hidden="1" x14ac:dyDescent="0.6">
      <c r="B8" s="55" t="s">
        <v>253</v>
      </c>
      <c r="C8" s="56" t="s">
        <v>7</v>
      </c>
      <c r="D8" s="58">
        <v>43912</v>
      </c>
      <c r="E8" s="58">
        <v>43915</v>
      </c>
      <c r="F8" s="57">
        <v>-3</v>
      </c>
    </row>
    <row r="9" spans="2:6" x14ac:dyDescent="0.6">
      <c r="B9" s="55" t="s">
        <v>253</v>
      </c>
      <c r="C9" s="56" t="s">
        <v>2</v>
      </c>
      <c r="D9" s="58">
        <v>44058</v>
      </c>
      <c r="E9" s="58">
        <v>43906</v>
      </c>
      <c r="F9" s="57">
        <v>-1</v>
      </c>
    </row>
    <row r="10" spans="2:6" hidden="1" x14ac:dyDescent="0.6">
      <c r="B10" s="55" t="s">
        <v>253</v>
      </c>
      <c r="C10" s="56" t="s">
        <v>1</v>
      </c>
      <c r="D10" s="58">
        <v>43904</v>
      </c>
      <c r="E10" s="58">
        <v>43905</v>
      </c>
      <c r="F10" s="57">
        <v>-1</v>
      </c>
    </row>
    <row r="11" spans="2:6" hidden="1" x14ac:dyDescent="0.6">
      <c r="B11" s="55" t="s">
        <v>253</v>
      </c>
      <c r="C11" s="56" t="s">
        <v>9</v>
      </c>
      <c r="D11" s="58">
        <v>43916</v>
      </c>
      <c r="E11" s="58">
        <v>43915</v>
      </c>
      <c r="F11" s="57">
        <v>1</v>
      </c>
    </row>
    <row r="12" spans="2:6" hidden="1" x14ac:dyDescent="0.6">
      <c r="B12" s="55" t="s">
        <v>253</v>
      </c>
      <c r="C12" s="56" t="s">
        <v>8</v>
      </c>
      <c r="D12" s="58">
        <v>43918</v>
      </c>
      <c r="E12" s="58">
        <v>43920</v>
      </c>
      <c r="F12" s="57">
        <v>-2</v>
      </c>
    </row>
    <row r="13" spans="2:6" hidden="1" x14ac:dyDescent="0.6">
      <c r="B13" s="55" t="s">
        <v>253</v>
      </c>
      <c r="C13" s="56" t="s">
        <v>3</v>
      </c>
      <c r="D13" s="58">
        <v>43913</v>
      </c>
      <c r="E13" s="58">
        <v>43912</v>
      </c>
      <c r="F13" s="57">
        <v>1</v>
      </c>
    </row>
    <row r="14" spans="2:6" hidden="1" x14ac:dyDescent="0.6">
      <c r="B14" s="55" t="s">
        <v>253</v>
      </c>
      <c r="C14" s="56" t="s">
        <v>10</v>
      </c>
      <c r="D14" s="58">
        <v>43922</v>
      </c>
      <c r="E14" s="58">
        <v>43922</v>
      </c>
      <c r="F14" s="57">
        <v>0</v>
      </c>
    </row>
    <row r="15" spans="2:6" hidden="1" x14ac:dyDescent="0.6">
      <c r="B15" s="55" t="s">
        <v>253</v>
      </c>
      <c r="C15" s="56" t="s">
        <v>5</v>
      </c>
      <c r="D15" s="58">
        <v>43912</v>
      </c>
      <c r="E15" s="58">
        <v>43915</v>
      </c>
      <c r="F15" s="57">
        <v>-3</v>
      </c>
    </row>
    <row r="16" spans="2:6" hidden="1" x14ac:dyDescent="0.6">
      <c r="B16" s="55" t="s">
        <v>254</v>
      </c>
      <c r="C16" s="56" t="s">
        <v>4</v>
      </c>
      <c r="D16" s="58">
        <v>43918</v>
      </c>
      <c r="E16" s="58">
        <v>43922</v>
      </c>
      <c r="F16" s="57">
        <v>-4</v>
      </c>
    </row>
    <row r="17" spans="2:6" hidden="1" x14ac:dyDescent="0.6">
      <c r="B17" s="55" t="s">
        <v>254</v>
      </c>
      <c r="C17" s="56" t="s">
        <v>6</v>
      </c>
      <c r="D17" s="58">
        <v>43915</v>
      </c>
      <c r="E17" s="58">
        <v>43920</v>
      </c>
      <c r="F17" s="57">
        <v>-5</v>
      </c>
    </row>
    <row r="18" spans="2:6" hidden="1" x14ac:dyDescent="0.6">
      <c r="B18" s="55" t="s">
        <v>254</v>
      </c>
      <c r="C18" s="56" t="s">
        <v>7</v>
      </c>
      <c r="D18" s="58">
        <v>43920</v>
      </c>
      <c r="E18" s="58">
        <v>43925</v>
      </c>
      <c r="F18" s="57">
        <v>-5</v>
      </c>
    </row>
    <row r="19" spans="2:6" hidden="1" x14ac:dyDescent="0.6">
      <c r="B19" s="55" t="s">
        <v>254</v>
      </c>
      <c r="C19" s="56" t="s">
        <v>2</v>
      </c>
      <c r="D19" s="58">
        <v>43915</v>
      </c>
      <c r="E19" s="58">
        <v>43917</v>
      </c>
      <c r="F19" s="57">
        <v>-2</v>
      </c>
    </row>
    <row r="20" spans="2:6" hidden="1" x14ac:dyDescent="0.6">
      <c r="B20" s="55" t="s">
        <v>254</v>
      </c>
      <c r="C20" s="56" t="s">
        <v>1</v>
      </c>
      <c r="D20" s="58">
        <v>43912</v>
      </c>
      <c r="E20" s="58">
        <v>43913</v>
      </c>
      <c r="F20" s="57">
        <v>-1</v>
      </c>
    </row>
    <row r="21" spans="2:6" hidden="1" x14ac:dyDescent="0.6">
      <c r="B21" s="55" t="s">
        <v>254</v>
      </c>
      <c r="C21" s="56" t="s">
        <v>9</v>
      </c>
      <c r="D21" s="58">
        <v>43926</v>
      </c>
      <c r="E21" s="58">
        <v>43930</v>
      </c>
      <c r="F21" s="57">
        <v>-4</v>
      </c>
    </row>
    <row r="22" spans="2:6" hidden="1" x14ac:dyDescent="0.6">
      <c r="B22" s="55" t="s">
        <v>254</v>
      </c>
      <c r="C22" s="56" t="s">
        <v>8</v>
      </c>
      <c r="D22" s="58">
        <v>43927</v>
      </c>
      <c r="E22" s="58">
        <v>43930</v>
      </c>
      <c r="F22" s="57">
        <v>-3</v>
      </c>
    </row>
    <row r="23" spans="2:6" hidden="1" x14ac:dyDescent="0.6">
      <c r="B23" s="55" t="s">
        <v>254</v>
      </c>
      <c r="C23" s="56" t="s">
        <v>3</v>
      </c>
      <c r="D23" s="58">
        <v>43918</v>
      </c>
      <c r="E23" s="58">
        <v>43922</v>
      </c>
      <c r="F23" s="57">
        <v>-4</v>
      </c>
    </row>
    <row r="24" spans="2:6" hidden="1" x14ac:dyDescent="0.6">
      <c r="B24" s="55" t="s">
        <v>254</v>
      </c>
      <c r="C24" s="56" t="s">
        <v>10</v>
      </c>
      <c r="D24" s="58">
        <v>43929</v>
      </c>
      <c r="E24" s="58">
        <v>43933</v>
      </c>
      <c r="F24" s="57">
        <v>-4</v>
      </c>
    </row>
    <row r="25" spans="2:6" hidden="1" x14ac:dyDescent="0.6">
      <c r="B25" s="55" t="s">
        <v>254</v>
      </c>
      <c r="C25" s="56" t="s">
        <v>5</v>
      </c>
      <c r="D25" s="58">
        <v>43920</v>
      </c>
      <c r="E25" s="58">
        <v>43925</v>
      </c>
      <c r="F25" s="57">
        <v>-5</v>
      </c>
    </row>
    <row r="26" spans="2:6" hidden="1" x14ac:dyDescent="0.6">
      <c r="B26" s="55" t="s">
        <v>255</v>
      </c>
      <c r="C26" s="56" t="s">
        <v>4</v>
      </c>
      <c r="D26" s="58">
        <v>43916</v>
      </c>
      <c r="E26" s="58">
        <v>43916</v>
      </c>
      <c r="F26" s="57">
        <v>0</v>
      </c>
    </row>
    <row r="27" spans="2:6" hidden="1" x14ac:dyDescent="0.6">
      <c r="B27" s="55" t="s">
        <v>255</v>
      </c>
      <c r="C27" s="56" t="s">
        <v>6</v>
      </c>
      <c r="D27" s="58">
        <v>43913</v>
      </c>
      <c r="E27" s="58">
        <v>43915</v>
      </c>
      <c r="F27" s="57">
        <v>-2</v>
      </c>
    </row>
    <row r="28" spans="2:6" hidden="1" x14ac:dyDescent="0.6">
      <c r="B28" s="55" t="s">
        <v>255</v>
      </c>
      <c r="C28" s="56" t="s">
        <v>7</v>
      </c>
      <c r="D28" s="58">
        <v>43916</v>
      </c>
      <c r="E28" s="58">
        <v>43918</v>
      </c>
      <c r="F28" s="57">
        <v>-2</v>
      </c>
    </row>
    <row r="29" spans="2:6" hidden="1" x14ac:dyDescent="0.6">
      <c r="B29" s="55" t="s">
        <v>255</v>
      </c>
      <c r="C29" s="56" t="s">
        <v>2</v>
      </c>
      <c r="D29" s="58">
        <v>43907</v>
      </c>
      <c r="E29" s="58">
        <v>43908</v>
      </c>
      <c r="F29" s="57">
        <v>-1</v>
      </c>
    </row>
    <row r="30" spans="2:6" x14ac:dyDescent="0.6">
      <c r="B30" s="55" t="s">
        <v>255</v>
      </c>
      <c r="C30" s="56" t="s">
        <v>1</v>
      </c>
      <c r="D30" s="58">
        <v>43845</v>
      </c>
      <c r="E30" s="58">
        <v>43909</v>
      </c>
      <c r="F30" s="57">
        <v>-4</v>
      </c>
    </row>
    <row r="31" spans="2:6" hidden="1" x14ac:dyDescent="0.6">
      <c r="B31" s="55" t="s">
        <v>255</v>
      </c>
      <c r="C31" s="56" t="s">
        <v>9</v>
      </c>
      <c r="D31" s="58">
        <v>43916</v>
      </c>
      <c r="E31" s="58">
        <v>43918</v>
      </c>
      <c r="F31" s="57">
        <v>-2</v>
      </c>
    </row>
    <row r="32" spans="2:6" hidden="1" x14ac:dyDescent="0.6">
      <c r="B32" s="55" t="s">
        <v>255</v>
      </c>
      <c r="C32" s="56" t="s">
        <v>8</v>
      </c>
      <c r="D32" s="58">
        <v>43919</v>
      </c>
      <c r="E32" s="58">
        <v>43920</v>
      </c>
      <c r="F32" s="57">
        <v>-1</v>
      </c>
    </row>
    <row r="33" spans="2:6" hidden="1" x14ac:dyDescent="0.6">
      <c r="B33" s="55" t="s">
        <v>255</v>
      </c>
      <c r="C33" s="56" t="s">
        <v>3</v>
      </c>
      <c r="D33" s="58">
        <v>43912</v>
      </c>
      <c r="E33" s="58">
        <v>43909</v>
      </c>
      <c r="F33" s="57">
        <v>3</v>
      </c>
    </row>
    <row r="34" spans="2:6" hidden="1" x14ac:dyDescent="0.6">
      <c r="B34" s="55" t="s">
        <v>255</v>
      </c>
      <c r="C34" s="56" t="s">
        <v>10</v>
      </c>
      <c r="D34" s="58">
        <v>43924</v>
      </c>
      <c r="E34" s="58">
        <v>43924</v>
      </c>
      <c r="F34" s="57">
        <v>0</v>
      </c>
    </row>
    <row r="35" spans="2:6" x14ac:dyDescent="0.6">
      <c r="B35" s="55" t="s">
        <v>255</v>
      </c>
      <c r="C35" s="56" t="s">
        <v>5</v>
      </c>
      <c r="D35" s="58">
        <v>44009</v>
      </c>
      <c r="E35" s="58">
        <v>43919</v>
      </c>
      <c r="F35" s="57">
        <v>-2</v>
      </c>
    </row>
  </sheetData>
  <autoFilter ref="B2:F35" xr:uid="{00000000-0001-0000-0400-000000000000}">
    <filterColumn colId="2">
      <customFilters>
        <customFilter operator="lessThan" val="43891"/>
        <customFilter operator="greaterThan" val="43951"/>
      </customFilters>
    </filterColumn>
  </autoFilter>
  <sortState xmlns:xlrd2="http://schemas.microsoft.com/office/spreadsheetml/2017/richdata2" ref="B2:F34">
    <sortCondition ref="C3"/>
  </sortState>
  <phoneticPr fontId="1" type="noConversion"/>
  <dataValidations count="1">
    <dataValidation errorStyle="information" allowBlank="1" showInputMessage="1" showErrorMessage="1" errorTitle="날짜확인" error="입력 날짜가 정확한지 확인 바랍니다." promptTitle="입력날짜범위" prompt="3월~4월" sqref="D3:E35" xr:uid="{C4A5F1D4-EF03-481E-B97C-FE6AA5E1B411}"/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B1:J9"/>
  <sheetViews>
    <sheetView topLeftCell="A7" workbookViewId="0">
      <selection activeCell="A11" sqref="A11"/>
    </sheetView>
  </sheetViews>
  <sheetFormatPr defaultRowHeight="16.899999999999999" x14ac:dyDescent="0.6"/>
  <sheetData>
    <row r="1" spans="2:10" ht="18.75" customHeight="1" x14ac:dyDescent="0.6"/>
    <row r="2" spans="2:10" ht="38.450000000000003" customHeight="1" x14ac:dyDescent="0.6">
      <c r="B2" s="29" t="s">
        <v>12</v>
      </c>
      <c r="C2" s="30"/>
      <c r="D2" s="30"/>
      <c r="E2" s="30"/>
      <c r="F2" s="30"/>
      <c r="G2" s="30"/>
      <c r="H2" s="30"/>
      <c r="I2" s="30"/>
      <c r="J2" s="30"/>
    </row>
    <row r="3" spans="2:10" ht="19.149999999999999" x14ac:dyDescent="0.6">
      <c r="B3" s="1"/>
      <c r="C3" s="49">
        <v>2012</v>
      </c>
      <c r="D3" s="49">
        <v>2013</v>
      </c>
      <c r="E3" s="49">
        <v>2014</v>
      </c>
      <c r="F3" s="49">
        <v>2015</v>
      </c>
      <c r="G3" s="49">
        <v>2016</v>
      </c>
      <c r="H3" s="49">
        <v>2017</v>
      </c>
      <c r="I3" s="49">
        <v>2018</v>
      </c>
      <c r="J3" s="49">
        <v>2019</v>
      </c>
    </row>
    <row r="4" spans="2:10" ht="19.149999999999999" x14ac:dyDescent="0.6">
      <c r="B4" s="2" t="s">
        <v>9</v>
      </c>
      <c r="C4" s="50">
        <v>4.7</v>
      </c>
      <c r="D4" s="50">
        <v>4.8</v>
      </c>
      <c r="E4" s="50">
        <v>4.8</v>
      </c>
      <c r="F4" s="50">
        <v>4.7</v>
      </c>
      <c r="G4" s="50">
        <v>4.5999999999999996</v>
      </c>
      <c r="H4" s="50">
        <v>4.5999999999999996</v>
      </c>
      <c r="I4" s="50">
        <v>4.7</v>
      </c>
      <c r="J4" s="50">
        <v>4.0999999999999996</v>
      </c>
    </row>
    <row r="5" spans="2:10" ht="19.149999999999999" x14ac:dyDescent="0.6">
      <c r="B5" s="2" t="s">
        <v>2</v>
      </c>
      <c r="C5" s="50">
        <v>5.7</v>
      </c>
      <c r="D5" s="50">
        <v>5.5</v>
      </c>
      <c r="E5" s="50">
        <v>5.0999999999999996</v>
      </c>
      <c r="F5" s="50">
        <v>4.7</v>
      </c>
      <c r="G5" s="50">
        <v>4.4000000000000004</v>
      </c>
      <c r="H5" s="50">
        <v>4.9000000000000004</v>
      </c>
      <c r="I5" s="50">
        <v>5</v>
      </c>
      <c r="J5" s="50">
        <v>4.9000000000000004</v>
      </c>
    </row>
    <row r="6" spans="2:10" ht="19.149999999999999" x14ac:dyDescent="0.6">
      <c r="B6" s="2" t="s">
        <v>6</v>
      </c>
      <c r="C6" s="50">
        <v>5.5</v>
      </c>
      <c r="D6" s="50">
        <v>5.7</v>
      </c>
      <c r="E6" s="50">
        <v>4.9000000000000004</v>
      </c>
      <c r="F6" s="50">
        <v>5</v>
      </c>
      <c r="G6" s="50">
        <v>4.5999999999999996</v>
      </c>
      <c r="H6" s="50">
        <v>4.7</v>
      </c>
      <c r="I6" s="50">
        <v>5</v>
      </c>
      <c r="J6" s="50">
        <v>5</v>
      </c>
    </row>
    <row r="7" spans="2:10" ht="19.149999999999999" x14ac:dyDescent="0.6">
      <c r="B7" s="2" t="s">
        <v>10</v>
      </c>
      <c r="C7" s="50">
        <v>5.4</v>
      </c>
      <c r="D7" s="50">
        <v>4.8</v>
      </c>
      <c r="E7" s="50">
        <v>4.8</v>
      </c>
      <c r="F7" s="50">
        <v>4.7</v>
      </c>
      <c r="G7" s="50">
        <v>4.5999999999999996</v>
      </c>
      <c r="H7" s="50">
        <v>4.7</v>
      </c>
      <c r="I7" s="50">
        <v>4.5</v>
      </c>
      <c r="J7" s="50">
        <v>4.4000000000000004</v>
      </c>
    </row>
    <row r="8" spans="2:10" ht="19.149999999999999" x14ac:dyDescent="0.6">
      <c r="B8" s="2" t="s">
        <v>4</v>
      </c>
      <c r="C8" s="50">
        <v>5.2</v>
      </c>
      <c r="D8" s="50">
        <v>4.9000000000000004</v>
      </c>
      <c r="E8" s="50">
        <v>4.7</v>
      </c>
      <c r="F8" s="50">
        <v>4.9000000000000004</v>
      </c>
      <c r="G8" s="50">
        <v>5</v>
      </c>
      <c r="H8" s="50">
        <v>5.2</v>
      </c>
      <c r="I8" s="50">
        <v>5.2</v>
      </c>
      <c r="J8" s="50">
        <v>5.2</v>
      </c>
    </row>
    <row r="9" spans="2:10" ht="19.149999999999999" x14ac:dyDescent="0.6">
      <c r="B9" s="2" t="s">
        <v>7</v>
      </c>
      <c r="C9" s="50">
        <v>4.7</v>
      </c>
      <c r="D9" s="50">
        <v>4.7</v>
      </c>
      <c r="E9" s="50">
        <v>4.5</v>
      </c>
      <c r="F9" s="50">
        <v>4.5999999999999996</v>
      </c>
      <c r="G9" s="50">
        <v>4.3</v>
      </c>
      <c r="H9" s="50">
        <v>4.9000000000000004</v>
      </c>
      <c r="I9" s="50">
        <v>4.7</v>
      </c>
      <c r="J9" s="50">
        <v>4.8</v>
      </c>
    </row>
  </sheetData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B6:F39"/>
  <sheetViews>
    <sheetView zoomScaleNormal="100" workbookViewId="0"/>
  </sheetViews>
  <sheetFormatPr defaultColWidth="9" defaultRowHeight="15.75" x14ac:dyDescent="0.55000000000000004"/>
  <cols>
    <col min="1" max="1" width="9" style="42"/>
    <col min="2" max="2" width="9.625" style="43" customWidth="1"/>
    <col min="3" max="3" width="9.625" style="44" customWidth="1"/>
    <col min="4" max="4" width="12.375" style="44" customWidth="1"/>
    <col min="5" max="5" width="11.5" style="44" customWidth="1"/>
    <col min="6" max="6" width="9.625" style="42" customWidth="1"/>
    <col min="7" max="7" width="9" style="42"/>
    <col min="8" max="8" width="8.75" style="42" bestFit="1" customWidth="1"/>
    <col min="9" max="9" width="8.75" style="42" customWidth="1"/>
    <col min="10" max="10" width="6.75" style="42" bestFit="1" customWidth="1"/>
    <col min="11" max="12" width="9" style="42"/>
    <col min="13" max="13" width="8.75" style="42" bestFit="1" customWidth="1"/>
    <col min="14" max="14" width="8.75" style="42" customWidth="1"/>
    <col min="15" max="15" width="6.75" style="42" bestFit="1" customWidth="1"/>
    <col min="16" max="16384" width="9" style="42"/>
  </cols>
  <sheetData>
    <row r="6" spans="2:6" x14ac:dyDescent="0.55000000000000004">
      <c r="B6" s="45" t="s">
        <v>256</v>
      </c>
      <c r="C6" s="46" t="s">
        <v>0</v>
      </c>
      <c r="D6" s="46" t="s">
        <v>245</v>
      </c>
      <c r="E6" s="46" t="s">
        <v>257</v>
      </c>
      <c r="F6" s="46" t="s">
        <v>246</v>
      </c>
    </row>
    <row r="7" spans="2:6" x14ac:dyDescent="0.55000000000000004">
      <c r="B7" s="47" t="s">
        <v>258</v>
      </c>
      <c r="C7" s="48" t="s">
        <v>11</v>
      </c>
      <c r="D7" s="59">
        <v>42462</v>
      </c>
      <c r="E7" s="59">
        <v>42461</v>
      </c>
      <c r="F7" s="61">
        <f t="shared" ref="F7:F39" si="0">D7-E7</f>
        <v>1</v>
      </c>
    </row>
    <row r="8" spans="2:6" x14ac:dyDescent="0.55000000000000004">
      <c r="B8" s="47" t="s">
        <v>247</v>
      </c>
      <c r="C8" s="48" t="s">
        <v>11</v>
      </c>
      <c r="D8" s="59">
        <v>42456</v>
      </c>
      <c r="E8" s="59">
        <v>42457</v>
      </c>
      <c r="F8" s="61">
        <f t="shared" si="0"/>
        <v>-1</v>
      </c>
    </row>
    <row r="9" spans="2:6" x14ac:dyDescent="0.55000000000000004">
      <c r="B9" s="47" t="s">
        <v>248</v>
      </c>
      <c r="C9" s="48" t="s">
        <v>11</v>
      </c>
      <c r="D9" s="59">
        <v>42454</v>
      </c>
      <c r="E9" s="59">
        <v>42454</v>
      </c>
      <c r="F9" s="61">
        <f t="shared" si="0"/>
        <v>0</v>
      </c>
    </row>
    <row r="10" spans="2:6" x14ac:dyDescent="0.55000000000000004">
      <c r="B10" s="47" t="s">
        <v>259</v>
      </c>
      <c r="C10" s="48" t="s">
        <v>4</v>
      </c>
      <c r="D10" s="59">
        <v>42458</v>
      </c>
      <c r="E10" s="59">
        <v>42462</v>
      </c>
      <c r="F10" s="61">
        <f t="shared" si="0"/>
        <v>-4</v>
      </c>
    </row>
    <row r="11" spans="2:6" x14ac:dyDescent="0.55000000000000004">
      <c r="B11" s="47" t="s">
        <v>247</v>
      </c>
      <c r="C11" s="48" t="s">
        <v>4</v>
      </c>
      <c r="D11" s="59">
        <v>42456</v>
      </c>
      <c r="E11" s="59">
        <v>42456</v>
      </c>
      <c r="F11" s="61">
        <f t="shared" si="0"/>
        <v>0</v>
      </c>
    </row>
    <row r="12" spans="2:6" x14ac:dyDescent="0.55000000000000004">
      <c r="B12" s="47" t="s">
        <v>248</v>
      </c>
      <c r="C12" s="48" t="s">
        <v>4</v>
      </c>
      <c r="D12" s="59">
        <v>42448</v>
      </c>
      <c r="E12" s="59">
        <v>42452</v>
      </c>
      <c r="F12" s="61">
        <f t="shared" si="0"/>
        <v>-4</v>
      </c>
    </row>
    <row r="13" spans="2:6" x14ac:dyDescent="0.55000000000000004">
      <c r="B13" s="47" t="s">
        <v>258</v>
      </c>
      <c r="C13" s="48" t="s">
        <v>6</v>
      </c>
      <c r="D13" s="59">
        <v>42455</v>
      </c>
      <c r="E13" s="59">
        <v>42460</v>
      </c>
      <c r="F13" s="61">
        <f t="shared" si="0"/>
        <v>-5</v>
      </c>
    </row>
    <row r="14" spans="2:6" x14ac:dyDescent="0.55000000000000004">
      <c r="B14" s="47" t="s">
        <v>247</v>
      </c>
      <c r="C14" s="48" t="s">
        <v>6</v>
      </c>
      <c r="D14" s="59">
        <v>42453</v>
      </c>
      <c r="E14" s="59">
        <v>42455</v>
      </c>
      <c r="F14" s="61">
        <f t="shared" si="0"/>
        <v>-2</v>
      </c>
    </row>
    <row r="15" spans="2:6" x14ac:dyDescent="0.55000000000000004">
      <c r="B15" s="47" t="s">
        <v>248</v>
      </c>
      <c r="C15" s="48" t="s">
        <v>6</v>
      </c>
      <c r="D15" s="59">
        <v>42445</v>
      </c>
      <c r="E15" s="59">
        <v>42448</v>
      </c>
      <c r="F15" s="61">
        <f t="shared" si="0"/>
        <v>-3</v>
      </c>
    </row>
    <row r="16" spans="2:6" x14ac:dyDescent="0.55000000000000004">
      <c r="B16" s="47" t="s">
        <v>258</v>
      </c>
      <c r="C16" s="48" t="s">
        <v>7</v>
      </c>
      <c r="D16" s="59">
        <v>42460</v>
      </c>
      <c r="E16" s="59">
        <v>42465</v>
      </c>
      <c r="F16" s="61">
        <v>0</v>
      </c>
    </row>
    <row r="17" spans="2:6" x14ac:dyDescent="0.55000000000000004">
      <c r="B17" s="47" t="s">
        <v>247</v>
      </c>
      <c r="C17" s="48" t="s">
        <v>7</v>
      </c>
      <c r="D17" s="59">
        <v>42456</v>
      </c>
      <c r="E17" s="59">
        <v>42458</v>
      </c>
      <c r="F17" s="61">
        <f t="shared" si="0"/>
        <v>-2</v>
      </c>
    </row>
    <row r="18" spans="2:6" x14ac:dyDescent="0.55000000000000004">
      <c r="B18" s="47" t="s">
        <v>248</v>
      </c>
      <c r="C18" s="48" t="s">
        <v>7</v>
      </c>
      <c r="D18" s="59">
        <v>42452</v>
      </c>
      <c r="E18" s="59">
        <v>42450</v>
      </c>
      <c r="F18" s="61">
        <f t="shared" si="0"/>
        <v>2</v>
      </c>
    </row>
    <row r="19" spans="2:6" x14ac:dyDescent="0.55000000000000004">
      <c r="B19" s="47" t="s">
        <v>258</v>
      </c>
      <c r="C19" s="48" t="s">
        <v>2</v>
      </c>
      <c r="D19" s="59">
        <v>42455</v>
      </c>
      <c r="E19" s="59">
        <v>42457</v>
      </c>
      <c r="F19" s="61">
        <f t="shared" si="0"/>
        <v>-2</v>
      </c>
    </row>
    <row r="20" spans="2:6" x14ac:dyDescent="0.55000000000000004">
      <c r="B20" s="47" t="s">
        <v>247</v>
      </c>
      <c r="C20" s="48" t="s">
        <v>2</v>
      </c>
      <c r="D20" s="59">
        <v>42447</v>
      </c>
      <c r="E20" s="59">
        <v>42448</v>
      </c>
      <c r="F20" s="61">
        <f t="shared" si="0"/>
        <v>-1</v>
      </c>
    </row>
    <row r="21" spans="2:6" x14ac:dyDescent="0.55000000000000004">
      <c r="B21" s="47" t="s">
        <v>248</v>
      </c>
      <c r="C21" s="48" t="s">
        <v>2</v>
      </c>
      <c r="D21" s="59">
        <v>42445</v>
      </c>
      <c r="E21" s="59">
        <v>42446</v>
      </c>
      <c r="F21" s="61">
        <f t="shared" si="0"/>
        <v>-1</v>
      </c>
    </row>
    <row r="22" spans="2:6" x14ac:dyDescent="0.55000000000000004">
      <c r="B22" s="47" t="s">
        <v>258</v>
      </c>
      <c r="C22" s="48" t="s">
        <v>1</v>
      </c>
      <c r="D22" s="59">
        <v>42452</v>
      </c>
      <c r="E22" s="59">
        <v>42453</v>
      </c>
      <c r="F22" s="61">
        <f t="shared" si="0"/>
        <v>-1</v>
      </c>
    </row>
    <row r="23" spans="2:6" x14ac:dyDescent="0.55000000000000004">
      <c r="B23" s="47" t="s">
        <v>247</v>
      </c>
      <c r="C23" s="48" t="s">
        <v>1</v>
      </c>
      <c r="D23" s="59">
        <v>42445</v>
      </c>
      <c r="E23" s="59">
        <v>42449</v>
      </c>
      <c r="F23" s="61">
        <f t="shared" si="0"/>
        <v>-4</v>
      </c>
    </row>
    <row r="24" spans="2:6" x14ac:dyDescent="0.55000000000000004">
      <c r="B24" s="47" t="s">
        <v>248</v>
      </c>
      <c r="C24" s="48" t="s">
        <v>1</v>
      </c>
      <c r="D24" s="59">
        <v>42444</v>
      </c>
      <c r="E24" s="59">
        <v>42443</v>
      </c>
      <c r="F24" s="61">
        <f t="shared" si="0"/>
        <v>1</v>
      </c>
    </row>
    <row r="25" spans="2:6" x14ac:dyDescent="0.55000000000000004">
      <c r="B25" s="47" t="s">
        <v>258</v>
      </c>
      <c r="C25" s="48" t="s">
        <v>9</v>
      </c>
      <c r="D25" s="59">
        <v>42466</v>
      </c>
      <c r="E25" s="59">
        <v>42470</v>
      </c>
      <c r="F25" s="61">
        <f t="shared" si="0"/>
        <v>-4</v>
      </c>
    </row>
    <row r="26" spans="2:6" x14ac:dyDescent="0.55000000000000004">
      <c r="B26" s="47" t="s">
        <v>248</v>
      </c>
      <c r="C26" s="48" t="s">
        <v>9</v>
      </c>
      <c r="D26" s="59">
        <v>42456</v>
      </c>
      <c r="E26" s="59">
        <v>42455</v>
      </c>
      <c r="F26" s="61">
        <f t="shared" si="0"/>
        <v>1</v>
      </c>
    </row>
    <row r="27" spans="2:6" x14ac:dyDescent="0.55000000000000004">
      <c r="B27" s="47" t="s">
        <v>247</v>
      </c>
      <c r="C27" s="48" t="s">
        <v>9</v>
      </c>
      <c r="D27" s="59">
        <v>42456</v>
      </c>
      <c r="E27" s="59">
        <v>42458</v>
      </c>
      <c r="F27" s="61">
        <f t="shared" si="0"/>
        <v>-2</v>
      </c>
    </row>
    <row r="28" spans="2:6" x14ac:dyDescent="0.55000000000000004">
      <c r="B28" s="47" t="s">
        <v>258</v>
      </c>
      <c r="C28" s="48" t="s">
        <v>8</v>
      </c>
      <c r="D28" s="59">
        <v>42467</v>
      </c>
      <c r="E28" s="59">
        <v>42470</v>
      </c>
      <c r="F28" s="61">
        <f t="shared" si="0"/>
        <v>-3</v>
      </c>
    </row>
    <row r="29" spans="2:6" x14ac:dyDescent="0.55000000000000004">
      <c r="B29" s="47" t="s">
        <v>247</v>
      </c>
      <c r="C29" s="48" t="s">
        <v>8</v>
      </c>
      <c r="D29" s="59">
        <v>42459</v>
      </c>
      <c r="E29" s="59">
        <v>42460</v>
      </c>
      <c r="F29" s="61">
        <f t="shared" si="0"/>
        <v>-1</v>
      </c>
    </row>
    <row r="30" spans="2:6" x14ac:dyDescent="0.55000000000000004">
      <c r="B30" s="47" t="s">
        <v>248</v>
      </c>
      <c r="C30" s="48" t="s">
        <v>8</v>
      </c>
      <c r="D30" s="59">
        <v>42458</v>
      </c>
      <c r="E30" s="59">
        <v>42460</v>
      </c>
      <c r="F30" s="61">
        <f t="shared" si="0"/>
        <v>-2</v>
      </c>
    </row>
    <row r="31" spans="2:6" x14ac:dyDescent="0.55000000000000004">
      <c r="B31" s="47" t="s">
        <v>258</v>
      </c>
      <c r="C31" s="48" t="s">
        <v>3</v>
      </c>
      <c r="D31" s="59">
        <v>42458</v>
      </c>
      <c r="E31" s="59">
        <v>42462</v>
      </c>
      <c r="F31" s="61">
        <f t="shared" si="0"/>
        <v>-4</v>
      </c>
    </row>
    <row r="32" spans="2:6" x14ac:dyDescent="0.55000000000000004">
      <c r="B32" s="47" t="s">
        <v>248</v>
      </c>
      <c r="C32" s="48" t="s">
        <v>3</v>
      </c>
      <c r="D32" s="59">
        <v>42453</v>
      </c>
      <c r="E32" s="59">
        <v>42452</v>
      </c>
      <c r="F32" s="61">
        <f t="shared" si="0"/>
        <v>1</v>
      </c>
    </row>
    <row r="33" spans="2:6" x14ac:dyDescent="0.55000000000000004">
      <c r="B33" s="47" t="s">
        <v>247</v>
      </c>
      <c r="C33" s="48" t="s">
        <v>3</v>
      </c>
      <c r="D33" s="59">
        <v>42452</v>
      </c>
      <c r="E33" s="59">
        <v>42449</v>
      </c>
      <c r="F33" s="61">
        <f t="shared" si="0"/>
        <v>3</v>
      </c>
    </row>
    <row r="34" spans="2:6" x14ac:dyDescent="0.55000000000000004">
      <c r="B34" s="47" t="s">
        <v>260</v>
      </c>
      <c r="C34" s="48" t="s">
        <v>10</v>
      </c>
      <c r="D34" s="59">
        <v>42469</v>
      </c>
      <c r="E34" s="59">
        <v>42473</v>
      </c>
      <c r="F34" s="61">
        <f t="shared" si="0"/>
        <v>-4</v>
      </c>
    </row>
    <row r="35" spans="2:6" x14ac:dyDescent="0.55000000000000004">
      <c r="B35" s="47" t="s">
        <v>261</v>
      </c>
      <c r="C35" s="48" t="s">
        <v>10</v>
      </c>
      <c r="D35" s="59">
        <v>42464</v>
      </c>
      <c r="E35" s="59">
        <v>42464</v>
      </c>
      <c r="F35" s="61">
        <f t="shared" si="0"/>
        <v>0</v>
      </c>
    </row>
    <row r="36" spans="2:6" x14ac:dyDescent="0.55000000000000004">
      <c r="B36" s="47" t="s">
        <v>248</v>
      </c>
      <c r="C36" s="48" t="s">
        <v>10</v>
      </c>
      <c r="D36" s="59">
        <v>42462</v>
      </c>
      <c r="E36" s="59">
        <v>42462</v>
      </c>
      <c r="F36" s="61">
        <f t="shared" si="0"/>
        <v>0</v>
      </c>
    </row>
    <row r="37" spans="2:6" x14ac:dyDescent="0.55000000000000004">
      <c r="B37" s="47" t="s">
        <v>258</v>
      </c>
      <c r="C37" s="48" t="s">
        <v>5</v>
      </c>
      <c r="D37" s="59">
        <v>42460</v>
      </c>
      <c r="E37" s="59">
        <v>42465</v>
      </c>
      <c r="F37" s="61">
        <f t="shared" si="0"/>
        <v>-5</v>
      </c>
    </row>
    <row r="38" spans="2:6" x14ac:dyDescent="0.55000000000000004">
      <c r="B38" s="47" t="s">
        <v>247</v>
      </c>
      <c r="C38" s="48" t="s">
        <v>5</v>
      </c>
      <c r="D38" s="59">
        <v>42457</v>
      </c>
      <c r="E38" s="59">
        <v>42459</v>
      </c>
      <c r="F38" s="61">
        <f t="shared" si="0"/>
        <v>-2</v>
      </c>
    </row>
    <row r="39" spans="2:6" x14ac:dyDescent="0.55000000000000004">
      <c r="B39" s="47" t="s">
        <v>262</v>
      </c>
      <c r="C39" s="48" t="s">
        <v>5</v>
      </c>
      <c r="D39" s="59">
        <v>42452</v>
      </c>
      <c r="E39" s="59">
        <v>42455</v>
      </c>
      <c r="F39" s="61">
        <f t="shared" si="0"/>
        <v>-3</v>
      </c>
    </row>
  </sheetData>
  <sortState xmlns:xlrd2="http://schemas.microsoft.com/office/spreadsheetml/2017/richdata2" ref="B7:F39">
    <sortCondition ref="B8"/>
  </sortState>
  <dataConsolidate function="average" topLabels="1">
    <dataRefs count="3">
      <dataRef ref="B3:D18" sheet="차트작업2" r:id="rId1"/>
      <dataRef ref="F3:H18" sheet="차트작업2" r:id="rId2"/>
      <dataRef ref="J3:L18" sheet="차트작업2" r:id="rId3"/>
    </dataRefs>
  </dataConsolidate>
  <phoneticPr fontId="1" type="noConversion"/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7" name="Button 1">
              <controlPr defaultSize="0" print="0" autoFill="0" autoPict="0" macro="[0]!서식적용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8" name="Button 3">
              <controlPr defaultSize="0" print="0" autoFill="0" autoPict="0" macro="[0]!서식해제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4:P17"/>
  <sheetViews>
    <sheetView workbookViewId="0"/>
  </sheetViews>
  <sheetFormatPr defaultRowHeight="16.899999999999999" x14ac:dyDescent="0.6"/>
  <cols>
    <col min="2" max="3" width="9" style="3"/>
    <col min="4" max="8" width="9" style="8"/>
    <col min="9" max="9" width="10.5" style="8" bestFit="1" customWidth="1"/>
    <col min="10" max="10" width="10.5" style="9" bestFit="1" customWidth="1"/>
  </cols>
  <sheetData>
    <row r="4" spans="2:16" ht="17.25" thickBot="1" x14ac:dyDescent="0.65">
      <c r="B4" s="3" t="s">
        <v>158</v>
      </c>
      <c r="J4"/>
      <c r="O4" t="s">
        <v>159</v>
      </c>
    </row>
    <row r="5" spans="2:16" ht="17.25" thickBot="1" x14ac:dyDescent="0.65">
      <c r="B5" s="10" t="s">
        <v>160</v>
      </c>
      <c r="C5" s="11" t="s">
        <v>161</v>
      </c>
      <c r="D5" s="12" t="s">
        <v>162</v>
      </c>
      <c r="E5" s="12" t="s">
        <v>163</v>
      </c>
      <c r="F5" s="12" t="s">
        <v>164</v>
      </c>
      <c r="G5" s="12" t="s">
        <v>165</v>
      </c>
      <c r="H5" s="12" t="s">
        <v>166</v>
      </c>
      <c r="I5" s="13" t="s">
        <v>229</v>
      </c>
      <c r="J5"/>
      <c r="O5" s="10" t="s">
        <v>160</v>
      </c>
      <c r="P5" s="11" t="s">
        <v>161</v>
      </c>
    </row>
    <row r="6" spans="2:16" x14ac:dyDescent="0.6">
      <c r="B6" s="3">
        <v>1628002</v>
      </c>
      <c r="C6" s="3" t="s">
        <v>167</v>
      </c>
      <c r="D6" s="8">
        <v>0</v>
      </c>
      <c r="E6" s="8">
        <v>0</v>
      </c>
      <c r="F6" s="8">
        <v>20</v>
      </c>
      <c r="G6" s="8">
        <v>20</v>
      </c>
      <c r="H6" s="8">
        <v>60</v>
      </c>
      <c r="I6" s="9"/>
      <c r="J6"/>
      <c r="O6" s="14">
        <v>1628002</v>
      </c>
      <c r="P6" s="14" t="s">
        <v>167</v>
      </c>
    </row>
    <row r="7" spans="2:16" x14ac:dyDescent="0.6">
      <c r="B7" s="3">
        <v>1628011</v>
      </c>
      <c r="C7" s="3" t="s">
        <v>168</v>
      </c>
      <c r="D7" s="8">
        <v>4</v>
      </c>
      <c r="E7" s="8">
        <v>1</v>
      </c>
      <c r="F7" s="8">
        <v>11</v>
      </c>
      <c r="G7" s="8">
        <v>15</v>
      </c>
      <c r="H7" s="8">
        <v>40</v>
      </c>
      <c r="I7" s="9" t="s">
        <v>169</v>
      </c>
      <c r="J7"/>
      <c r="O7" s="14">
        <v>1628011</v>
      </c>
      <c r="P7" s="14" t="s">
        <v>168</v>
      </c>
    </row>
    <row r="8" spans="2:16" x14ac:dyDescent="0.6">
      <c r="B8" s="3">
        <v>1628015</v>
      </c>
      <c r="C8" s="3" t="s">
        <v>170</v>
      </c>
      <c r="D8" s="8">
        <v>5</v>
      </c>
      <c r="E8" s="8">
        <v>1</v>
      </c>
      <c r="F8" s="8">
        <v>9</v>
      </c>
      <c r="G8" s="8">
        <v>11</v>
      </c>
      <c r="H8" s="8">
        <v>20</v>
      </c>
      <c r="I8" s="8" t="s">
        <v>169</v>
      </c>
      <c r="O8" s="14">
        <v>1628015</v>
      </c>
      <c r="P8" s="14" t="s">
        <v>170</v>
      </c>
    </row>
    <row r="9" spans="2:16" x14ac:dyDescent="0.6">
      <c r="O9" s="14">
        <v>1628019</v>
      </c>
      <c r="P9" s="14" t="s">
        <v>171</v>
      </c>
    </row>
    <row r="10" spans="2:16" x14ac:dyDescent="0.6">
      <c r="O10" s="14">
        <v>1628020</v>
      </c>
      <c r="P10" s="14" t="s">
        <v>172</v>
      </c>
    </row>
    <row r="11" spans="2:16" x14ac:dyDescent="0.6">
      <c r="O11" s="14">
        <v>1628025</v>
      </c>
      <c r="P11" s="14" t="s">
        <v>173</v>
      </c>
    </row>
    <row r="12" spans="2:16" x14ac:dyDescent="0.6">
      <c r="O12" s="14">
        <v>1628046</v>
      </c>
      <c r="P12" s="14" t="s">
        <v>174</v>
      </c>
    </row>
    <row r="13" spans="2:16" x14ac:dyDescent="0.6">
      <c r="O13" s="14">
        <v>1628048</v>
      </c>
      <c r="P13" s="14" t="s">
        <v>175</v>
      </c>
    </row>
    <row r="14" spans="2:16" x14ac:dyDescent="0.6">
      <c r="O14" s="14">
        <v>1628060</v>
      </c>
      <c r="P14" s="14" t="s">
        <v>176</v>
      </c>
    </row>
    <row r="15" spans="2:16" x14ac:dyDescent="0.6">
      <c r="O15" s="14">
        <v>1628062</v>
      </c>
      <c r="P15" s="14" t="s">
        <v>177</v>
      </c>
    </row>
    <row r="16" spans="2:16" x14ac:dyDescent="0.6">
      <c r="O16" s="14">
        <v>1628074</v>
      </c>
      <c r="P16" s="14" t="s">
        <v>178</v>
      </c>
    </row>
    <row r="17" spans="15:16" x14ac:dyDescent="0.6">
      <c r="O17" s="14">
        <v>1628077</v>
      </c>
      <c r="P17" s="14" t="s">
        <v>179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md등록">
          <controlPr defaultSize="0" autoLine="0" r:id="rId5">
            <anchor moveWithCells="1">
              <from>
                <xdr:col>2</xdr:col>
                <xdr:colOff>9525</xdr:colOff>
                <xdr:row>1</xdr:row>
                <xdr:rowOff>0</xdr:rowOff>
              </from>
              <to>
                <xdr:col>5</xdr:col>
                <xdr:colOff>0</xdr:colOff>
                <xdr:row>3</xdr:row>
                <xdr:rowOff>9525</xdr:rowOff>
              </to>
            </anchor>
          </controlPr>
        </control>
      </mc:Choice>
      <mc:Fallback>
        <control shapeId="1025" r:id="rId4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4</vt:i4>
      </vt:variant>
    </vt:vector>
  </HeadingPairs>
  <TitlesOfParts>
    <vt:vector size="12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  <vt:lpstr>'기본작업-1'!Criteria</vt:lpstr>
      <vt:lpstr>'기본작업-1'!Extract</vt:lpstr>
      <vt:lpstr>'기본작업-2'!Print_Area</vt:lpstr>
      <vt:lpstr>'기본작업-2'!Print_Titles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adminstrator</dc:creator>
  <cp:lastModifiedBy>Jieun Park</cp:lastModifiedBy>
  <cp:lastPrinted>2020-07-12T15:14:26Z</cp:lastPrinted>
  <dcterms:created xsi:type="dcterms:W3CDTF">2016-03-30T00:01:18Z</dcterms:created>
  <dcterms:modified xsi:type="dcterms:W3CDTF">2023-07-22T11:49:27Z</dcterms:modified>
</cp:coreProperties>
</file>