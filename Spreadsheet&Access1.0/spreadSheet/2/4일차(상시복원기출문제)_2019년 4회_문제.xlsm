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2.0" lowestEdited="12.0" rupBuild="0.893"/>
  <x:workbookPr date1904="0" showBorderUnselectedTables="1" filterPrivacy="0" promptedSolutions="0" showInkAnnotation="1" backupFile="0" saveExternalLinkValues="1" codeName="ThisWorkbook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mondi\Desktop\컴활2급실기_5일만에 합격하기_버전2.0\5일만에 합격하기_자료집\4일차\"/>
    </mc:Choice>
  </mc:AlternateContent>
  <x:bookViews>
    <x:workbookView xWindow="0" yWindow="0" windowWidth="21345" windowHeight="8640" tabRatio="712" activeTab="8"/>
  </x:bookViews>
  <x:sheets>
    <x:sheet name="기본작업-1" sheetId="1" r:id="rId4"/>
    <x:sheet name="기본작업-2" sheetId="2" r:id="rId5"/>
    <x:sheet name="기본작업-3" sheetId="3" r:id="rId6"/>
    <x:sheet name="계산작업" sheetId="4" r:id="rId7"/>
    <x:sheet name="시나리오 요약" sheetId="5" r:id="rId8"/>
    <x:sheet name="분석작업-1" sheetId="6" r:id="rId9"/>
    <x:sheet name="분석작업-2" sheetId="7" r:id="rId10"/>
    <x:sheet name="매크로작업" sheetId="8" r:id="rId11"/>
    <x:sheet name="차트작업" sheetId="9" r:id="rId12"/>
  </x:sheets>
  <x:definedNames>
    <x:definedName name="순이익합계">'분석작업-1'!$I$19</x:definedName>
    <x:definedName name="이익률">'분석작업-1'!$I$21</x:definedName>
  </x:definedName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<x:sst xmlns:r="http://schemas.openxmlformats.org/officeDocument/2006/relationships" xmlns:c="http://schemas.openxmlformats.org/drawingml/2006/chart" xmlns:x="http://schemas.openxmlformats.org/spreadsheetml/2006/main" count="408" uniqueCount="297">
  <x:si>
    <x:t>생산부</x:t>
  </x:si>
  <x:si>
    <x:t>직위</x:t>
  </x:si>
  <x:si>
    <x:t>박현제</x:t>
  </x:si>
  <x:si>
    <x:t>오승석</x:t>
  </x:si>
  <x:si>
    <x:t>김민철</x:t>
  </x:si>
  <x:si>
    <x:t>신용성</x:t>
  </x:si>
  <x:si>
    <x:t>기본급</x:t>
  </x:si>
  <x:si>
    <x:t>서은미</x:t>
  </x:si>
  <x:si>
    <x:t>배오민</x:t>
  </x:si>
  <x:si>
    <x:t>9팀</x:t>
  </x:si>
  <x:si>
    <x:t>문종모</x:t>
  </x:si>
  <x:si>
    <x:t>한동일</x:t>
  </x:si>
  <x:si>
    <x:t>8팀</x:t>
  </x:si>
  <x:si>
    <x:t>상여금</x:t>
  </x:si>
  <x:si>
    <x:t>박성훈</x:t>
  </x:si>
  <x:si>
    <x:t>수당</x:t>
  </x:si>
  <x:si>
    <x:t>차정만</x:t>
  </x:si>
  <x:si>
    <x:t>물총</x:t>
  </x:si>
  <x:si>
    <x:t>이철식</x:t>
  </x:si>
  <x:si>
    <x:t>A반</x:t>
  </x:si>
  <x:si>
    <x:t>B반</x:t>
  </x:si>
  <x:si>
    <x:t>홍승호</x:t>
  </x:si>
  <x:si>
    <x:t>판매량</x:t>
  </x:si>
  <x:si>
    <x:t>완구명</x:t>
  </x:si>
  <x:si>
    <x:t>판매가</x:t>
  </x:si>
  <x:si>
    <x:t>윤성완</x:t>
  </x:si>
  <x:si>
    <x:t>평균</x:t>
  </x:si>
  <x:si>
    <x:t>민진윤</x:t>
  </x:si>
  <x:si>
    <x:t>신가람</x:t>
  </x:si>
  <x:si>
    <x:t>세금</x:t>
  </x:si>
  <x:si>
    <x:t>영업부</x:t>
  </x:si>
  <x:si>
    <x:t>사원</x:t>
  </x:si>
  <x:si>
    <x:t>김해소</x:t>
  </x:si>
  <x:si>
    <x:t>성명</x:t>
  </x:si>
  <x:si>
    <x:t>황미주</x:t>
  </x:si>
  <x:si>
    <x:t>여</x:t>
  </x:si>
  <x:si>
    <x:t>성별</x:t>
  </x:si>
  <x:si>
    <x:t>남</x:t>
  </x:si>
  <x:si>
    <x:t>길가온</x:t>
  </x:si>
  <x:si>
    <x:t>대리</x:t>
  </x:si>
  <x:si>
    <x:t>김은예</x:t>
  </x:si>
  <x:si>
    <x:t>나이</x:t>
  </x:si>
  <x:si>
    <x:t>총계</x:t>
  </x:si>
  <x:si>
    <x:t>4월</x:t>
  </x:si>
  <x:si>
    <x:t>5월</x:t>
  </x:si>
  <x:si>
    <x:t>임상호</x:t>
  </x:si>
  <x:si>
    <x:t>최진경</x:t>
  </x:si>
  <x:si>
    <x:t>김가경</x:t>
  </x:si>
  <x:si>
    <x:t>총점</x:t>
  </x:si>
  <x:si>
    <x:t>6월</x:t>
  </x:si>
  <x:si>
    <x:t>이원영</x:t>
  </x:si>
  <x:si>
    <x:t>최성철</x:t>
  </x:si>
  <x:si>
    <x:t>부서명</x:t>
  </x:si>
  <x:si>
    <x:t>김선욱</x:t>
  </x:si>
  <x:si>
    <x:t>영생고</x:t>
  </x:si>
  <x:si>
    <x:t>김리아</x:t>
  </x:si>
  <x:si>
    <x:t>과장</x:t>
  </x:si>
  <x:si>
    <x:t>경리부</x:t>
  </x:si>
  <x:si>
    <x:t>이단비</x:t>
  </x:si>
  <x:si>
    <x:t>이슬비</x:t>
  </x:si>
  <x:si>
    <x:t>강신성</x:t>
  </x:si>
  <x:si>
    <x:t>이진국</x:t>
  </x:si>
  <x:si>
    <x:t>최소한</x:t>
  </x:si>
  <x:si>
    <x:t>학교명</x:t>
  </x:si>
  <x:si>
    <x:t>서유민</x:t>
  </x:si>
  <x:si>
    <x:t>안현정</x:t>
  </x:si>
  <x:si>
    <x:t>명천고</x:t>
  </x:si>
  <x:si>
    <x:t>유미르</x:t>
  </x:si>
  <x:si>
    <x:t>등급</x:t>
  </x:si>
  <x:si>
    <x:t>표현진</x:t>
  </x:si>
  <x:si>
    <x:t>군자고</x:t>
  </x:si>
  <x:si>
    <x:t>전수식</x:t>
  </x:si>
  <x:si>
    <x:t>이운명</x:t>
  </x:si>
  <x:si>
    <x:t>강서고</x:t>
  </x:si>
  <x:si>
    <x:t>김정린</x:t>
  </x:si>
  <x:si>
    <x:t>대한고</x:t>
  </x:si>
  <x:si>
    <x:t>강심장</x:t>
  </x:si>
  <x:si>
    <x:t>하태선</x:t>
  </x:si>
  <x:si>
    <x:t>강남원</x:t>
  </x:si>
  <x:si>
    <x:t>엄진아</x:t>
  </x:si>
  <x:si>
    <x:t>이문혁</x:t>
  </x:si>
  <x:si>
    <x:t>유성심</x:t>
  </x:si>
  <x:si>
    <x:t>망원고</x:t>
  </x:si>
  <x:si>
    <x:t>명유고</x:t>
  </x:si>
  <x:si>
    <x:t>수영고</x:t>
  </x:si>
  <x:si>
    <x:t>한벼리</x:t>
  </x:si>
  <x:si>
    <x:t>스캐너</x:t>
  </x:si>
  <x:si>
    <x:t>경기</x:t>
  </x:si>
  <x:si>
    <x:t>노트북</x:t>
  </x:si>
  <x:si>
    <x:t>부산</x:t>
  </x:si>
  <x:si>
    <x:t>송미율</x:t>
  </x:si>
  <x:si>
    <x:t>담당자</x:t>
  </x:si>
  <x:si>
    <x:t>서울</x:t>
  </x:si>
  <x:si>
    <x:t>문지섭</x:t>
  </x:si>
  <x:si>
    <x:t>결과</x:t>
  </x:si>
  <x:si>
    <x:t>남세연</x:t>
  </x:si>
  <x:si>
    <x:t>윤서민</x:t>
  </x:si>
  <x:si>
    <x:t>허남용</x:t>
  </x:si>
  <x:si>
    <x:t>강원</x:t>
  </x:si>
  <x:si>
    <x:t>이설화</x:t>
  </x:si>
  <x:si>
    <x:t>조강민</x:t>
  </x:si>
  <x:si>
    <x:t>순이익</x:t>
  </x:si>
  <x:si>
    <x:t>한기석</x:t>
  </x:si>
  <x:si>
    <x:t>합계</x:t>
  </x:si>
  <x:si>
    <x:t>지역</x:t>
  </x:si>
  <x:si>
    <x:t>광주</x:t>
  </x:si>
  <x:si>
    <x:t>김국영</x:t>
  </x:si>
  <x:si>
    <x:t>신수라</x:t>
  </x:si>
  <x:si>
    <x:t>유지원</x:t>
  </x:si>
  <x:si>
    <x:t>박세균</x:t>
  </x:si>
  <x:si>
    <x:t>이민우</x:t>
  </x:si>
  <x:si>
    <x:t>입고량</x:t>
  </x:si>
  <x:si>
    <x:t>프린터</x:t>
  </x:si>
  <x:si>
    <x:t>입고일</x:t>
  </x:si>
  <x:si>
    <x:t>김시운</x:t>
  </x:si>
  <x:si>
    <x:t>제품명</x:t>
  </x:si>
  <x:si>
    <x:t>강정동</x:t>
  </x:si>
  <x:si>
    <x:t>매출액</x:t>
  </x:si>
  <x:si>
    <x:t>용품명</x:t>
  </x:si>
  <x:si>
    <x:t>생산량</x:t>
  </x:si>
  <x:si>
    <x:t>수영복</x:t>
  </x:si>
  <x:si>
    <x:t>김민애</x:t>
  </x:si>
  <x:si>
    <x:t>불량품</x:t>
  </x:si>
  <x:si>
    <x:t>하지은</x:t>
  </x:si>
  <x:si>
    <x:t>허영민</x:t>
  </x:si>
  <x:si>
    <x:t>출고량</x:t>
  </x:si>
  <x:si>
    <x:t>박철수</x:t>
  </x:si>
  <x:si>
    <x:t>1팀</x:t>
  </x:si>
  <x:si>
    <x:t>반</x:t>
  </x:si>
  <x:si>
    <x:t>수학</x:t>
  </x:si>
  <x:si>
    <x:t>김석훈</x:t>
  </x:si>
  <x:si>
    <x:t>유승아</x:t>
  </x:si>
  <x:si>
    <x:t>이진표</x:t>
  </x:si>
  <x:si>
    <x:t>김유선</x:t>
  </x:si>
  <x:si>
    <x:t>이익률</x:t>
  </x:si>
  <x:si>
    <x:t>국어</x:t>
  </x:si>
  <x:si>
    <x:t>과학</x:t>
  </x:si>
  <x:si>
    <x:t>한관수</x:t>
  </x:si>
  <x:si>
    <x:t>강민국</x:t>
  </x:si>
  <x:si>
    <x:t>장진철</x:t>
  </x:si>
  <x:si>
    <x:t>영어</x:t>
  </x:si>
  <x:si>
    <x:t>이용우</x:t>
  </x:si>
  <x:si>
    <x:t>사회</x:t>
  </x:si>
  <x:si>
    <x:t>이강혁</x:t>
  </x:si>
  <x:si>
    <x:t>선우선</x:t>
  </x:si>
  <x:si>
    <x:t>팀장명</x:t>
  </x:si>
  <x:si>
    <x:t>윤은수</x:t>
  </x:si>
  <x:si>
    <x:t>생산팀</x:t>
  </x:si>
  <x:si>
    <x:t>목표량</x:t>
  </x:si>
  <x:si>
    <x:t>정수심</x:t>
  </x:si>
  <x:si>
    <x:t>곽하늘</x:t>
  </x:si>
  <x:si>
    <x:t>안심해</x:t>
  </x:si>
  <x:si>
    <x:t>2팀</x:t>
  </x:si>
  <x:si>
    <x:t>수영모</x:t>
  </x:si>
  <x:si>
    <x:t>권노하</x:t>
  </x:si>
  <x:si>
    <x:t>3팀</x:t>
  </x:si>
  <x:si>
    <x:t>5팀</x:t>
  </x:si>
  <x:si>
    <x:t>차안정</x:t>
  </x:si>
  <x:si>
    <x:t>튜브</x:t>
  </x:si>
  <x:si>
    <x:t>6팀</x:t>
  </x:si>
  <x:si>
    <x:t>물안경</x:t>
  </x:si>
  <x:si>
    <x:t>4팀</x:t>
  </x:si>
  <x:si>
    <x:t>조은일</x:t>
  </x:si>
  <x:si>
    <x:t>방수팩</x:t>
  </x:si>
  <x:si>
    <x:t>임근성</x:t>
  </x:si>
  <x:si>
    <x:t>7팀</x:t>
  </x:si>
  <x:si>
    <x:t>부대비용</x:t>
  </x:si>
  <x:si>
    <x:t>미니자동차</x:t>
  </x:si>
  <x:si>
    <x:t>아기체육관</x:t>
  </x:si>
  <x:si>
    <x:t>K2840</x:t>
  </x:si>
  <x:si>
    <x:t>MK81</x:t>
  </x:si>
  <x:si>
    <x:t xml:space="preserve">[표4] </x:t>
  </x:si>
  <x:si>
    <x:t xml:space="preserve">[표5] </x:t>
  </x:si>
  <x:si>
    <x:t>회원코드</x:t>
  </x:si>
  <x:si>
    <x:t>NG02</x:t>
  </x:si>
  <x:si>
    <x:t>미끄럼틀</x:t>
  </x:si>
  <x:si>
    <x:t>정보처리개론</x:t>
  </x:si>
  <x:si>
    <x:t>병원놀이</x:t>
  </x:si>
  <x:si>
    <x:t>경기 결과</x:t>
  </x:si>
  <x:si>
    <x:t>판매단가</x:t>
  </x:si>
  <x:si>
    <x:t>프로그래밍</x:t>
  </x:si>
  <x:si>
    <x:t>JI80</x:t>
  </x:si>
  <x:si>
    <x:t>1인용보트</x:t>
  </x:si>
  <x:si>
    <x:t>2인용보트</x:t>
  </x:si>
  <x:si>
    <x:t>미니피아노</x:t>
  </x:si>
  <x:si>
    <x:t xml:space="preserve">[표2] </x:t>
  </x:si>
  <x:si>
    <x:t>YS09</x:t>
  </x:si>
  <x:si>
    <x:t>악기세트</x:t>
  </x:si>
  <x:si>
    <x:t>기차놀이</x:t>
  </x:si>
  <x:si>
    <x:t>소꿉놀이</x:t>
  </x:si>
  <x:si>
    <x:t>AR49</x:t>
  </x:si>
  <x:si>
    <x:t>종합블록</x:t>
  </x:si>
  <x:si>
    <x:t>쇼핑카트</x:t>
  </x:si>
  <x:si>
    <x:t>인터넷통신</x:t>
  </x:si>
  <x:si>
    <x:t>실용영어</x:t>
  </x:si>
  <x:si>
    <x:t>ES11</x:t>
  </x:si>
  <x:si>
    <x:t xml:space="preserve">[표3] </x:t>
  </x:si>
  <x:si>
    <x:t>CE53</x:t>
  </x:si>
  <x:si>
    <x:t>낚시놀이</x:t>
  </x:si>
  <x:si>
    <x:t>SJ47</x:t>
  </x:si>
  <x:si>
    <x:t>K8922</x:t>
  </x:si>
  <x:si>
    <x:t>K9371</x:t>
  </x:si>
  <x:si>
    <x:t>구명조끼</x:t>
  </x:si>
  <x:si>
    <x:t>실수령액</x:t>
  </x:si>
  <x:si>
    <x:t>접수형태</x:t>
  </x:si>
  <x:si>
    <x:t>비만도 측정</x:t>
  </x:si>
  <x:si>
    <x:t>K1752</x:t>
  </x:si>
  <x:si>
    <x:t>K3942</x:t>
  </x:si>
  <x:si>
    <x:t>K2380</x:t>
  </x:si>
  <x:si>
    <x:t xml:space="preserve">작성일 : </x:t>
  </x:si>
  <x:si>
    <x:t>사원코드</x:t>
  </x:si>
  <x:si>
    <x:t>감자개수</x:t>
  </x:si>
  <x:si>
    <x:t>전나무골</x:t>
  </x:si>
  <x:si>
    <x:t>K1111</x:t>
  </x:si>
  <x:si>
    <x:t>[표1]</x:t>
  </x:si>
  <x:si>
    <x:t>K1000</x:t>
  </x:si>
  <x:si>
    <x:t>콘도 접수일</x:t>
  </x:si>
  <x:si>
    <x:t>을지문덕</x:t>
  </x:si>
  <x:si>
    <x:t>사원 현황</x:t>
  </x:si>
  <x:si>
    <x:t>흥정리</x:t>
  </x:si>
  <x:si>
    <x:t>남한동</x:t>
  </x:si>
  <x:si>
    <x:t>마을</x:t>
  </x:si>
  <x:si>
    <x:t>개무기</x:t>
  </x:si>
  <x:si>
    <x:t>무이리</x:t>
  </x:si>
  <x:si>
    <x:t>이장님</x:t>
  </x:si>
  <x:si>
    <x:t>김시민</x:t>
  </x:si>
  <x:si>
    <x:t>한용운</x:t>
  </x:si>
  <x:si>
    <x:t>이순신</x:t>
  </x:si>
  <x:si>
    <x:t>김구</x:t>
  </x:si>
  <x:si>
    <x:t>평촌</x:t>
  </x:si>
  <x:si>
    <x:t>윤동주</x:t>
  </x:si>
  <x:si>
    <x:t>안창호</x:t>
  </x:si>
  <x:si>
    <x:t>장촌</x:t>
  </x:si>
  <x:si>
    <x:t>이육사</x:t>
  </x:si>
  <x:si>
    <x:t>기풍면</x:t>
  </x:si>
  <x:si>
    <x:t>석은새</x:t>
  </x:si>
  <x:si>
    <x:t>덕거리</x:t>
  </x:si>
  <x:si>
    <x:t>봉평면</x:t>
  </x:si>
  <x:si>
    <x:t>진조리</x:t>
  </x:si>
  <x:si>
    <x:t>출하량</x:t>
  </x:si>
  <x:si>
    <x:t>관리부</x:t>
  </x:si>
  <x:si>
    <x:t>강감찬</x:t>
  </x:si>
  <x:si>
    <x:t>C반</x:t>
  </x:si>
  <x:si>
    <x:t>안중근</x:t>
  </x:si>
  <x:si>
    <x:t>교실</x:t>
  </x:si>
  <x:si>
    <x:t>비만도</x:t>
  </x:si>
  <x:si>
    <x:t>체중</x:t>
  </x:si>
  <x:si>
    <x:t>신장</x:t>
  </x:si>
  <x:si>
    <x:t>사원별 임금 현황</x:t>
  </x:si>
  <x:si>
    <x:t>회원 관리 현황</x:t>
  </x:si>
  <x:si>
    <x:t>입학 지원자 현황</x:t>
  </x:si>
  <x:si>
    <x:t>물놀이용품 생산 현황</x:t>
  </x:si>
  <x:si>
    <x:t>과목별 점수 현황</x:t>
  </x:si>
  <x:si>
    <x:t>4박스(25개)</x:t>
  </x:si>
  <x:si>
    <x:t>6월 전자제품 판매현황</x:t>
  </x:si>
  <x:si>
    <x:t>2분기 유아 완구 판매 현황</x:t>
  </x:si>
  <x:si>
    <x:t>상공나라 비디오 대여 현황</x:t>
  </x:si>
  <x:si>
    <x:t>정보통신학과 시험 성적 현황</x:t>
  </x:si>
  <x:si>
    <x:t>휴일접수</x:t>
  </x:si>
  <x:si>
    <x:t>1 최댓값</x:t>
  </x:si>
  <x:si>
    <x:t>2 최댓값</x:t>
  </x:si>
  <x:si>
    <x:t>3 최댓값</x:t>
  </x:si>
  <x:si>
    <x:t>4 최댓값</x:t>
  </x:si>
  <x:si>
    <x:t>전체 최댓값</x:t>
  </x:si>
  <x:si>
    <x:t>합격</x:t>
  </x:si>
  <x:si>
    <x:t>불합격</x:t>
  </x:si>
  <x:si>
    <x:t>정상</x:t>
  </x:si>
  <x:si>
    <x:t>이익률증가</x:t>
  </x:si>
  <x:si>
    <x:t>$I$19</x:t>
  </x:si>
  <x:si>
    <x:t>결과 셀:</x:t>
  </x:si>
  <x:si>
    <x:t>이익률감소</x:t>
  </x:si>
  <x:si>
    <x:t>$I$21</x:t>
  </x:si>
  <x:si>
    <x:t>시나리오 요약</x:t>
  </x:si>
  <x:si>
    <x:t>현재 값:</x:t>
  </x:si>
  <x:si>
    <x:t>변경 셀:</x:t>
  </x:si>
  <x:si>
    <x:t xml:space="preserve">변경 셀 값을 나타냅니다. 각 시나리오의 변경 셀들은 </x:t>
  </x:si>
  <x:si>
    <x:t>1 최솟값</x:t>
  </x:si>
  <x:si>
    <x:t>회색으로 표시됩니다.</x:t>
  </x:si>
  <x:si>
    <x:t>전체 최솟값</x:t>
  </x:si>
  <x:si>
    <x:t>4 최솟값</x:t>
  </x:si>
  <x:si>
    <x:t>3 최솟값</x:t>
  </x:si>
  <x:si>
    <x:t>평일접수</x:t>
  </x:si>
  <x:si>
    <x:t>참고: 현재 값 열은 시나리오 요약 보고서가 작성될 때의</x:t>
  </x:si>
  <x:si>
    <x:t>3박스(30개)</x:t>
  </x:si>
  <x:si>
    <x:t>7박스(25개)</x:t>
  </x:si>
  <x:si>
    <x:t>3박스(35개)</x:t>
  </x:si>
  <x:si>
    <x:t>4박스(44개)</x:t>
  </x:si>
  <x:si>
    <x:t>5박스(72개)</x:t>
  </x:si>
  <x:si>
    <x:t>3박스(62개)</x:t>
  </x:si>
  <x:si>
    <x:t>5박스(20개)</x:t>
  </x:si>
  <x:si>
    <x:t>5박스(50개)</x:t>
  </x:si>
  <x:si>
    <x:t>파견직</x:t>
  </x:si>
  <x:si>
    <x:t>정규직</x:t>
  </x:si>
  <x:si>
    <x:t>계약직</x:t>
  </x:si>
  <x:si>
    <x:t>비만</x:t>
  </x:si>
  <x:si>
    <x:t>저체중</x:t>
  </x:si>
  <x:si>
    <x:t>2 최솟값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</x:si>
</x:sst>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numFmts count="2">
    <x:numFmt numFmtId="164" formatCode="mm&quot;월&quot;\ dd&quot;일&quot;"/>
    <x:numFmt numFmtId="165" formatCode="#,##0&quot;개&quot;"/>
  </x:numFmts>
  <x:fonts count="15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돋움"/>
      <x:sz val="11"/>
      <x:color rgb="ff000000"/>
    </x:font>
    <x:font>
      <x:name val="맑은 고딕"/>
      <x:sz val="10"/>
      <x:color rgb="ff000000"/>
    </x:fo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0000"/>
          <x:b val="1"/>
        </x:font>
      </mc:Fallback>
    </mc:AlternateContent>
    <x:font>
      <x:name val="맑은 고딕"/>
      <x:sz val="16"/>
      <x:color rgb="ff000000"/>
      <x:b val="1"/>
    </x:fo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5"/>
          <x:color rgb="ff4f81bd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5"/>
          <x:color rgb="ff4f81bd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0080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008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ffffff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ffffff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4f81bd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4f81bd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ffffff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ffffff"/>
        </x:font>
      </mc:Fallback>
    </mc:AlternateContent>
  </x:fonts>
  <x:fills count="9">
    <x:fill>
      <x:patternFill patternType="none"/>
    </x:fill>
    <x:fill>
      <x:patternFill patternType="gray125"/>
    </x:fill>
    <x:fill>
      <x:patternFill patternType="solid">
        <x:fgColor rgb="ffbfbfbf"/>
        <x:bgColor indexed="64"/>
      </x:patternFill>
    </x:fill>
    <x:fill>
      <x:patternFill patternType="solid">
        <x:fgColor rgb="ffc0c0c0"/>
        <x:bgColor indexed="64"/>
      </x:patternFill>
    </x:fill>
    <x:fill>
      <x:patternFill patternType="solid">
        <x:fgColor rgb="ffc0c0c0"/>
        <x:bgColor rgb="ffffffff"/>
      </x:patternFill>
    </x:fill>
    <x:fill>
      <x:patternFill patternType="solid">
        <x:fgColor rgb="ff800080"/>
        <x:bgColor indexed="64"/>
      </x:patternFill>
    </x:fill>
    <x:fill>
      <x:patternFill patternType="solid">
        <x:fgColor rgb="ff800080"/>
        <x:bgColor rgb="ffffffff"/>
      </x:patternFill>
    </x:fill>
    <x:fill>
      <x:patternFill patternType="solid">
        <x:fgColor rgb="ffc0c0c0"/>
        <x:bgColor indexed="64"/>
      </x:patternFill>
    </x:fill>
    <x:fill>
      <x:patternFill patternType="solid">
        <x:fgColor rgb="ffffff00"/>
        <x:bgColor indexed="64"/>
      </x:patternFill>
    </x:fill>
  </x:fills>
  <x:borders count="18">
    <x:border>
      <x:left>
        <x:color rgb="ff000000"/>
      </x:left>
      <x:right>
        <x:color rgb="ff000000"/>
      </x:right>
      <x:top>
        <x:color auto="1"/>
      </x:top>
      <x:bottom>
        <x:color rgb="ff000000"/>
      </x:bottom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  <x:border>
      <x:left style="thin">
        <x:color auto="1"/>
      </x:left>
      <x:right>
        <x:color auto="1"/>
      </x:right>
      <x:top style="thin">
        <x:color auto="1"/>
      </x:top>
      <x:bottom style="thin">
        <x:color auto="1"/>
      </x:bottom>
    </x:border>
    <x:border>
      <x:left>
        <x:color auto="1"/>
      </x:left>
      <x:right>
        <x:color auto="1"/>
      </x:right>
      <x:top style="thin">
        <x:color auto="1"/>
      </x:top>
      <x:bottom style="thin">
        <x:color auto="1"/>
      </x:bottom>
    </x:border>
    <x:border>
      <x:left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  <x:border>
      <x:left style="medium">
        <x:color auto="1"/>
      </x:left>
      <x:right style="thin">
        <x:color auto="1"/>
      </x:right>
      <x:top style="medium">
        <x:color auto="1"/>
      </x:top>
      <x:bottom style="thin">
        <x:color auto="1"/>
      </x:bottom>
    </x:border>
    <x:border>
      <x:left style="thin">
        <x:color auto="1"/>
      </x:left>
      <x:right style="thin">
        <x:color auto="1"/>
      </x:right>
      <x:top style="medium">
        <x:color auto="1"/>
      </x:top>
      <x:bottom style="thin">
        <x:color auto="1"/>
      </x:bottom>
    </x:border>
    <x:border>
      <x:left style="thin">
        <x:color auto="1"/>
      </x:left>
      <x:right style="medium">
        <x:color auto="1"/>
      </x:right>
      <x:top style="medium">
        <x:color auto="1"/>
      </x:top>
      <x:bottom style="thin">
        <x:color auto="1"/>
      </x:bottom>
    </x:border>
    <x:border>
      <x:left style="medium"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  <x:border>
      <x:left style="thin">
        <x:color auto="1"/>
      </x:left>
      <x:right style="medium">
        <x:color auto="1"/>
      </x:right>
      <x:top style="thin">
        <x:color auto="1"/>
      </x:top>
      <x:bottom style="thin">
        <x:color auto="1"/>
      </x:bottom>
    </x:border>
    <x:border>
      <x:left style="medium">
        <x:color auto="1"/>
      </x:left>
      <x:right style="thin">
        <x:color auto="1"/>
      </x:right>
      <x:top style="thin">
        <x:color auto="1"/>
      </x:top>
      <x:bottom style="medium">
        <x:color auto="1"/>
      </x:bottom>
    </x:border>
    <x:border>
      <x:left style="thin">
        <x:color auto="1"/>
      </x:left>
      <x:right style="thin">
        <x:color auto="1"/>
      </x:right>
      <x:top style="thin">
        <x:color auto="1"/>
      </x:top>
      <x:bottom style="medium">
        <x:color auto="1"/>
      </x:bottom>
    </x:border>
    <x:border>
      <x:left style="thin">
        <x:color auto="1"/>
      </x:left>
      <x:right style="medium">
        <x:color auto="1"/>
      </x:right>
      <x:top style="thin">
        <x:color auto="1"/>
      </x:top>
      <x:bottom style="medium">
        <x:color auto="1"/>
      </x:bottom>
    </x:border>
    <x:border>
      <x:left>
        <x:color auto="1"/>
      </x:left>
      <x:right>
        <x:color auto="1"/>
      </x:right>
      <x:top style="thick">
        <x:color auto="1"/>
      </x:top>
      <x:bottom>
        <x:color auto="1"/>
      </x:bottom>
    </x:border>
    <x:border>
      <x:left>
        <x:color auto="1"/>
      </x:left>
      <x:right>
        <x:color auto="1"/>
      </x:right>
      <x:top>
        <x:color auto="1"/>
      </x:top>
      <x:bottom style="thick">
        <x:color auto="1"/>
      </x:bottom>
    </x:border>
    <x:border>
      <x:left>
        <x:color auto="1"/>
      </x:left>
      <x:right>
        <x:color auto="1"/>
      </x:right>
      <x:top style="thick">
        <x:color auto="1"/>
      </x:top>
      <x:bottom style="thin">
        <x:color auto="1"/>
      </x:bottom>
    </x:border>
    <x:border>
      <x:left>
        <x:color auto="1"/>
      </x:left>
      <x:right>
        <x:color auto="1"/>
      </x:right>
      <x:top style="thin">
        <x:color auto="1"/>
      </x:top>
      <x:bottom style="thin">
        <x:color auto="1"/>
      </x:bottom>
    </x:border>
    <x:border>
      <x:left>
        <x:color auto="1"/>
      </x:left>
      <x:right>
        <x:color auto="1"/>
      </x:right>
      <x:top style="thin">
        <x:color auto="1"/>
      </x:top>
      <x:bottom style="thick">
        <x:color auto="1"/>
      </x:bottom>
    </x:border>
  </x:borders>
  <x:cellStyleXfs count="8">
    <x:xf numFmtId="0" fontId="0" fillId="0" borderId="0">
      <x:alignment horizontal="general" vertical="center"/>
    </x:xf>
    <x:xf numFmtId="9" fontId="0" fillId="0" borderId="0" applyFont="1" applyFill="1" applyBorder="1" applyAlignment="1" applyProtection="1">
      <x:alignment horizontal="general" vertical="center"/>
    </x:xf>
    <x:xf numFmtId="41" fontId="0" fillId="0" borderId="0" applyFont="1" applyFill="1" applyBorder="1" applyAlignment="1" applyProtection="1">
      <x:alignment horizontal="general" vertical="center"/>
    </x:xf>
    <x:xf numFmtId="42" fontId="0" fillId="0" borderId="0" applyFont="1" applyFill="1" applyBorder="1" applyAlignment="1" applyProtection="1">
      <x:alignment horizontal="general" vertical="center"/>
    </x:xf>
    <x:xf numFmtId="0" fontId="0" fillId="0" borderId="0">
      <x:alignment horizontal="general" vertical="center"/>
    </x:xf>
    <x:xf numFmtId="0" fontId="6" fillId="0" borderId="0">
      <x:alignment horizontal="general" vertical="bottom"/>
    </x:xf>
    <x:xf numFmtId="0" fontId="6" fillId="0" borderId="0">
      <x:alignment horizontal="general" vertical="bottom"/>
    </x:xf>
    <x:xf numFmtId="41" fontId="6" fillId="0" borderId="0">
      <x:alignment horizontal="general" vertical="bottom"/>
    </x:xf>
  </x:cellStyleXfs>
  <x:cellXfs count="75">
    <x:xf numFmtId="0" fontId="0" fillId="0" borderId="0" xfId="4" applyNumberFormat="1">
      <x:alignment horizontal="general" vertical="center"/>
    </x:xf>
    <x:xf numFmtId="0" fontId="0" fillId="0" borderId="0" xfId="0" applyNumberFormat="1" applyAlignment="1">
      <x:alignment horizontal="general" vertical="bottom"/>
    </x:xf>
    <x:xf numFmtId="14" fontId="0" fillId="0" borderId="0" xfId="0" applyNumberFormat="1">
      <x:alignment horizontal="general" vertical="center"/>
    </x:xf>
    <x:xf numFmtId="0" fontId="0" fillId="0" borderId="0" xfId="1" applyNumberFormat="1" applyFont="1" applyAlignment="1">
      <x:alignment horizontal="general" vertical="bottom"/>
    </x:xf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Border="1" applyAlignment="1">
          <x:alignment horizontal="center" vertical="center"/>
        </x:xf>
      </mc:Fallback>
    </mc:AlternateContent>
    <x:xf numFmtId="0" fontId="7" fillId="0" borderId="0" xfId="5" applyNumberFormat="1" applyFont="1" applyAlignment="1">
      <x:alignment horizontal="left" vertical="center"/>
    </x:xf>
    <x:xf numFmtId="0" fontId="8" fillId="0" borderId="0" xfId="5" applyNumberFormat="1" applyFont="1" applyAlignment="1">
      <x:alignment horizontal="left" vertical="center"/>
    </x:xf>
    <x:xf numFmtId="0" fontId="0" fillId="0" borderId="0" xfId="5" applyNumberFormat="1" applyFont="1" applyAlignment="1">
      <x:alignment horizontal="general" vertical="center"/>
    </x:xf>
    <x:xf numFmtId="0" fontId="0" fillId="0" borderId="0" xfId="5" applyNumberFormat="1" applyFont="1" applyAlignment="1">
      <x:alignment horizontal="left" vertical="center"/>
    </x:xf>
    <x:xf numFmtId="0" fontId="0" fillId="0" borderId="0" xfId="0" applyNumberFormat="1" applyFont="1" applyAlignme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" xfId="5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5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2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2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5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5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Font="1" applyBorder="1" applyAlignment="1">
          <x:alignment horizontal="center" vertical="center"/>
        </x:xf>
      </mc:Fallback>
    </mc:AlternateContent>
    <x:xf numFmtId="0" fontId="0" fillId="0" borderId="0" xfId="0" applyNumberFormat="1" applyFont="1" applyBorder="1" applyAlignment="1">
      <x:alignment horizontal="general" vertical="center"/>
    </x:xf>
    <x:xf numFmtId="0" fontId="0" fillId="0" borderId="0" xfId="6" applyNumberFormat="1" applyFont="1" applyAlignme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" xfId="6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6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6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6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0" borderId="1" xfId="6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0" borderId="1" xfId="6" applyNumberFormat="1" applyFont="1" applyBorder="1" applyAlignment="1">
          <x:alignment horizontal="center" vertical="center"/>
        </x:xf>
      </mc:Fallback>
    </mc:AlternateContent>
    <x:xf numFmtId="41" fontId="0" fillId="0" borderId="1" xfId="2" applyNumberFormat="1" applyFont="1" applyBorder="1" applyAlignment="1">
      <x:alignment horizontal="general" vertical="center"/>
    </x:xf>
    <x:xf numFmtId="41" fontId="0" fillId="0" borderId="1" xfId="7" applyNumberFormat="1" applyFont="1" applyBorder="1" applyAlignment="1">
      <x:alignment horizontal="general" vertical="center"/>
    </x:xf>
    <x:xf numFmtId="41" fontId="0" fillId="0" borderId="1" xfId="0" applyNumberForma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9" fontId="0" fillId="0" borderId="1" xfId="6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9" fontId="0" fillId="0" borderId="1" xfId="6" applyNumberFormat="1" applyFont="1" applyBorder="1" applyAlignment="1">
          <x:alignment horizontal="center" vertical="center"/>
        </x:xf>
      </mc:Fallback>
    </mc:AlternateContent>
    <x:xf numFmtId="0" fontId="0" fillId="0" borderId="0" xfId="0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2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2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0" fillId="0" borderId="1" xfId="2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0" borderId="1" xfId="2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1" fontId="0" fillId="0" borderId="1" xfId="2" applyNumberFormat="1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0" borderId="1" xfId="2" applyNumberFormat="1" applyFont="1" applyBorder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Alignment="1" hs:applyExtension="1">
          <x:alignment horizontal="distributed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Alignment="1">
          <x:alignment horizontal="distributed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0" fillId="0" borderId="1" xfId="5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0" fillId="0" borderId="1" xfId="5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0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0" borderId="0" xfId="6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0" borderId="0" xfId="6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6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6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2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3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3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4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4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0" xfId="4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4" applyNumberFormat="1" applyFont="1" applyFill="1" applyBorder="1" applyAlignment="1" applyProtection="1">
          <x:alignment horizontal="center" vertical="center"/>
        </x:xf>
      </mc:Fallback>
    </mc:AlternateContent>
    <x:xf numFmtId="14" fontId="0" fillId="0" borderId="0" xfId="0" applyNumberFormat="1" applyFont="1" applyFill="1" applyBorder="1" applyAlignment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" xfId="4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4" applyNumberFormat="1" applyFont="1" applyFill="1" applyBorder="1" applyAlignment="1" applyProtection="1">
          <x:alignment horizontal="center" vertical="center"/>
        </x:xf>
      </mc:Fallback>
    </mc:AlternateContent>
    <x:xf numFmtId="42" fontId="0" fillId="0" borderId="1" xfId="3" applyNumberFormat="1" applyFont="1" applyBorder="1">
      <x:alignment horizontal="general" vertical="center"/>
    </x:xf>
    <x:xf numFmtId="165" fontId="0" fillId="0" borderId="1" xfId="4" applyNumberFormat="1" applyFont="1" applyFill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5" xfId="4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5" xfId="4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6" xfId="4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6" xfId="4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7" xfId="4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7" xfId="4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8" xfId="4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8" xfId="4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9" xfId="4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9" xfId="4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8" xfId="0" applyNumberFormat="1" applyFont="1" applyFill="1" applyBorder="1" applyAlignment="1" hs:applyExtension="1">
          <x:alignment horizontal="distributed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8" xfId="0" applyNumberFormat="1" applyFont="1" applyFill="1" applyBorder="1" applyAlignment="1">
          <x:alignment horizontal="distributed" vertical="center"/>
        </x:xf>
      </mc:Fallback>
    </mc:AlternateContent>
    <x:xf numFmtId="42" fontId="0" fillId="0" borderId="9" xfId="3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0" xfId="0" applyNumberFormat="1" applyFont="1" applyFill="1" applyBorder="1" applyAlignment="1" hs:applyExtension="1">
          <x:alignment horizontal="distributed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0" xfId="0" applyNumberFormat="1" applyFont="1" applyFill="1" applyBorder="1" applyAlignment="1">
          <x:alignment horizontal="distributed" vertical="center"/>
        </x:xf>
      </mc:Fallback>
    </mc:AlternateContent>
    <x:xf numFmtId="42" fontId="0" fillId="0" borderId="11" xfId="3" applyNumberFormat="1" applyFont="1" applyBorder="1">
      <x:alignment horizontal="general" vertical="center"/>
    </x:xf>
    <x:xf numFmtId="165" fontId="0" fillId="0" borderId="11" xfId="4" applyNumberFormat="1" applyFont="1" applyFill="1" applyBorder="1">
      <x:alignment horizontal="general" vertical="center"/>
    </x:xf>
    <x:xf numFmtId="42" fontId="0" fillId="0" borderId="12" xfId="3" applyNumberFormat="1" applyFont="1" applyBorder="1">
      <x:alignment horizontal="general" vertical="center"/>
    </x:xf>
    <x:xf numFmtId="0" fontId="11" fillId="3" borderId="0" xfId="4" applyNumberFormat="1" applyFont="1" applyFill="1">
      <x:alignment horizontal="general" vertical="center"/>
    </x:xf>
    <x:xf numFmtId="9" fontId="0" fillId="0" borderId="0" xfId="4" applyNumberFormat="1">
      <x:alignment horizontal="general" vertical="center"/>
    </x:xf>
    <x:xf numFmtId="0" fontId="0" fillId="4" borderId="0" xfId="4" applyNumberFormat="1" applyFill="1">
      <x:alignment horizontal="general" vertical="center"/>
    </x:xf>
    <x:xf numFmtId="0" fontId="12" fillId="5" borderId="13" xfId="4" applyNumberFormat="1" applyFont="1" applyFill="1" applyBorder="1" applyAlignment="1" applyProtection="1">
      <x:alignment horizontal="general" vertical="center"/>
    </x:xf>
    <x:xf numFmtId="0" fontId="12" fillId="6" borderId="13" xfId="4" applyNumberFormat="1" applyFont="1" applyFill="1" applyBorder="1" applyAlignment="1" applyProtection="1">
      <x:alignment horizontal="general" vertical="center"/>
    </x:xf>
    <x:xf numFmtId="0" fontId="12" fillId="5" borderId="14" xfId="4" applyNumberFormat="1" applyFont="1" applyFill="1" applyBorder="1" applyAlignment="1" applyProtection="1">
      <x:alignment horizontal="general" vertical="center"/>
    </x:xf>
    <x:xf numFmtId="0" fontId="12" fillId="6" borderId="14" xfId="4" applyNumberFormat="1" applyFont="1" applyFill="1" applyBorder="1" applyAlignment="1" applyProtection="1">
      <x:alignment horizontal="general" vertical="center"/>
    </x:xf>
    <x:xf numFmtId="0" fontId="11" fillId="7" borderId="15" xfId="4" applyNumberFormat="1" applyFont="1" applyFill="1" applyBorder="1" applyAlignment="1" applyProtection="1">
      <x:alignment horizontal="general" vertical="center"/>
    </x:xf>
    <x:xf numFmtId="0" fontId="0" fillId="0" borderId="15" xfId="4" applyNumberFormat="1" applyFont="1" applyFill="1" applyBorder="1" applyAlignment="1" applyProtection="1">
      <x:alignment horizontal="general" vertical="center"/>
    </x:xf>
    <x:xf numFmtId="0" fontId="11" fillId="7" borderId="16" xfId="4" applyNumberFormat="1" applyFont="1" applyFill="1" applyBorder="1" applyAlignment="1" applyProtection="1">
      <x:alignment horizontal="general" vertical="center"/>
    </x:xf>
    <x:xf numFmtId="0" fontId="0" fillId="0" borderId="16" xfId="4" applyNumberFormat="1" applyFont="1" applyFill="1" applyBorder="1" applyAlignment="1" applyProtection="1">
      <x:alignment horizontal="general" vertical="center"/>
    </x:xf>
    <x:xf numFmtId="0" fontId="11" fillId="7" borderId="17" xfId="4" applyNumberFormat="1" applyFont="1" applyFill="1" applyBorder="1" applyAlignment="1" applyProtection="1">
      <x:alignment horizontal="general" vertical="center"/>
    </x:xf>
    <x:xf numFmtId="0" fontId="0" fillId="0" borderId="17" xfId="4" applyNumberFormat="1" applyFont="1" applyFill="1" applyBorder="1" applyAlignment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8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2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2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8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8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43" fontId="0" fillId="0" borderId="1" xfId="2" applyNumberFormat="1" applyFont="1" applyFill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3" fontId="0" fillId="0" borderId="1" xfId="2" applyNumberFormat="1" applyFont="1" applyFill="1" applyBorder="1" applyAlignment="1">
          <x:alignment horizontal="right" vertical="center"/>
        </x:xf>
      </mc:Fallback>
    </mc:AlternateContent>
  </x:cellXfs>
  <x:cellStyles count="8">
    <x:cellStyle name="표준" xfId="0" builtinId="0"/>
    <x:cellStyle name="백분율" xfId="1" builtinId="5"/>
    <x:cellStyle name="쉼표 [0]" xfId="2" builtinId="6"/>
    <x:cellStyle name="통화 [0]" xfId="3" builtinId="7"/>
    <x:cellStyle name="표준_Sheet1" xfId="5"/>
    <x:cellStyle name="표준 2" xfId="6"/>
    <x:cellStyle name="쉼표 [0] 2" xfId="7"/>
  </x:cellStyles>
  <x:dxfs count="1">
    <x:dxf>
      <x:numFmt numFmtId="0" formatCode="General"/>
      <x:fill>
        <x:patternFill>
          <x:bgColor rgb="ffffff00"/>
        </x:patternFill>
      </x:fill>
    </x:dxf>
  </x:dxfs>
  <x:tableStyles count="0" defaultTableStyle="TableStyleMedium9" defaultPivotStyle="PivotStyleLight16"/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10" Type="http://schemas.openxmlformats.org/officeDocument/2006/relationships/worksheet" Target="worksheets/sheet7.xml"  /><Relationship Id="rId11" Type="http://schemas.openxmlformats.org/officeDocument/2006/relationships/worksheet" Target="worksheets/sheet8.xml"  /><Relationship Id="rId12" Type="http://schemas.openxmlformats.org/officeDocument/2006/relationships/worksheet" Target="worksheets/sheet9.xml"  /><Relationship Id="rId13" Type="http://schemas.microsoft.com/office/2006/relationships/vbaProject" Target="vbaProject.bin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openxmlformats.org/officeDocument/2006/relationships/worksheet" Target="worksheets/sheet6.xml"  /></Relationships>
</file>

<file path=xl/charts/chart5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기본급</c:v>
                </c:pt>
              </c:strCache>
            </c:strRef>
          </c:tx>
          <c:invertIfNegative val="0"/>
          <c:cat>
            <c:strRef>
              <c:f>차트작업!$A$7,차트작업!$A$10:$A$11</c:f>
              <c:strCache>
                <c:ptCount val="3"/>
                <c:pt idx="0">
                  <c:v>박현제</c:v>
                </c:pt>
                <c:pt idx="1">
                  <c:v>신용성</c:v>
                </c:pt>
                <c:pt idx="2">
                  <c:v>서은미</c:v>
                </c:pt>
              </c:strCache>
            </c:strRef>
          </c:cat>
          <c:val>
            <c:numRef>
              <c:f>차트작업!$D$7,차트작업!$D$10:$D$11</c:f>
              <c:numCache>
                <c:formatCode>_-* #,##0_-;-* #,##0_-;_-* "-"_-;_-@_-</c:formatCode>
                <c:ptCount val="3"/>
                <c:pt idx="0">
                  <c:v>1850000</c:v>
                </c:pt>
                <c:pt idx="1">
                  <c:v>1950000</c:v>
                </c:pt>
                <c:pt idx="2">
                  <c:v>1900000</c:v>
                </c:pt>
              </c:numCache>
            </c:numRef>
          </c:val>
        </c:ser>
        <c:ser>
          <c:idx val="1"/>
          <c:order val="1"/>
          <c:tx>
            <c:strRef>
              <c:f>차트작업!$H$3</c:f>
              <c:strCache>
                <c:ptCount val="1"/>
                <c:pt idx="0">
                  <c:v>실수령액</c:v>
                </c:pt>
              </c:strCache>
            </c:strRef>
          </c:tx>
          <c:invertIfNegative val="0"/>
          <c:cat>
            <c:strRef>
              <c:f>차트작업!$A$7,차트작업!$A$10:$A$11</c:f>
              <c:strCache>
                <c:ptCount val="3"/>
                <c:pt idx="0">
                  <c:v>박현제</c:v>
                </c:pt>
                <c:pt idx="1">
                  <c:v>신용성</c:v>
                </c:pt>
                <c:pt idx="2">
                  <c:v>서은미</c:v>
                </c:pt>
              </c:strCache>
            </c:strRef>
          </c:cat>
          <c:val>
            <c:numRef>
              <c:f>차트작업!$H$7,차트작업!$H$10:$H$11</c:f>
              <c:numCache>
                <c:formatCode>_-* #,##0_-;-* #,##0_-;_-* "-"_-;_-@_-</c:formatCode>
                <c:ptCount val="3"/>
                <c:pt idx="0">
                  <c:v>2469000</c:v>
                </c:pt>
                <c:pt idx="1">
                  <c:v>2691500</c:v>
                </c:pt>
                <c:pt idx="2">
                  <c:v>2513500</c:v>
                </c:pt>
              </c:numCache>
            </c:numRef>
          </c:val>
        </c:ser>
        <c:dLbls>
          <c:delete val="0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gapWidth val="150"/>
        <c:overlap val="0"/>
        <c:axId val="193571456"/>
        <c:axId val="193573248"/>
      </c:barChart>
      <c:catAx>
        <c:axId val="193571456"/>
        <c:scaling>
          <c:orientation val="minMax"/>
        </c:scaling>
        <c:axPos val="b"/>
        <c:crossAx val="193573248"/>
        <c:delete val="0"/>
        <c:numFmt formatCode="General" sourceLinked="0"/>
        <c:majorTickMark val="out"/>
        <c:minorTickMark val="none"/>
        <c:tickLblPos val="nextTo"/>
        <c:crosses val="autoZero"/>
        <c:auto val="1"/>
        <c:lblAlgn val="ctr"/>
        <c:lblOffset val="100"/>
        <c:tickMarkSkip val="1"/>
        <c:noMultiLvlLbl val="0"/>
      </c:catAx>
      <c:valAx>
        <c:axId val="193573248"/>
        <c:scaling>
          <c:orientation val="minMax"/>
        </c:scaling>
        <c:axPos val="l"/>
        <c:crossAx val="193571456"/>
        <c:delete val="0"/>
        <c:majorGridlines/>
        <c:numFmt formatCode="_-* #,##0_-;-* #,##0_-;_-* &quot;-&quot;_-;_-@_-" sourceLinked="1"/>
        <c:majorTickMark val="out"/>
        <c:minorTickMark val="none"/>
        <c:tickLblPos val="nextTo"/>
        <c:crosses val="autoZero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legend>
      <c:legendPos val="r"/>
      <c:layout/>
      <c:overlay val="0"/>
    </c:legend>
    <c:plotVisOnly val="0"/>
    <c:dispBlanksAs val="gap"/>
  </c:chart>
  <c:extLst>
    <c:ext uri="CC8EB2C9-7E31-499d-B8F2-F6CE61031016">
      <ho:hncChartStyle xmlns:ho="http://schemas.haansoft.com/office/8.0" layoutIndex="-1" colorIndex="-1" styleIndex="-1"/>
    </c:ext>
  </c:extLst>
</c:chartSpace>
</file>

<file path=xl/drawings/_rels/drawing12.xml.rels><?xml version="1.0" encoding="UTF-8" standalone="yes" ?><Relationships xmlns="http://schemas.openxmlformats.org/package/2006/relationships"><Relationship Id="rId1" Type="http://schemas.openxmlformats.org/officeDocument/2006/relationships/image" Target="../media/image15.png"  /><Relationship Id="rId2" Type="http://schemas.openxmlformats.org/officeDocument/2006/relationships/image" Target="../media/image16.png"  /><Relationship Id="rId3" Type="http://schemas.openxmlformats.org/officeDocument/2006/relationships/image" Target="../media/image17.png"  /></Relationships>
</file>

<file path=xl/drawings/_rels/drawing14.xml.rels><?xml version="1.0" encoding="UTF-8" standalone="yes" ?><Relationships xmlns="http://schemas.openxmlformats.org/package/2006/relationships"><Relationship Id="rId1" Type="http://schemas.openxmlformats.org/officeDocument/2006/relationships/chart" Target="../charts/chart5.xml"  /></Relationships>
</file>

<file path=xl/drawings/drawing12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 editAs="oneCell">
    <xdr:from>
      <xdr:col>10</xdr:col>
      <xdr:colOff>676275</xdr:colOff>
      <xdr:row>0</xdr:row>
      <xdr:rowOff>200025</xdr:rowOff>
    </xdr:from>
    <xdr:to>
      <xdr:col>18</xdr:col>
      <xdr:colOff>190500</xdr:colOff>
      <xdr:row>10</xdr:row>
      <xdr:rowOff>128651</xdr:rowOff>
    </xdr:to>
    <xdr:pic macro="" fPublished="0">
      <xdr:nvPicPr>
        <xdr:cNvPr id="2" name="그림 1"/>
        <xdr:cNvPicPr>
          <a:picLocks noChangeAspect="1"/>
        </xdr:cNvPicPr>
      </xdr:nvPicPr>
      <xdr:blipFill rotWithShape="1">
        <a:blip r:embed="rId1"/>
        <a:stretch>
          <a:fillRect/>
        </a:stretch>
      </xdr:blipFill>
      <xdr:spPr>
        <a:xfrm>
          <a:off x="17011650" y="400050"/>
          <a:ext cx="10163175" cy="404812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 fLocksWithSheet="1" fPrintsWithSheet="1"/>
  </xdr:twoCellAnchor>
  <xdr:twoCellAnchor editAs="oneCell">
    <xdr:from>
      <xdr:col>12</xdr:col>
      <xdr:colOff>428625</xdr:colOff>
      <xdr:row>12</xdr:row>
      <xdr:rowOff>95250</xdr:rowOff>
    </xdr:from>
    <xdr:to>
      <xdr:col>18</xdr:col>
      <xdr:colOff>604901</xdr:colOff>
      <xdr:row>19</xdr:row>
      <xdr:rowOff>90551</xdr:rowOff>
    </xdr:to>
    <xdr:pic macro="" fPublished="0">
      <xdr:nvPicPr>
        <xdr:cNvPr id="3" name="그림 2"/>
        <xdr:cNvPicPr>
          <a:picLocks noChangeAspect="1"/>
        </xdr:cNvPicPr>
      </xdr:nvPicPr>
      <xdr:blipFill rotWithShape="1">
        <a:blip r:embed="rId2"/>
        <a:srcRect t="17000" r="10150" b="29360"/>
        <a:stretch>
          <a:fillRect/>
        </a:stretch>
      </xdr:blipFill>
      <xdr:spPr>
        <a:xfrm>
          <a:off x="19421474" y="5219700"/>
          <a:ext cx="8582025" cy="29241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 fLocksWithSheet="1" fPrintsWithSheet="1"/>
  </xdr:twoCellAnchor>
  <xdr:twoCellAnchor editAs="oneCell">
    <xdr:from>
      <xdr:col>7</xdr:col>
      <xdr:colOff>9525</xdr:colOff>
      <xdr:row>22</xdr:row>
      <xdr:rowOff>9525</xdr:rowOff>
    </xdr:from>
    <xdr:to>
      <xdr:col>13</xdr:col>
      <xdr:colOff>90551</xdr:colOff>
      <xdr:row>28</xdr:row>
      <xdr:rowOff>138176</xdr:rowOff>
    </xdr:to>
    <xdr:pic macro="" fPublished="0">
      <xdr:nvPicPr>
        <xdr:cNvPr id="4" name="그림 3"/>
        <xdr:cNvPicPr>
          <a:picLocks noChangeAspect="1"/>
        </xdr:cNvPicPr>
      </xdr:nvPicPr>
      <xdr:blipFill rotWithShape="1">
        <a:blip r:embed="rId3"/>
        <a:srcRect l="16460" t="18990" b="43280"/>
        <a:stretch>
          <a:fillRect/>
        </a:stretch>
      </xdr:blipFill>
      <xdr:spPr>
        <a:xfrm>
          <a:off x="11220451" y="9239250"/>
          <a:ext cx="8896350" cy="27717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 fLocksWithSheet="1" fPrintsWithSheet="1"/>
  </xdr:twoCellAnchor>
  <xdr:twoCellAnchor>
    <xdr:from>
      <xdr:col>4</xdr:col>
      <xdr:colOff>19050</xdr:colOff>
      <xdr:row>21</xdr:row>
      <xdr:rowOff>0</xdr:rowOff>
    </xdr:from>
    <xdr:to>
      <xdr:col>6</xdr:col>
      <xdr:colOff>681101</xdr:colOff>
      <xdr:row>23</xdr:row>
      <xdr:rowOff>0</xdr:rowOff>
    </xdr:to>
    <xdr:cxnSp fPublished="0">
      <xdr:nvCxnSpPr>
        <xdr:cNvPr id="6" name="연결선: 꺾임 5"/>
        <xdr:cNvCxnSpPr/>
      </xdr:nvCxnSpPr>
      <xdr:spPr>
        <a:xfrm>
          <a:off x="6572250" y="8801100"/>
          <a:ext cx="4619625" cy="838200"/>
        </a:xfrm>
        <a:prstGeom prst="bentConnector3">
          <a:avLst>
            <a:gd name="adj1" fmla="val -928"/>
          </a:avLst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 fLocksWithSheet="1" fPrintsWithSheet="1"/>
  </xdr:twoCellAnchor>
  <xdr:twoCellAnchor>
    <xdr:from>
      <xdr:col>10</xdr:col>
      <xdr:colOff>9525</xdr:colOff>
      <xdr:row>4</xdr:row>
      <xdr:rowOff>204851</xdr:rowOff>
    </xdr:from>
    <xdr:to>
      <xdr:col>10</xdr:col>
      <xdr:colOff>666750</xdr:colOff>
      <xdr:row>4</xdr:row>
      <xdr:rowOff>204851</xdr:rowOff>
    </xdr:to>
    <xdr:cxnSp fPublished="0">
      <xdr:nvCxnSpPr>
        <xdr:cNvPr id="9" name="직선 화살표 연결선 8"/>
        <xdr:cNvCxnSpPr/>
      </xdr:nvCxnSpPr>
      <xdr:spPr>
        <a:xfrm>
          <a:off x="15678149" y="2085975"/>
          <a:ext cx="1314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 fLocksWithSheet="1" fPrintsWithSheet="1"/>
  </xdr:twoCellAnchor>
  <xdr:twoCellAnchor>
    <xdr:from>
      <xdr:col>12</xdr:col>
      <xdr:colOff>4826</xdr:colOff>
      <xdr:row>15</xdr:row>
      <xdr:rowOff>195326</xdr:rowOff>
    </xdr:from>
    <xdr:to>
      <xdr:col>12</xdr:col>
      <xdr:colOff>428625</xdr:colOff>
      <xdr:row>16</xdr:row>
      <xdr:rowOff>0</xdr:rowOff>
    </xdr:to>
    <xdr:cxnSp fPublished="0">
      <xdr:nvCxnSpPr>
        <xdr:cNvPr id="11" name="직선 화살표 연결선 10"/>
        <xdr:cNvCxnSpPr>
          <a:endCxn id="3" idx="1"/>
        </xdr:cNvCxnSpPr>
      </xdr:nvCxnSpPr>
      <xdr:spPr>
        <a:xfrm flipV="1">
          <a:off x="18573750" y="6677025"/>
          <a:ext cx="847725" cy="28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LocksWithSheet="1" fPrintsWithSheet="1"/>
  </xdr:twoCellAnchor>
</xdr:wsDr>
</file>

<file path=xl/drawings/drawing13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>
    <xdr:from>
      <xdr:col>8</xdr:col>
      <xdr:colOff>0</xdr:colOff>
      <xdr:row>1</xdr:row>
      <xdr:rowOff>204851</xdr:rowOff>
    </xdr:from>
    <xdr:to>
      <xdr:col>9</xdr:col>
      <xdr:colOff>676275</xdr:colOff>
      <xdr:row>3</xdr:row>
      <xdr:rowOff>190500</xdr:rowOff>
    </xdr:to>
    <xdr:sp macro="서식" fLocksText="1" fPublished="0">
      <xdr:nvSpPr>
        <xdr:cNvPr id="2" name="모서리가 둥근 직사각형 1"/>
        <xdr:cNvSpPr>
          <a:spLocks noRot="1"/>
        </xdr:cNvSpPr>
      </xdr:nvSpPr>
      <xdr:spPr>
        <a:xfrm>
          <a:off x="12115800" y="1009650"/>
          <a:ext cx="2724150" cy="809625"/>
        </a:xfrm>
        <a:prstGeom prst="roundRect">
          <a:avLst>
            <a:gd name="adj" fmla="val 16667"/>
          </a:avLst>
        </a:prstGeom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p>
          <a:pPr algn="ctr" eaLnBrk="0" latinLnBrk="0"/>
          <a:r>
            <a:rPr lang="ko-KR" altLang="en-US" sz="1100">
              <a:solidFill>
                <a:srgbClr val="ffffff"/>
              </a:solidFill>
              <a:latin typeface="맑은 고딕"/>
              <a:ea typeface="맑은 고딕"/>
            </a:rPr>
            <a:t>서식</a:t>
          </a:r>
        </a:p>
      </xdr:txBody>
    </xdr:sp>
    <xdr:clientData fLocksWithSheet="1" fPrintsWithSheet="1"/>
  </xdr:twoCellAnchor>
  <xdr:twoCellAnchor>
    <xdr:from>
      <xdr:col>7</xdr:col>
      <xdr:colOff>676275</xdr:colOff>
      <xdr:row>4</xdr:row>
      <xdr:rowOff>204851</xdr:rowOff>
    </xdr:from>
    <xdr:to>
      <xdr:col>9</xdr:col>
      <xdr:colOff>681101</xdr:colOff>
      <xdr:row>7</xdr:row>
      <xdr:rowOff>4826</xdr:rowOff>
    </xdr:to>
    <xdr:sp macro="평균" fLocksText="1" fPublished="0">
      <xdr:nvSpPr>
        <xdr:cNvPr id="3" name="배지 2"/>
        <xdr:cNvSpPr>
          <a:spLocks noRot="1"/>
        </xdr:cNvSpPr>
      </xdr:nvSpPr>
      <xdr:spPr>
        <a:xfrm>
          <a:off x="12096749" y="2266950"/>
          <a:ext cx="2752725" cy="857250"/>
        </a:xfrm>
        <a:prstGeom prst="plaque">
          <a:avLst>
            <a:gd name="adj" fmla="val 16667"/>
          </a:avLst>
        </a:prstGeom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p>
          <a:pPr algn="ctr" eaLnBrk="0" latinLnBrk="0"/>
          <a:r>
            <a:rPr lang="ko-KR" altLang="en-US" sz="1100">
              <a:solidFill>
                <a:srgbClr val="ffffff"/>
              </a:solidFill>
              <a:latin typeface="맑은 고딕"/>
              <a:ea typeface="맑은 고딕"/>
            </a:rPr>
            <a:t>평균</a:t>
          </a:r>
        </a:p>
      </xdr:txBody>
    </xdr:sp>
    <xdr:clientData fLocksWithSheet="1" fPrintsWithSheet="1"/>
  </xdr:twoCellAnchor>
</xdr:wsDr>
</file>

<file path=xl/drawings/drawing14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>
    <xdr:from>
      <xdr:col>0</xdr:col>
      <xdr:colOff>0</xdr:colOff>
      <xdr:row>15</xdr:row>
      <xdr:rowOff>0</xdr:rowOff>
    </xdr:from>
    <xdr:to>
      <xdr:col>7</xdr:col>
      <xdr:colOff>0</xdr:colOff>
      <xdr:row>30</xdr:row>
      <xdr:rowOff>0</xdr:rowOff>
    </xdr:to>
    <xdr:graphicFrame fPublished="0">
      <xdr:nvGraphicFramePr>
        <xdr:cNvPr id="4" name="차트 3"/>
        <xdr:cNvGraphicFramePr/>
      </xdr:nvGraphicFramePr>
      <xdr:xfrm>
        <a:off x="0" y="6467474"/>
        <a:ext cx="10058400" cy="6286500"/>
      </xdr:xfrm>
      <a:graphic>
        <a:graphicData uri="http://schemas.openxmlformats.org/drawingml/2006/chart">
          <c:chart r:id="rId1"/>
        </a:graphicData>
      </a:graphic>
    </xdr:graphicFrame>
    <xdr:clientData fLocksWithSheet="1" fPrintsWithSheet="1"/>
  </xdr:twoCellAnchor>
</xdr:wsDr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</a:theme>
</file>

<file path=xl/worksheets/_rels/sheet4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2.xml"  /></Relationships>
</file>

<file path=xl/worksheets/_rels/sheet8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3.xml"  /></Relationships>
</file>

<file path=xl/worksheets/_rels/sheet9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4.x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A1:F10"/>
  <x:sheetViews>
    <x:sheetView topLeftCell="A1" zoomScaleNormal="100" zoomScaleSheetLayoutView="75" workbookViewId="0">
      <x:selection activeCell="H15" activeCellId="0" sqref="H15:H15"/>
    </x:sheetView>
  </x:sheetViews>
  <x:sheetFormatPr defaultColWidth="9" defaultRowHeight="16.39999999999999857891"/>
  <x:cols>
    <x:col min="2" max="2" width="15.875" bestFit="1" customWidth="1"/>
    <x:col min="3" max="3" width="11.125" bestFit="1" customWidth="1"/>
    <x:col min="4" max="4" width="16" bestFit="1" customWidth="1"/>
    <x:col min="6" max="6" width="13.125" bestFit="1" customWidth="1"/>
  </x:cols>
  <x:sheetData>
    <x:row r="1" spans="1:1">
      <x:c r="A1" t="s">
        <x:v>256</x:v>
      </x:c>
    </x:row>
    <x:row r="3" spans="1:6">
      <x:c r="A3" s="1"/>
      <x:c r="B3" s="1"/>
      <x:c r="C3" s="1"/>
      <x:c r="E3" s="1"/>
      <x:c r="F3" s="1"/>
    </x:row>
    <x:row r="4" spans="1:6">
      <x:c r="A4" s="1"/>
      <x:c r="B4" s="1"/>
      <x:c r="C4" s="2"/>
      <x:c r="E4" s="1"/>
      <x:c r="F4" s="3"/>
    </x:row>
    <x:row r="5" spans="1:6">
      <x:c r="A5" s="1"/>
      <x:c r="B5" s="1"/>
      <x:c r="C5" s="2"/>
      <x:c r="E5" s="1"/>
      <x:c r="F5" s="3"/>
    </x:row>
    <x:row r="6" spans="1:6">
      <x:c r="A6" s="1"/>
      <x:c r="B6" s="1"/>
      <x:c r="C6" s="2"/>
      <x:c r="E6" s="1"/>
      <x:c r="F6" s="3"/>
    </x:row>
    <x:row r="7" spans="1:6">
      <x:c r="A7" s="1"/>
      <x:c r="B7" s="1"/>
      <x:c r="C7" s="2"/>
      <x:c r="E7" s="1"/>
      <x:c r="F7" s="3"/>
    </x:row>
    <x:row r="8" spans="1:6">
      <x:c r="A8" s="1"/>
      <x:c r="B8" s="1"/>
      <x:c r="C8" s="2"/>
      <x:c r="E8" s="1"/>
      <x:c r="F8" s="3"/>
    </x:row>
    <x:row r="9" spans="1:6">
      <x:c r="A9" s="1"/>
      <x:c r="B9" s="1"/>
      <x:c r="C9" s="2"/>
      <x:c r="E9" s="1"/>
      <x:c r="F9" s="3"/>
    </x:row>
    <x:row r="10" spans="1:6">
      <x:c r="A10" s="1"/>
      <x:c r="B10" s="1"/>
      <x:c r="C10" s="2"/>
      <x:c r="E10" s="1"/>
      <x:c r="F10" s="3"/>
    </x:row>
  </x:sheetData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/>
  <x:dimension ref="A1:H16"/>
  <x:sheetViews>
    <x:sheetView topLeftCell="A1" zoomScaleNormal="100" zoomScaleSheetLayoutView="75" workbookViewId="0">
      <x:selection activeCell="A1" activeCellId="0" sqref="A1:H1"/>
    </x:sheetView>
  </x:sheetViews>
  <x:sheetFormatPr defaultColWidth="9" defaultRowHeight="16.39999999999999857891"/>
  <x:cols>
    <x:col min="1" max="1" width="11" customWidth="1"/>
    <x:col min="2" max="2" width="9.75" bestFit="1" customWidth="1"/>
    <x:col min="5" max="5" width="9" customWidth="1"/>
    <x:col min="6" max="7" width="13.5" customWidth="1"/>
    <x:col min="8" max="8" width="17.125" customWidth="1"/>
  </x:cols>
  <x:sheetData>
    <x:row r="1" spans="1:8" ht="15" customHeight="1">
      <x:c r="A1" s="41" t="s">
        <x:v>255</x:v>
      </x:c>
      <x:c r="B1" s="41"/>
      <x:c r="C1" s="41"/>
      <x:c r="D1" s="41"/>
      <x:c r="E1" s="41"/>
      <x:c r="F1" s="41"/>
      <x:c r="G1" s="41"/>
      <x:c r="H1" s="41"/>
    </x:row>
    <x:row r="2" ht="12.40000000000000035527" customHeight="1"/>
    <x:row r="3" spans="7:8">
      <x:c r="G3" s="32" t="s">
        <x:v>209</x:v>
      </x:c>
      <x:c r="H3" s="42">
        <x:v>43756</x:v>
      </x:c>
    </x:row>
    <x:row r="4" spans="1:8" ht="16.5" customHeight="1">
      <x:c r="A4" s="46" t="s">
        <x:v>23</x:v>
      </x:c>
      <x:c r="B4" s="47" t="s">
        <x:v>24</x:v>
      </x:c>
      <x:c r="C4" s="47" t="s">
        <x:v>22</x:v>
      </x:c>
      <x:c r="D4" s="47"/>
      <x:c r="E4" s="47"/>
      <x:c r="F4" s="47" t="s">
        <x:v>29</x:v>
      </x:c>
      <x:c r="G4" s="47" t="s">
        <x:v>166</x:v>
      </x:c>
      <x:c r="H4" s="48" t="s">
        <x:v>42</x:v>
      </x:c>
    </x:row>
    <x:row r="5" spans="1:8" ht="16.5" customHeight="1">
      <x:c r="A5" s="49"/>
      <x:c r="B5" s="43"/>
      <x:c r="C5" s="4" t="s">
        <x:v>43</x:v>
      </x:c>
      <x:c r="D5" s="4" t="s">
        <x:v>44</x:v>
      </x:c>
      <x:c r="E5" s="4" t="s">
        <x:v>49</x:v>
      </x:c>
      <x:c r="F5" s="43"/>
      <x:c r="G5" s="43"/>
      <x:c r="H5" s="50"/>
    </x:row>
    <x:row r="6" spans="1:8" ht="16.5" customHeight="1">
      <x:c r="A6" s="51" t="s">
        <x:v>167</x:v>
      </x:c>
      <x:c r="B6" s="44">
        <x:v>65000</x:v>
      </x:c>
      <x:c r="C6" s="45">
        <x:v>999</x:v>
      </x:c>
      <x:c r="D6" s="45">
        <x:v>1001</x:v>
      </x:c>
      <x:c r="E6" s="45">
        <x:v>1122</x:v>
      </x:c>
      <x:c r="F6" s="44">
        <x:f>B6*(C6+D6+E6)*10%</x:f>
        <x:v>20293000</x:v>
      </x:c>
      <x:c r="G6" s="44">
        <x:f>B6*(C6+D6+E6)*36%</x:f>
        <x:v>73054800</x:v>
      </x:c>
      <x:c r="H6" s="52">
        <x:f>B6*(C6+D6+E6)-F6-G6</x:f>
        <x:v>109582200</x:v>
      </x:c>
    </x:row>
    <x:row r="7" spans="1:8" ht="16.5" customHeight="1">
      <x:c r="A7" s="51" t="s">
        <x:v>168</x:v>
      </x:c>
      <x:c r="B7" s="44">
        <x:v>32000</x:v>
      </x:c>
      <x:c r="C7" s="45">
        <x:v>1251</x:v>
      </x:c>
      <x:c r="D7" s="45">
        <x:v>1322</x:v>
      </x:c>
      <x:c r="E7" s="45">
        <x:v>1299</x:v>
      </x:c>
      <x:c r="F7" s="44">
        <x:f t="shared" ref="F7:F16" si="0">B7*(C7+D7+E7)*10%</x:f>
        <x:v>12390400</x:v>
      </x:c>
      <x:c r="G7" s="44">
        <x:f t="shared" ref="G7:G16" si="1">B7*(C7+D7+E7)*36%</x:f>
        <x:v>44605440</x:v>
      </x:c>
      <x:c r="H7" s="52">
        <x:f t="shared" ref="H7:H16" si="2">B7*(C7+D7+E7)-F7-G7</x:f>
        <x:v>66908160</x:v>
      </x:c>
    </x:row>
    <x:row r="8" spans="1:8" ht="16.5" customHeight="1">
      <x:c r="A8" s="51" t="s">
        <x:v>187</x:v>
      </x:c>
      <x:c r="B8" s="44">
        <x:v>40000</x:v>
      </x:c>
      <x:c r="C8" s="45">
        <x:v>1182</x:v>
      </x:c>
      <x:c r="D8" s="45">
        <x:v>1099</x:v>
      </x:c>
      <x:c r="E8" s="45">
        <x:v>1187</x:v>
      </x:c>
      <x:c r="F8" s="44">
        <x:f t="shared" si="0"/>
        <x:v>13872000</x:v>
      </x:c>
      <x:c r="G8" s="44">
        <x:f t="shared" si="1"/>
        <x:v>49939200</x:v>
      </x:c>
      <x:c r="H8" s="52">
        <x:f t="shared" si="2"/>
        <x:v>74908800</x:v>
      </x:c>
    </x:row>
    <x:row r="9" spans="1:8">
      <x:c r="A9" s="51" t="s">
        <x:v>192</x:v>
      </x:c>
      <x:c r="B9" s="44">
        <x:v>20000</x:v>
      </x:c>
      <x:c r="C9" s="45">
        <x:v>2025</x:v>
      </x:c>
      <x:c r="D9" s="45">
        <x:v>2110</x:v>
      </x:c>
      <x:c r="E9" s="45">
        <x:v>2344</x:v>
      </x:c>
      <x:c r="F9" s="44">
        <x:f t="shared" si="0"/>
        <x:v>12958000</x:v>
      </x:c>
      <x:c r="G9" s="44">
        <x:f t="shared" si="1"/>
        <x:v>46648800</x:v>
      </x:c>
      <x:c r="H9" s="52">
        <x:f t="shared" si="2"/>
        <x:v>69973200</x:v>
      </x:c>
    </x:row>
    <x:row r="10" spans="1:8">
      <x:c r="A10" s="51" t="s">
        <x:v>177</x:v>
      </x:c>
      <x:c r="B10" s="44">
        <x:v>30000</x:v>
      </x:c>
      <x:c r="C10" s="45">
        <x:v>1300</x:v>
      </x:c>
      <x:c r="D10" s="45">
        <x:v>1328</x:v>
      </x:c>
      <x:c r="E10" s="45">
        <x:v>1257</x:v>
      </x:c>
      <x:c r="F10" s="44">
        <x:f t="shared" si="0"/>
        <x:v>11655000</x:v>
      </x:c>
      <x:c r="G10" s="44">
        <x:f t="shared" si="1"/>
        <x:v>41958000</x:v>
      </x:c>
      <x:c r="H10" s="52">
        <x:f t="shared" si="2"/>
        <x:v>62937000</x:v>
      </x:c>
    </x:row>
    <x:row r="11" spans="1:8">
      <x:c r="A11" s="51" t="s">
        <x:v>175</x:v>
      </x:c>
      <x:c r="B11" s="44">
        <x:v>75000</x:v>
      </x:c>
      <x:c r="C11" s="45">
        <x:v>1274</x:v>
      </x:c>
      <x:c r="D11" s="45">
        <x:v>1332</x:v>
      </x:c>
      <x:c r="E11" s="45">
        <x:v>1284</x:v>
      </x:c>
      <x:c r="F11" s="44">
        <x:f t="shared" si="0"/>
        <x:v>29175000</x:v>
      </x:c>
      <x:c r="G11" s="44">
        <x:f t="shared" si="1"/>
        <x:v>105030000</x:v>
      </x:c>
      <x:c r="H11" s="52">
        <x:f t="shared" si="2"/>
        <x:v>157545000</x:v>
      </x:c>
    </x:row>
    <x:row r="12" spans="1:8">
      <x:c r="A12" s="51" t="s">
        <x:v>188</x:v>
      </x:c>
      <x:c r="B12" s="44">
        <x:v>55000</x:v>
      </x:c>
      <x:c r="C12" s="45">
        <x:v>1080</x:v>
      </x:c>
      <x:c r="D12" s="45">
        <x:v>1187</x:v>
      </x:c>
      <x:c r="E12" s="45">
        <x:v>1177</x:v>
      </x:c>
      <x:c r="F12" s="44">
        <x:f t="shared" si="0"/>
        <x:v>18942000</x:v>
      </x:c>
      <x:c r="G12" s="44">
        <x:f t="shared" si="1"/>
        <x:v>68191200</x:v>
      </x:c>
      <x:c r="H12" s="52">
        <x:f t="shared" si="2"/>
        <x:v>102286800</x:v>
      </x:c>
    </x:row>
    <x:row r="13" spans="1:8">
      <x:c r="A13" s="51" t="s">
        <x:v>191</x:v>
      </x:c>
      <x:c r="B13" s="44">
        <x:v>45000</x:v>
      </x:c>
      <x:c r="C13" s="45">
        <x:v>1374</x:v>
      </x:c>
      <x:c r="D13" s="45">
        <x:v>1268</x:v>
      </x:c>
      <x:c r="E13" s="45">
        <x:v>1292</x:v>
      </x:c>
      <x:c r="F13" s="44">
        <x:f t="shared" si="0"/>
        <x:v>17703000</x:v>
      </x:c>
      <x:c r="G13" s="44">
        <x:f t="shared" si="1"/>
        <x:v>63730800</x:v>
      </x:c>
      <x:c r="H13" s="52">
        <x:f t="shared" si="2"/>
        <x:v>95596200</x:v>
      </x:c>
    </x:row>
    <x:row r="14" spans="1:8">
      <x:c r="A14" s="51" t="s">
        <x:v>198</x:v>
      </x:c>
      <x:c r="B14" s="44">
        <x:v>20000</x:v>
      </x:c>
      <x:c r="C14" s="45">
        <x:v>2203</x:v>
      </x:c>
      <x:c r="D14" s="45">
        <x:v>2349</x:v>
      </x:c>
      <x:c r="E14" s="45">
        <x:v>2311</x:v>
      </x:c>
      <x:c r="F14" s="44">
        <x:f t="shared" si="0"/>
        <x:v>13726000</x:v>
      </x:c>
      <x:c r="G14" s="44">
        <x:f t="shared" si="1"/>
        <x:v>49413600</x:v>
      </x:c>
      <x:c r="H14" s="52">
        <x:f t="shared" si="2"/>
        <x:v>74120400</x:v>
      </x:c>
    </x:row>
    <x:row r="15" spans="1:8">
      <x:c r="A15" s="51" t="s">
        <x:v>184</x:v>
      </x:c>
      <x:c r="B15" s="44">
        <x:v>62000</x:v>
      </x:c>
      <x:c r="C15" s="45">
        <x:v>971</x:v>
      </x:c>
      <x:c r="D15" s="45">
        <x:v>1127</x:v>
      </x:c>
      <x:c r="E15" s="45">
        <x:v>1186</x:v>
      </x:c>
      <x:c r="F15" s="44">
        <x:f t="shared" si="0"/>
        <x:v>20360800</x:v>
      </x:c>
      <x:c r="G15" s="44">
        <x:f t="shared" si="1"/>
        <x:v>73298880</x:v>
      </x:c>
      <x:c r="H15" s="52">
        <x:f t="shared" si="2"/>
        <x:v>109948320</x:v>
      </x:c>
    </x:row>
    <x:row r="16" spans="1:8">
      <x:c r="A16" s="53" t="s">
        <x:v>189</x:v>
      </x:c>
      <x:c r="B16" s="54">
        <x:v>78000</x:v>
      </x:c>
      <x:c r="C16" s="55">
        <x:v>887</x:v>
      </x:c>
      <x:c r="D16" s="55">
        <x:v>869</x:v>
      </x:c>
      <x:c r="E16" s="55">
        <x:v>1103</x:v>
      </x:c>
      <x:c r="F16" s="54">
        <x:f t="shared" si="0"/>
        <x:v>22300200</x:v>
      </x:c>
      <x:c r="G16" s="54">
        <x:f t="shared" si="1"/>
        <x:v>80280720</x:v>
      </x:c>
      <x:c r="H16" s="56">
        <x:f t="shared" si="2"/>
        <x:v>120421080</x:v>
      </x:c>
    </x:row>
  </x:sheetData>
  <x:mergeCells count="7">
    <x:mergeCell ref="A1:H1"/>
    <x:mergeCell ref="H4:H5"/>
    <x:mergeCell ref="G4:G5"/>
    <x:mergeCell ref="F4:F5"/>
    <x:mergeCell ref="C4:E4"/>
    <x:mergeCell ref="B4:B5"/>
    <x:mergeCell ref="A4:A5"/>
  </x:mergeCells>
  <x:pageMargins left="0.69999998807907104492" right="0.69999998807907104492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0" copies="1"/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3"/>
  <x:dimension ref="A1:H12"/>
  <x:sheetViews>
    <x:sheetView topLeftCell="A1" zoomScaleNormal="100" zoomScaleSheetLayoutView="75" workbookViewId="0">
      <x:selection activeCell="I2" activeCellId="0" sqref="I2:I2"/>
    </x:sheetView>
  </x:sheetViews>
  <x:sheetFormatPr defaultColWidth="9" defaultRowHeight="16.39999999999999857891"/>
  <x:cols>
    <x:col min="4" max="4" width="13" bestFit="1" customWidth="1"/>
    <x:col min="5" max="6" width="11" bestFit="1" customWidth="1"/>
  </x:cols>
  <x:sheetData>
    <x:row r="1" spans="1:8" ht="23.5">
      <x:c r="A1" s="35" t="s">
        <x:v>257</x:v>
      </x:c>
      <x:c r="B1" s="35"/>
      <x:c r="C1" s="35"/>
      <x:c r="D1" s="35"/>
      <x:c r="E1" s="35"/>
      <x:c r="F1" s="35"/>
      <x:c r="G1" s="35"/>
      <x:c r="H1" s="35"/>
    </x:row>
    <x:row r="3" spans="1:8">
      <x:c r="A3" s="4" t="s">
        <x:v>244</x:v>
      </x:c>
      <x:c r="B3" s="4" t="s">
        <x:v>33</x:v>
      </x:c>
      <x:c r="C3" s="4" t="s">
        <x:v>194</x:v>
      </x:c>
      <x:c r="D3" s="4" t="s">
        <x:v>176</x:v>
      </x:c>
      <x:c r="E3" s="4" t="s">
        <x:v>193</x:v>
      </x:c>
      <x:c r="F3" s="4" t="s">
        <x:v>180</x:v>
      </x:c>
      <x:c r="G3" s="4" t="s">
        <x:v>48</x:v>
      </x:c>
      <x:c r="H3" s="4" t="s">
        <x:v>26</x:v>
      </x:c>
    </x:row>
    <x:row r="4" spans="1:8">
      <x:c r="A4" s="4" t="s">
        <x:v>19</x:v>
      </x:c>
      <x:c r="B4" s="4" t="s">
        <x:v>53</x:v>
      </x:c>
      <x:c r="C4" s="4">
        <x:v>92</x:v>
      </x:c>
      <x:c r="D4" s="4">
        <x:v>88</x:v>
      </x:c>
      <x:c r="E4" s="4">
        <x:v>87</x:v>
      </x:c>
      <x:c r="F4" s="4">
        <x:v>96</x:v>
      </x:c>
      <x:c r="G4" s="4">
        <x:f>SUM(C4:F4)</x:f>
        <x:v>363</x:v>
      </x:c>
      <x:c r="H4" s="4">
        <x:f>AVERAGE(C4:F4)</x:f>
        <x:v>90.75</x:v>
      </x:c>
    </x:row>
    <x:row r="5" spans="1:8">
      <x:c r="A5" s="4" t="s">
        <x:v>20</x:v>
      </x:c>
      <x:c r="B5" s="4" t="s">
        <x:v>45</x:v>
      </x:c>
      <x:c r="C5" s="4">
        <x:v>96</x:v>
      </x:c>
      <x:c r="D5" s="4">
        <x:v>77</x:v>
      </x:c>
      <x:c r="E5" s="4">
        <x:v>45</x:v>
      </x:c>
      <x:c r="F5" s="4">
        <x:v>98</x:v>
      </x:c>
      <x:c r="G5" s="4">
        <x:f t="shared" ref="G5:G12" si="0">SUM(C5:F5)</x:f>
        <x:v>316</x:v>
      </x:c>
      <x:c r="H5" s="4">
        <x:f t="shared" ref="H5:H12" si="1">AVERAGE(C5:F5)</x:f>
        <x:v>79</x:v>
      </x:c>
    </x:row>
    <x:row r="6" spans="1:8">
      <x:c r="A6" s="4" t="s">
        <x:v>19</x:v>
      </x:c>
      <x:c r="B6" s="4" t="s">
        <x:v>46</x:v>
      </x:c>
      <x:c r="C6" s="4">
        <x:v>84</x:v>
      </x:c>
      <x:c r="D6" s="4">
        <x:v>96</x:v>
      </x:c>
      <x:c r="E6" s="4">
        <x:v>87</x:v>
      </x:c>
      <x:c r="F6" s="4">
        <x:v>86</x:v>
      </x:c>
      <x:c r="G6" s="4">
        <x:f t="shared" si="0"/>
        <x:v>353</x:v>
      </x:c>
      <x:c r="H6" s="4">
        <x:f t="shared" si="1"/>
        <x:v>88.25</x:v>
      </x:c>
    </x:row>
    <x:row r="7" spans="1:8">
      <x:c r="A7" s="4" t="s">
        <x:v>20</x:v>
      </x:c>
      <x:c r="B7" s="4" t="s">
        <x:v>34</x:v>
      </x:c>
      <x:c r="C7" s="4">
        <x:v>98</x:v>
      </x:c>
      <x:c r="D7" s="4">
        <x:v>94</x:v>
      </x:c>
      <x:c r="E7" s="4">
        <x:v>100</x:v>
      </x:c>
      <x:c r="F7" s="4">
        <x:v>97</x:v>
      </x:c>
      <x:c r="G7" s="4">
        <x:f t="shared" si="0"/>
        <x:v>389</x:v>
      </x:c>
      <x:c r="H7" s="4">
        <x:f t="shared" si="1"/>
        <x:v>97.25</x:v>
      </x:c>
    </x:row>
    <x:row r="8" spans="1:8">
      <x:c r="A8" s="4" t="s">
        <x:v>242</x:v>
      </x:c>
      <x:c r="B8" s="4" t="s">
        <x:v>47</x:v>
      </x:c>
      <x:c r="C8" s="4">
        <x:v>74</x:v>
      </x:c>
      <x:c r="D8" s="4">
        <x:v>98</x:v>
      </x:c>
      <x:c r="E8" s="4">
        <x:v>66</x:v>
      </x:c>
      <x:c r="F8" s="4">
        <x:v>68</x:v>
      </x:c>
      <x:c r="G8" s="4">
        <x:f t="shared" si="0"/>
        <x:v>306</x:v>
      </x:c>
      <x:c r="H8" s="4">
        <x:f t="shared" si="1"/>
        <x:v>76.5</x:v>
      </x:c>
    </x:row>
    <x:row r="9" spans="1:8">
      <x:c r="A9" s="4" t="s">
        <x:v>19</x:v>
      </x:c>
      <x:c r="B9" s="4" t="s">
        <x:v>50</x:v>
      </x:c>
      <x:c r="C9" s="4">
        <x:v>58</x:v>
      </x:c>
      <x:c r="D9" s="4">
        <x:v>67</x:v>
      </x:c>
      <x:c r="E9" s="4">
        <x:v>59</x:v>
      </x:c>
      <x:c r="F9" s="4">
        <x:v>78</x:v>
      </x:c>
      <x:c r="G9" s="4">
        <x:f t="shared" si="0"/>
        <x:v>262</x:v>
      </x:c>
      <x:c r="H9" s="4">
        <x:f t="shared" si="1"/>
        <x:v>65.5</x:v>
      </x:c>
    </x:row>
    <x:row r="10" spans="1:8">
      <x:c r="A10" s="4" t="s">
        <x:v>242</x:v>
      </x:c>
      <x:c r="B10" s="4" t="s">
        <x:v>51</x:v>
      </x:c>
      <x:c r="C10" s="4">
        <x:v>80</x:v>
      </x:c>
      <x:c r="D10" s="4">
        <x:v>89</x:v>
      </x:c>
      <x:c r="E10" s="4">
        <x:v>92</x:v>
      </x:c>
      <x:c r="F10" s="4">
        <x:v>88</x:v>
      </x:c>
      <x:c r="G10" s="4">
        <x:f t="shared" si="0"/>
        <x:v>349</x:v>
      </x:c>
      <x:c r="H10" s="4">
        <x:f t="shared" si="1"/>
        <x:v>87.25</x:v>
      </x:c>
    </x:row>
    <x:row r="11" spans="1:8">
      <x:c r="A11" s="4" t="s">
        <x:v>19</x:v>
      </x:c>
      <x:c r="B11" s="4" t="s">
        <x:v>25</x:v>
      </x:c>
      <x:c r="C11" s="4">
        <x:v>98</x:v>
      </x:c>
      <x:c r="D11" s="4">
        <x:v>80</x:v>
      </x:c>
      <x:c r="E11" s="4">
        <x:v>78</x:v>
      </x:c>
      <x:c r="F11" s="4">
        <x:v>97</x:v>
      </x:c>
      <x:c r="G11" s="4">
        <x:f t="shared" si="0"/>
        <x:v>353</x:v>
      </x:c>
      <x:c r="H11" s="4">
        <x:f t="shared" si="1"/>
        <x:v>88.25</x:v>
      </x:c>
    </x:row>
    <x:row r="12" spans="1:8">
      <x:c r="A12" s="4" t="s">
        <x:v>19</x:v>
      </x:c>
      <x:c r="B12" s="4" t="s">
        <x:v>40</x:v>
      </x:c>
      <x:c r="C12" s="4">
        <x:v>74</x:v>
      </x:c>
      <x:c r="D12" s="4">
        <x:v>68</x:v>
      </x:c>
      <x:c r="E12" s="4">
        <x:v>89</x:v>
      </x:c>
      <x:c r="F12" s="4">
        <x:v>54</x:v>
      </x:c>
      <x:c r="G12" s="4">
        <x:f t="shared" si="0"/>
        <x:v>285</x:v>
      </x:c>
      <x:c r="H12" s="4">
        <x:f t="shared" si="1"/>
        <x:v>71.25</x:v>
      </x:c>
    </x:row>
  </x:sheetData>
  <x:mergeCells count="1">
    <x:mergeCell ref="A1:H1"/>
  </x:mergeCells>
  <x:conditionalFormatting sqref="A4:H12">
    <x:cfRule type="expression" dxfId="0" priority="1">
      <x:formula>$A4&lt;&gt;"A반"</x:formula>
    </x:cfRule>
  </x:conditionalFormatting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/>
  <x:dimension ref="A1:L35"/>
  <x:sheetViews>
    <x:sheetView topLeftCell="A16" zoomScaleNormal="100" zoomScaleSheetLayoutView="75" workbookViewId="0">
      <x:selection activeCell="F24" activeCellId="0" sqref="F24:F24"/>
    </x:sheetView>
  </x:sheetViews>
  <x:sheetFormatPr defaultColWidth="9" defaultRowHeight="16.39999999999999857891"/>
  <x:cols>
    <x:col min="1" max="2" width="9" style="9"/>
    <x:col min="3" max="3" width="9" style="9" customWidth="1"/>
    <x:col min="4" max="4" width="15.875" style="9" bestFit="1" customWidth="1"/>
    <x:col min="5" max="5" width="12.625" style="9" customWidth="1"/>
    <x:col min="6" max="8" width="9" style="9"/>
    <x:col min="9" max="9" width="8.25" style="9" bestFit="1" customWidth="1"/>
    <x:col min="10" max="10" width="12" style="9" bestFit="1" customWidth="1"/>
    <x:col min="11" max="11" width="10.0625" style="9" bestFit="1" customWidth="1"/>
    <x:col min="12" max="16384" width="9" style="9"/>
  </x:cols>
  <x:sheetData>
    <x:row r="1" spans="1:8">
      <x:c r="A1" s="5" t="s">
        <x:v>214</x:v>
      </x:c>
      <x:c r="B1" s="6" t="s">
        <x:v>249</x:v>
      </x:c>
      <x:c r="C1" s="7"/>
      <x:c r="D1" s="8"/>
      <x:c r="G1" s="5" t="s">
        <x:v>185</x:v>
      </x:c>
      <x:c r="H1" s="6" t="s">
        <x:v>205</x:v>
      </x:c>
    </x:row>
    <x:row r="2" spans="1:10">
      <x:c r="A2" s="10" t="s">
        <x:v>173</x:v>
      </x:c>
      <x:c r="B2" s="10" t="s">
        <x:v>33</x:v>
      </x:c>
      <x:c r="C2" s="10" t="s">
        <x:v>36</x:v>
      </x:c>
      <x:c r="D2" s="10" t="s">
        <x:v>216</x:v>
      </x:c>
      <x:c r="E2" s="11" t="s">
        <x:v>204</x:v>
      </x:c>
      <x:c r="G2" s="12" t="s">
        <x:v>33</x:v>
      </x:c>
      <x:c r="H2" s="12" t="s">
        <x:v>246</x:v>
      </x:c>
      <x:c r="I2" s="12" t="s">
        <x:v>247</x:v>
      </x:c>
      <x:c r="J2" s="12" t="s">
        <x:v>245</x:v>
      </x:c>
    </x:row>
    <x:row r="3" spans="1:10">
      <x:c r="A3" s="13" t="s">
        <x:v>170</x:v>
      </x:c>
      <x:c r="B3" s="13" t="s">
        <x:v>27</x:v>
      </x:c>
      <x:c r="C3" s="13" t="s">
        <x:v>37</x:v>
      </x:c>
      <x:c r="D3" s="33">
        <x:v>43467</x:v>
      </x:c>
      <x:c r="E3" s="14" t="str">
        <x:f>IF(OR(WEEKDAY(D3,1)=1,WEEKDAY(D3,1)=7),"휴일접수","평일접수")</x:f>
        <x:v>평일접수</x:v>
      </x:c>
      <x:c r="G3" s="12" t="s">
        <x:v>28</x:v>
      </x:c>
      <x:c r="H3" s="12">
        <x:v>65</x:v>
      </x:c>
      <x:c r="I3" s="12">
        <x:v>176</x:v>
      </x:c>
      <x:c r="J3" s="15" t="str">
        <x:f>IF(H3/POWER(I3/100,2)&lt;18,"저체중",IF(H3/POWER(I3/100,2)&lt;25,"정상","비만"))</x:f>
        <x:v>정상</x:v>
      </x:c>
    </x:row>
    <x:row r="4" spans="1:10">
      <x:c r="A4" s="13" t="s">
        <x:v>195</x:v>
      </x:c>
      <x:c r="B4" s="13" t="s">
        <x:v>32</x:v>
      </x:c>
      <x:c r="C4" s="13" t="s">
        <x:v>35</x:v>
      </x:c>
      <x:c r="D4" s="33">
        <x:v>43471</x:v>
      </x:c>
      <x:c r="E4" s="14" t="str">
        <x:f t="shared" ref="E4:E10" si="0">IF(OR(WEEKDAY(D4,1)=1,WEEKDAY(D4,1)=7),"휴일접수","평일접수")</x:f>
        <x:v>휴일접수</x:v>
      </x:c>
      <x:c r="G4" s="12" t="s">
        <x:v>38</x:v>
      </x:c>
      <x:c r="H4" s="12">
        <x:v>73</x:v>
      </x:c>
      <x:c r="I4" s="12">
        <x:v>193</x:v>
      </x:c>
      <x:c r="J4" s="15" t="str">
        <x:f t="shared" ref="J4:J10" si="1">IF(H4/POWER(I4/100,2)&lt;18,"저체중",IF(H4/POWER(I4/100,2)&lt;25,"정상","비만"))</x:f>
        <x:v>정상</x:v>
      </x:c>
    </x:row>
    <x:row r="5" spans="1:10">
      <x:c r="A5" s="13" t="s">
        <x:v>199</x:v>
      </x:c>
      <x:c r="B5" s="13" t="s">
        <x:v>81</x:v>
      </x:c>
      <x:c r="C5" s="13" t="s">
        <x:v>35</x:v>
      </x:c>
      <x:c r="D5" s="33">
        <x:v>43472</x:v>
      </x:c>
      <x:c r="E5" s="14" t="str">
        <x:f t="shared" si="0"/>
        <x:v>평일접수</x:v>
      </x:c>
      <x:c r="G5" s="12" t="s">
        <x:v>55</x:v>
      </x:c>
      <x:c r="H5" s="12">
        <x:v>58</x:v>
      </x:c>
      <x:c r="I5" s="12">
        <x:v>165</x:v>
      </x:c>
      <x:c r="J5" s="15" t="str">
        <x:f t="shared" si="1"/>
        <x:v>정상</x:v>
      </x:c>
    </x:row>
    <x:row r="6" spans="1:10">
      <x:c r="A6" s="10" t="s">
        <x:v>190</x:v>
      </x:c>
      <x:c r="B6" s="13" t="s">
        <x:v>80</x:v>
      </x:c>
      <x:c r="C6" s="13" t="s">
        <x:v>37</x:v>
      </x:c>
      <x:c r="D6" s="33">
        <x:v>43473</x:v>
      </x:c>
      <x:c r="E6" s="14" t="str">
        <x:f t="shared" si="0"/>
        <x:v>평일접수</x:v>
      </x:c>
      <x:c r="G6" s="12" t="s">
        <x:v>58</x:v>
      </x:c>
      <x:c r="H6" s="12">
        <x:v>40</x:v>
      </x:c>
      <x:c r="I6" s="12">
        <x:v>171</x:v>
      </x:c>
      <x:c r="J6" s="15" t="str">
        <x:f t="shared" si="1"/>
        <x:v>저체중</x:v>
      </x:c>
    </x:row>
    <x:row r="7" spans="1:10">
      <x:c r="A7" s="13" t="s">
        <x:v>181</x:v>
      </x:c>
      <x:c r="B7" s="13" t="s">
        <x:v>77</x:v>
      </x:c>
      <x:c r="C7" s="13" t="s">
        <x:v>37</x:v>
      </x:c>
      <x:c r="D7" s="33">
        <x:v>43478</x:v>
      </x:c>
      <x:c r="E7" s="14" t="str">
        <x:f t="shared" si="0"/>
        <x:v>휴일접수</x:v>
      </x:c>
      <x:c r="G7" s="12" t="s">
        <x:v>85</x:v>
      </x:c>
      <x:c r="H7" s="12">
        <x:v>83</x:v>
      </x:c>
      <x:c r="I7" s="12">
        <x:v>162</x:v>
      </x:c>
      <x:c r="J7" s="15" t="str">
        <x:f t="shared" si="1"/>
        <x:v>비만</x:v>
      </x:c>
    </x:row>
    <x:row r="8" spans="1:10">
      <x:c r="A8" s="13" t="s">
        <x:v>186</x:v>
      </x:c>
      <x:c r="B8" s="13" t="s">
        <x:v>76</x:v>
      </x:c>
      <x:c r="C8" s="13" t="s">
        <x:v>37</x:v>
      </x:c>
      <x:c r="D8" s="33">
        <x:v>43483</x:v>
      </x:c>
      <x:c r="E8" s="14" t="str">
        <x:f t="shared" si="0"/>
        <x:v>평일접수</x:v>
      </x:c>
      <x:c r="G8" s="12" t="s">
        <x:v>67</x:v>
      </x:c>
      <x:c r="H8" s="12">
        <x:v>66</x:v>
      </x:c>
      <x:c r="I8" s="12">
        <x:v>179</x:v>
      </x:c>
      <x:c r="J8" s="15" t="str">
        <x:f t="shared" si="1"/>
        <x:v>정상</x:v>
      </x:c>
    </x:row>
    <x:row r="9" spans="1:10">
      <x:c r="A9" s="12" t="s">
        <x:v>174</x:v>
      </x:c>
      <x:c r="B9" s="12" t="s">
        <x:v>62</x:v>
      </x:c>
      <x:c r="C9" s="12" t="s">
        <x:v>35</x:v>
      </x:c>
      <x:c r="D9" s="34">
        <x:v>43484</x:v>
      </x:c>
      <x:c r="E9" s="14" t="str">
        <x:f t="shared" si="0"/>
        <x:v>휴일접수</x:v>
      </x:c>
      <x:c r="G9" s="12" t="s">
        <x:v>59</x:v>
      </x:c>
      <x:c r="H9" s="12">
        <x:v>74</x:v>
      </x:c>
      <x:c r="I9" s="12">
        <x:v>185</x:v>
      </x:c>
      <x:c r="J9" s="15" t="str">
        <x:f t="shared" si="1"/>
        <x:v>정상</x:v>
      </x:c>
    </x:row>
    <x:row r="10" spans="1:10">
      <x:c r="A10" s="12" t="s">
        <x:v>197</x:v>
      </x:c>
      <x:c r="B10" s="12" t="s">
        <x:v>72</x:v>
      </x:c>
      <x:c r="C10" s="12" t="s">
        <x:v>37</x:v>
      </x:c>
      <x:c r="D10" s="34">
        <x:v>43485</x:v>
      </x:c>
      <x:c r="E10" s="14" t="str">
        <x:f t="shared" si="0"/>
        <x:v>휴일접수</x:v>
      </x:c>
      <x:c r="G10" s="12" t="s">
        <x:v>60</x:v>
      </x:c>
      <x:c r="H10" s="12">
        <x:v>89</x:v>
      </x:c>
      <x:c r="I10" s="12">
        <x:v>172</x:v>
      </x:c>
      <x:c r="J10" s="15" t="str">
        <x:f t="shared" si="1"/>
        <x:v>비만</x:v>
      </x:c>
    </x:row>
    <x:row r="12" spans="1:8">
      <x:c r="A12" s="5" t="s">
        <x:v>196</x:v>
      </x:c>
      <x:c r="B12" s="6" t="s">
        <x:v>218</x:v>
      </x:c>
      <x:c r="G12" s="5" t="s">
        <x:v>171</x:v>
      </x:c>
      <x:c r="H12" s="6" t="s">
        <x:v>250</x:v>
      </x:c>
    </x:row>
    <x:row r="13" spans="1:12">
      <x:c r="A13" s="12" t="s">
        <x:v>210</x:v>
      </x:c>
      <x:c r="B13" s="12" t="s">
        <x:v>36</x:v>
      </x:c>
      <x:c r="C13" s="12" t="s">
        <x:v>41</x:v>
      </x:c>
      <x:c r="D13" s="12" t="s">
        <x:v>52</x:v>
      </x:c>
      <x:c r="E13" s="12" t="s">
        <x:v>68</x:v>
      </x:c>
      <x:c r="G13" s="12" t="s">
        <x:v>63</x:v>
      </x:c>
      <x:c r="H13" s="12" t="s">
        <x:v>33</x:v>
      </x:c>
      <x:c r="I13" s="4" t="s">
        <x:v>135</x:v>
      </x:c>
      <x:c r="J13" s="4" t="s">
        <x:v>140</x:v>
      </x:c>
      <x:c r="K13" s="4" t="s">
        <x:v>129</x:v>
      </x:c>
      <x:c r="L13" s="11" t="s">
        <x:v>94</x:v>
      </x:c>
    </x:row>
    <x:row r="14" spans="1:12">
      <x:c r="A14" s="12" t="s">
        <x:v>215</x:v>
      </x:c>
      <x:c r="B14" s="12" t="s">
        <x:v>37</x:v>
      </x:c>
      <x:c r="C14" s="12">
        <x:v>66</x:v>
      </x:c>
      <x:c r="D14" s="12" t="s">
        <x:v>30</x:v>
      </x:c>
      <x:c r="E14" s="12" t="str">
        <x:f>CHOOSE(RIGHT(A14,1)+1,"계약직","파견직","정규직")</x:f>
        <x:v>계약직</x:v>
      </x:c>
      <x:c r="G14" s="12" t="s">
        <x:v>75</x:v>
      </x:c>
      <x:c r="H14" s="12" t="s">
        <x:v>64</x:v>
      </x:c>
      <x:c r="I14" s="4">
        <x:v>92</x:v>
      </x:c>
      <x:c r="J14" s="4">
        <x:v>88</x:v>
      </x:c>
      <x:c r="K14" s="4">
        <x:v>87</x:v>
      </x:c>
      <x:c r="L14" s="14" t="str">
        <x:f>IF(COUNTIF(I14:K14,"&gt;=60")=3,"합격","불합격")</x:f>
        <x:v>합격</x:v>
      </x:c>
    </x:row>
    <x:row r="15" spans="1:12">
      <x:c r="A15" s="12" t="s">
        <x:v>213</x:v>
      </x:c>
      <x:c r="B15" s="12" t="s">
        <x:v>37</x:v>
      </x:c>
      <x:c r="C15" s="12">
        <x:v>48</x:v>
      </x:c>
      <x:c r="D15" s="12" t="s">
        <x:v>30</x:v>
      </x:c>
      <x:c r="E15" s="12" t="str">
        <x:f t="shared" ref="E15:E21" si="2">CHOOSE(RIGHT(A15,1)+1,"계약직","파견직","정규직")</x:f>
        <x:v>파견직</x:v>
      </x:c>
      <x:c r="G15" s="12" t="s">
        <x:v>82</x:v>
      </x:c>
      <x:c r="H15" s="12" t="s">
        <x:v>79</x:v>
      </x:c>
      <x:c r="I15" s="4">
        <x:v>96</x:v>
      </x:c>
      <x:c r="J15" s="4">
        <x:v>77</x:v>
      </x:c>
      <x:c r="K15" s="4">
        <x:v>45</x:v>
      </x:c>
      <x:c r="L15" s="14" t="str">
        <x:f t="shared" ref="L15:L21" si="3">IF(COUNTIF(I15:K15,"&gt;=60")=3,"합격","불합격")</x:f>
        <x:v>불합격</x:v>
      </x:c>
    </x:row>
    <x:row r="16" spans="1:12">
      <x:c r="A16" s="12" t="s">
        <x:v>207</x:v>
      </x:c>
      <x:c r="B16" s="12" t="s">
        <x:v>35</x:v>
      </x:c>
      <x:c r="C16" s="12">
        <x:v>32</x:v>
      </x:c>
      <x:c r="D16" s="12" t="s">
        <x:v>30</x:v>
      </x:c>
      <x:c r="E16" s="12" t="str">
        <x:f t="shared" si="2"/>
        <x:v>정규직</x:v>
      </x:c>
      <x:c r="G16" s="12" t="s">
        <x:v>83</x:v>
      </x:c>
      <x:c r="H16" s="12" t="s">
        <x:v>69</x:v>
      </x:c>
      <x:c r="I16" s="4">
        <x:v>84</x:v>
      </x:c>
      <x:c r="J16" s="4">
        <x:v>96</x:v>
      </x:c>
      <x:c r="K16" s="4">
        <x:v>87</x:v>
      </x:c>
      <x:c r="L16" s="14" t="str">
        <x:f t="shared" si="3"/>
        <x:v>합격</x:v>
      </x:c>
    </x:row>
    <x:row r="17" spans="1:12">
      <x:c r="A17" s="12" t="s">
        <x:v>169</x:v>
      </x:c>
      <x:c r="B17" s="12" t="s">
        <x:v>35</x:v>
      </x:c>
      <x:c r="C17" s="12">
        <x:v>29</x:v>
      </x:c>
      <x:c r="D17" s="12" t="s">
        <x:v>0</x:v>
      </x:c>
      <x:c r="E17" s="12" t="str">
        <x:f t="shared" si="2"/>
        <x:v>계약직</x:v>
      </x:c>
      <x:c r="G17" s="12" t="s">
        <x:v>70</x:v>
      </x:c>
      <x:c r="H17" s="12" t="s">
        <x:v>71</x:v>
      </x:c>
      <x:c r="I17" s="4">
        <x:v>50</x:v>
      </x:c>
      <x:c r="J17" s="4">
        <x:v>94</x:v>
      </x:c>
      <x:c r="K17" s="4">
        <x:v>100</x:v>
      </x:c>
      <x:c r="L17" s="14" t="str">
        <x:f t="shared" si="3"/>
        <x:v>불합격</x:v>
      </x:c>
    </x:row>
    <x:row r="18" spans="1:12">
      <x:c r="A18" s="12" t="s">
        <x:v>206</x:v>
      </x:c>
      <x:c r="B18" s="12" t="s">
        <x:v>35</x:v>
      </x:c>
      <x:c r="C18" s="12">
        <x:v>46</x:v>
      </x:c>
      <x:c r="D18" s="12" t="s">
        <x:v>0</x:v>
      </x:c>
      <x:c r="E18" s="12" t="str">
        <x:f t="shared" si="2"/>
        <x:v>정규직</x:v>
      </x:c>
      <x:c r="G18" s="12" t="s">
        <x:v>73</x:v>
      </x:c>
      <x:c r="H18" s="12" t="s">
        <x:v>74</x:v>
      </x:c>
      <x:c r="I18" s="4">
        <x:v>74</x:v>
      </x:c>
      <x:c r="J18" s="4">
        <x:v>98</x:v>
      </x:c>
      <x:c r="K18" s="4">
        <x:v>66</x:v>
      </x:c>
      <x:c r="L18" s="14" t="str">
        <x:f t="shared" si="3"/>
        <x:v>합격</x:v>
      </x:c>
    </x:row>
    <x:row r="19" spans="1:12">
      <x:c r="A19" s="12" t="s">
        <x:v>208</x:v>
      </x:c>
      <x:c r="B19" s="12" t="s">
        <x:v>37</x:v>
      </x:c>
      <x:c r="C19" s="12">
        <x:v>33</x:v>
      </x:c>
      <x:c r="D19" s="12" t="s">
        <x:v>0</x:v>
      </x:c>
      <x:c r="E19" s="12" t="str">
        <x:f t="shared" si="2"/>
        <x:v>계약직</x:v>
      </x:c>
      <x:c r="G19" s="12" t="s">
        <x:v>54</x:v>
      </x:c>
      <x:c r="H19" s="12" t="s">
        <x:v>78</x:v>
      </x:c>
      <x:c r="I19" s="4">
        <x:v>58</x:v>
      </x:c>
      <x:c r="J19" s="4">
        <x:v>67</x:v>
      </x:c>
      <x:c r="K19" s="4">
        <x:v>59</x:v>
      </x:c>
      <x:c r="L19" s="14" t="str">
        <x:f t="shared" si="3"/>
        <x:v>불합격</x:v>
      </x:c>
    </x:row>
    <x:row r="20" spans="1:12">
      <x:c r="A20" s="12" t="s">
        <x:v>201</x:v>
      </x:c>
      <x:c r="B20" s="12" t="s">
        <x:v>37</x:v>
      </x:c>
      <x:c r="C20" s="12">
        <x:v>52</x:v>
      </x:c>
      <x:c r="D20" s="12" t="s">
        <x:v>240</x:v>
      </x:c>
      <x:c r="E20" s="12" t="str">
        <x:f t="shared" si="2"/>
        <x:v>파견직</x:v>
      </x:c>
      <x:c r="G20" s="12" t="s">
        <x:v>84</x:v>
      </x:c>
      <x:c r="H20" s="12" t="s">
        <x:v>61</x:v>
      </x:c>
      <x:c r="I20" s="4">
        <x:v>80</x:v>
      </x:c>
      <x:c r="J20" s="4">
        <x:v>89</x:v>
      </x:c>
      <x:c r="K20" s="4">
        <x:v>92</x:v>
      </x:c>
      <x:c r="L20" s="14" t="str">
        <x:f t="shared" si="3"/>
        <x:v>합격</x:v>
      </x:c>
    </x:row>
    <x:row r="21" spans="1:12">
      <x:c r="A21" s="12" t="s">
        <x:v>200</x:v>
      </x:c>
      <x:c r="B21" s="12" t="s">
        <x:v>35</x:v>
      </x:c>
      <x:c r="C21" s="12">
        <x:v>45</x:v>
      </x:c>
      <x:c r="D21" s="12" t="s">
        <x:v>240</x:v>
      </x:c>
      <x:c r="E21" s="12" t="str">
        <x:f t="shared" si="2"/>
        <x:v>정규직</x:v>
      </x:c>
      <x:c r="G21" s="12" t="s">
        <x:v>66</x:v>
      </x:c>
      <x:c r="H21" s="12" t="s">
        <x:v>65</x:v>
      </x:c>
      <x:c r="I21" s="4">
        <x:v>98</x:v>
      </x:c>
      <x:c r="J21" s="4">
        <x:v>80</x:v>
      </x:c>
      <x:c r="K21" s="4">
        <x:v>78</x:v>
      </x:c>
      <x:c r="L21" s="14" t="str">
        <x:f t="shared" si="3"/>
        <x:v>합격</x:v>
      </x:c>
    </x:row>
    <x:row r="22" spans="1:10">
      <x:c r="A22" s="16"/>
      <x:c r="B22" s="16"/>
      <x:c r="C22" s="16"/>
      <x:c r="D22" s="17"/>
      <x:c r="E22" s="17"/>
      <x:c r="G22" s="16"/>
      <x:c r="H22" s="17"/>
      <x:c r="I22" s="17"/>
      <x:c r="J22" s="17"/>
    </x:row>
    <x:row r="24" spans="1:2">
      <x:c r="A24" s="5" t="s">
        <x:v>172</x:v>
      </x:c>
      <x:c r="B24" s="6" t="s">
        <x:v>178</x:v>
      </x:c>
    </x:row>
    <x:row r="25" spans="1:5">
      <x:c r="A25" s="12" t="s">
        <x:v>104</x:v>
      </x:c>
      <x:c r="B25" s="12" t="s">
        <x:v>221</x:v>
      </x:c>
      <x:c r="C25" s="12" t="s">
        <x:v>224</x:v>
      </x:c>
      <x:c r="D25" s="12" t="s">
        <x:v>211</x:v>
      </x:c>
      <x:c r="E25" s="11" t="s">
        <x:v>239</x:v>
      </x:c>
    </x:row>
    <x:row r="26" spans="1:5">
      <x:c r="A26" s="12" t="s">
        <x:v>234</x:v>
      </x:c>
      <x:c r="B26" s="12" t="s">
        <x:v>232</x:v>
      </x:c>
      <x:c r="C26" s="12" t="s">
        <x:v>243</x:v>
      </x:c>
      <x:c r="D26" s="12">
        <x:v>425</x:v>
      </x:c>
      <x:c r="E26" s="12" t="str">
        <x:f>INT(D26/100)&amp;"박스("&amp;MOD(D26,100)&amp;"개)"</x:f>
        <x:v>4박스(25개)</x:v>
      </x:c>
    </x:row>
    <x:row r="27" spans="1:5">
      <x:c r="A27" s="12" t="s">
        <x:v>234</x:v>
      </x:c>
      <x:c r="B27" s="12" t="s">
        <x:v>235</x:v>
      </x:c>
      <x:c r="C27" s="12" t="s">
        <x:v>227</x:v>
      </x:c>
      <x:c r="D27" s="12">
        <x:v>330</x:v>
      </x:c>
      <x:c r="E27" s="12" t="str">
        <x:f t="shared" ref="E27:E35" si="4">INT(D27/100)&amp;"박스("&amp;MOD(D27,100)&amp;"개)"</x:f>
        <x:v>3박스(30개)</x:v>
      </x:c>
    </x:row>
    <x:row r="28" spans="1:5">
      <x:c r="A28" s="12" t="s">
        <x:v>234</x:v>
      </x:c>
      <x:c r="B28" s="12" t="s">
        <x:v>238</x:v>
      </x:c>
      <x:c r="C28" s="12" t="s">
        <x:v>241</x:v>
      </x:c>
      <x:c r="D28" s="12">
        <x:v>520</x:v>
      </x:c>
      <x:c r="E28" s="12" t="str">
        <x:f t="shared" si="4"/>
        <x:v>5박스(20개)</x:v>
      </x:c>
    </x:row>
    <x:row r="29" spans="1:5">
      <x:c r="A29" s="12" t="s">
        <x:v>234</x:v>
      </x:c>
      <x:c r="B29" s="12" t="s">
        <x:v>220</x:v>
      </x:c>
      <x:c r="C29" s="12" t="s">
        <x:v>225</x:v>
      </x:c>
      <x:c r="D29" s="12">
        <x:v>725</x:v>
      </x:c>
      <x:c r="E29" s="12" t="str">
        <x:f t="shared" si="4"/>
        <x:v>7박스(25개)</x:v>
      </x:c>
    </x:row>
    <x:row r="30" spans="1:5">
      <x:c r="A30" s="12" t="s">
        <x:v>234</x:v>
      </x:c>
      <x:c r="B30" s="12" t="s">
        <x:v>229</x:v>
      </x:c>
      <x:c r="C30" s="12" t="s">
        <x:v>228</x:v>
      </x:c>
      <x:c r="D30" s="12">
        <x:v>335</x:v>
      </x:c>
      <x:c r="E30" s="12" t="str">
        <x:f t="shared" si="4"/>
        <x:v>3박스(35개)</x:v>
      </x:c>
    </x:row>
    <x:row r="31" spans="1:5">
      <x:c r="A31" s="12" t="s">
        <x:v>237</x:v>
      </x:c>
      <x:c r="B31" s="12" t="s">
        <x:v>222</x:v>
      </x:c>
      <x:c r="C31" s="12" t="s">
        <x:v>230</x:v>
      </x:c>
      <x:c r="D31" s="12">
        <x:v>444</x:v>
      </x:c>
      <x:c r="E31" s="12" t="str">
        <x:f t="shared" si="4"/>
        <x:v>4박스(44개)</x:v>
      </x:c>
    </x:row>
    <x:row r="32" spans="1:5">
      <x:c r="A32" s="12" t="s">
        <x:v>237</x:v>
      </x:c>
      <x:c r="B32" s="12" t="s">
        <x:v>212</x:v>
      </x:c>
      <x:c r="C32" s="12" t="s">
        <x:v>226</x:v>
      </x:c>
      <x:c r="D32" s="12">
        <x:v>572</x:v>
      </x:c>
      <x:c r="E32" s="12" t="str">
        <x:f t="shared" si="4"/>
        <x:v>5박스(72개)</x:v>
      </x:c>
    </x:row>
    <x:row r="33" spans="1:5">
      <x:c r="A33" s="12" t="s">
        <x:v>237</x:v>
      </x:c>
      <x:c r="B33" s="12" t="s">
        <x:v>236</x:v>
      </x:c>
      <x:c r="C33" s="12" t="s">
        <x:v>231</x:v>
      </x:c>
      <x:c r="D33" s="12">
        <x:v>362</x:v>
      </x:c>
      <x:c r="E33" s="12" t="str">
        <x:f t="shared" si="4"/>
        <x:v>3박스(62개)</x:v>
      </x:c>
    </x:row>
    <x:row r="34" spans="1:5">
      <x:c r="A34" s="12" t="s">
        <x:v>237</x:v>
      </x:c>
      <x:c r="B34" s="12" t="s">
        <x:v>223</x:v>
      </x:c>
      <x:c r="C34" s="12" t="s">
        <x:v>217</x:v>
      </x:c>
      <x:c r="D34" s="12">
        <x:v>425</x:v>
      </x:c>
      <x:c r="E34" s="12" t="str">
        <x:f t="shared" si="4"/>
        <x:v>4박스(25개)</x:v>
      </x:c>
    </x:row>
    <x:row r="35" spans="1:5">
      <x:c r="A35" s="12" t="s">
        <x:v>237</x:v>
      </x:c>
      <x:c r="B35" s="12" t="s">
        <x:v>219</x:v>
      </x:c>
      <x:c r="C35" s="12" t="s">
        <x:v>233</x:v>
      </x:c>
      <x:c r="D35" s="12">
        <x:v>550</x:v>
      </x:c>
      <x:c r="E35" s="12" t="str">
        <x:f t="shared" si="4"/>
        <x:v>5박스(50개)</x:v>
      </x:c>
    </x:row>
  </x:sheetData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drawing r:id="rId1"/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9"/>
  <x:dimension ref="B2:F10"/>
  <x:sheetViews>
    <x:sheetView topLeftCell="A1" zoomScaleNormal="100" zoomScaleSheetLayoutView="75" workbookViewId="0">
      <x:selection activeCell="A1" activeCellId="0" sqref="A1:A1"/>
    </x:sheetView>
  </x:sheetViews>
  <x:sheetFormatPr defaultColWidth="9" defaultRowHeight="16.39999999999999857891"/>
  <x:sheetData>
    <x:row r="2" spans="2:6" ht="17.14999999999999857891">
      <x:c r="B2" s="60" t="s">
        <x:v>272</x:v>
      </x:c>
      <x:c r="C2" s="60"/>
      <x:c r="D2" s="60"/>
      <x:c r="E2" s="61"/>
      <x:c r="F2" s="61"/>
    </x:row>
    <x:row r="3" spans="2:6" ht="17.14999999999999857891">
      <x:c r="B3" s="62"/>
      <x:c r="C3" s="62"/>
      <x:c r="D3" s="62" t="s">
        <x:v>273</x:v>
      </x:c>
      <x:c r="E3" s="63" t="s">
        <x:v>267</x:v>
      </x:c>
      <x:c r="F3" s="63" t="s">
        <x:v>270</x:v>
      </x:c>
    </x:row>
    <x:row r="4" spans="2:6" ht="17.14999999999999857891">
      <x:c r="B4" s="64" t="s">
        <x:v>274</x:v>
      </x:c>
      <x:c r="C4" s="64"/>
      <x:c r="D4" s="65"/>
      <x:c r="E4" s="65"/>
      <x:c r="F4" s="65"/>
    </x:row>
    <x:row r="5" spans="2:6">
      <x:c r="B5" s="57"/>
      <x:c r="C5" s="57" t="s">
        <x:v>271</x:v>
      </x:c>
      <x:c r="D5" s="58">
        <x:v>0.29999999999999999</x:v>
      </x:c>
      <x:c r="E5" s="59">
        <x:v>0.34999999999999998</x:v>
      </x:c>
      <x:c r="F5" s="59">
        <x:v>0.25</x:v>
      </x:c>
    </x:row>
    <x:row r="6" spans="2:6">
      <x:c r="B6" s="66" t="s">
        <x:v>269</x:v>
      </x:c>
      <x:c r="C6" s="66"/>
      <x:c r="D6" s="67"/>
      <x:c r="E6" s="67"/>
      <x:c r="F6" s="67"/>
    </x:row>
    <x:row r="7" spans="2:6" ht="17.14999999999999857891">
      <x:c r="B7" s="68"/>
      <x:c r="C7" s="68" t="s">
        <x:v>268</x:v>
      </x:c>
      <x:c r="D7" s="69">
        <x:v>75495000</x:v>
      </x:c>
      <x:c r="E7" s="69">
        <x:v>880775</x:v>
      </x:c>
      <x:c r="F7" s="69">
        <x:v>629125</x:v>
      </x:c>
    </x:row>
    <x:row r="8" spans="2:2">
      <x:c r="B8" t="s">
        <x:v>282</x:v>
      </x:c>
    </x:row>
    <x:row r="9" spans="2:2">
      <x:c r="B9" t="s">
        <x:v>275</x:v>
      </x:c>
    </x:row>
    <x:row r="10" spans="2:2">
      <x:c r="B10" t="s">
        <x:v>277</x:v>
      </x:c>
    </x:row>
  </x:sheetData>
  <x:pageMargins left="0.74805557727813720703" right="0.74805557727813720703" top="0.98430556058883666992" bottom="0.98430556058883666992" header="0.51180553436279296875" footer="0.51180553436279296875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6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I21"/>
  <x:sheetViews>
    <x:sheetView topLeftCell="A1" zoomScaleNormal="100" zoomScaleSheetLayoutView="75" workbookViewId="0">
      <x:selection activeCell="J2" activeCellId="0" sqref="J2:J2"/>
    </x:sheetView>
  </x:sheetViews>
  <x:sheetFormatPr defaultColWidth="9" defaultRowHeight="16.39999999999999857891"/>
  <x:cols>
    <x:col min="4" max="4" width="9.875" bestFit="1" customWidth="1"/>
    <x:col min="6" max="6" width="9.375" bestFit="1" customWidth="1"/>
    <x:col min="7" max="7" width="9.125" bestFit="1" customWidth="1"/>
    <x:col min="8" max="8" width="13" bestFit="1" customWidth="1"/>
    <x:col min="9" max="9" width="10.875" bestFit="1" customWidth="1"/>
  </x:cols>
  <x:sheetData>
    <x:row r="1" spans="1:9" ht="23.5">
      <x:c r="A1" s="36" t="s">
        <x:v>254</x:v>
      </x:c>
      <x:c r="B1" s="36"/>
      <x:c r="C1" s="36"/>
      <x:c r="D1" s="36"/>
      <x:c r="E1" s="36"/>
      <x:c r="F1" s="36"/>
      <x:c r="G1" s="36"/>
      <x:c r="H1" s="36"/>
      <x:c r="I1" s="36"/>
    </x:row>
    <x:row r="2" spans="1:8">
      <x:c r="A2" s="18"/>
      <x:c r="B2" s="18"/>
      <x:c r="C2" s="18"/>
      <x:c r="D2" s="18"/>
      <x:c r="E2" s="18"/>
      <x:c r="F2" s="18"/>
      <x:c r="G2" s="18"/>
      <x:c r="H2" s="18"/>
    </x:row>
    <x:row r="3" spans="1:9">
      <x:c r="A3" s="19" t="s">
        <x:v>115</x:v>
      </x:c>
      <x:c r="B3" s="19" t="s">
        <x:v>104</x:v>
      </x:c>
      <x:c r="C3" s="19" t="s">
        <x:v>91</x:v>
      </x:c>
      <x:c r="D3" s="19" t="s">
        <x:v>113</x:v>
      </x:c>
      <x:c r="E3" s="19" t="s">
        <x:v>111</x:v>
      </x:c>
      <x:c r="F3" s="19" t="s">
        <x:v>179</x:v>
      </x:c>
      <x:c r="G3" s="19" t="s">
        <x:v>22</x:v>
      </x:c>
      <x:c r="H3" s="19" t="s">
        <x:v>117</x:v>
      </x:c>
      <x:c r="I3" s="20" t="s">
        <x:v>101</x:v>
      </x:c>
    </x:row>
    <x:row r="4" spans="1:9">
      <x:c r="A4" s="19" t="s">
        <x:v>112</x:v>
      </x:c>
      <x:c r="B4" s="19" t="s">
        <x:v>105</x:v>
      </x:c>
      <x:c r="C4" s="19" t="s">
        <x:v>116</x:v>
      </x:c>
      <x:c r="D4" s="21">
        <x:v>41060</x:v>
      </x:c>
      <x:c r="E4" s="19">
        <x:v>50</x:v>
      </x:c>
      <x:c r="F4" s="22">
        <x:v>150000</x:v>
      </x:c>
      <x:c r="G4" s="19">
        <x:v>30</x:v>
      </x:c>
      <x:c r="H4" s="23">
        <x:f t="shared" ref="H4:H18" si="0">F4*G4</x:f>
        <x:v>4500000</x:v>
      </x:c>
      <x:c r="I4" s="24">
        <x:f t="shared" ref="I4:I19" si="1">H4*$I$21</x:f>
        <x:v>1350000</x:v>
      </x:c>
    </x:row>
    <x:row r="5" spans="1:9">
      <x:c r="A5" s="19" t="s">
        <x:v>86</x:v>
      </x:c>
      <x:c r="B5" s="19" t="s">
        <x:v>87</x:v>
      </x:c>
      <x:c r="C5" s="19" t="s">
        <x:v>106</x:v>
      </x:c>
      <x:c r="D5" s="21">
        <x:v>41061</x:v>
      </x:c>
      <x:c r="E5" s="19">
        <x:v>40</x:v>
      </x:c>
      <x:c r="F5" s="22">
        <x:v>250000</x:v>
      </x:c>
      <x:c r="G5" s="19">
        <x:v>38</x:v>
      </x:c>
      <x:c r="H5" s="23">
        <x:f t="shared" si="0"/>
        <x:v>9500000</x:v>
      </x:c>
      <x:c r="I5" s="24">
        <x:f t="shared" si="1"/>
        <x:v>2850000</x:v>
      </x:c>
    </x:row>
    <x:row r="6" spans="1:9">
      <x:c r="A6" s="19" t="s">
        <x:v>112</x:v>
      </x:c>
      <x:c r="B6" s="19" t="s">
        <x:v>92</x:v>
      </x:c>
      <x:c r="C6" s="19" t="s">
        <x:v>114</x:v>
      </x:c>
      <x:c r="D6" s="21">
        <x:v>41061</x:v>
      </x:c>
      <x:c r="E6" s="19">
        <x:v>50</x:v>
      </x:c>
      <x:c r="F6" s="22">
        <x:v>150000</x:v>
      </x:c>
      <x:c r="G6" s="19">
        <x:v>34</x:v>
      </x:c>
      <x:c r="H6" s="23">
        <x:f t="shared" si="0"/>
        <x:v>5100000</x:v>
      </x:c>
      <x:c r="I6" s="24">
        <x:f t="shared" si="1"/>
        <x:v>1530000</x:v>
      </x:c>
    </x:row>
    <x:row r="7" spans="1:9">
      <x:c r="A7" s="19" t="s">
        <x:v>88</x:v>
      </x:c>
      <x:c r="B7" s="19" t="s">
        <x:v>92</x:v>
      </x:c>
      <x:c r="C7" s="19" t="s">
        <x:v>95</x:v>
      </x:c>
      <x:c r="D7" s="21">
        <x:v>41061</x:v>
      </x:c>
      <x:c r="E7" s="19">
        <x:v>60</x:v>
      </x:c>
      <x:c r="F7" s="22">
        <x:v>600000</x:v>
      </x:c>
      <x:c r="G7" s="19">
        <x:v>57</x:v>
      </x:c>
      <x:c r="H7" s="23">
        <x:f t="shared" si="0"/>
        <x:v>34200000</x:v>
      </x:c>
      <x:c r="I7" s="24">
        <x:f t="shared" si="1"/>
        <x:v>10260000</x:v>
      </x:c>
    </x:row>
    <x:row r="8" spans="1:9">
      <x:c r="A8" s="19" t="s">
        <x:v>86</x:v>
      </x:c>
      <x:c r="B8" s="19" t="s">
        <x:v>89</x:v>
      </x:c>
      <x:c r="C8" s="19" t="s">
        <x:v>93</x:v>
      </x:c>
      <x:c r="D8" s="21">
        <x:v>41061</x:v>
      </x:c>
      <x:c r="E8" s="19">
        <x:v>80</x:v>
      </x:c>
      <x:c r="F8" s="22">
        <x:v>250000</x:v>
      </x:c>
      <x:c r="G8" s="19">
        <x:v>59</x:v>
      </x:c>
      <x:c r="H8" s="23">
        <x:f t="shared" si="0"/>
        <x:v>14750000</x:v>
      </x:c>
      <x:c r="I8" s="24">
        <x:f t="shared" si="1"/>
        <x:v>4425000</x:v>
      </x:c>
    </x:row>
    <x:row r="9" spans="1:9">
      <x:c r="A9" s="19" t="s">
        <x:v>88</x:v>
      </x:c>
      <x:c r="B9" s="19" t="s">
        <x:v>98</x:v>
      </x:c>
      <x:c r="C9" s="19" t="s">
        <x:v>109</x:v>
      </x:c>
      <x:c r="D9" s="21">
        <x:v>41060</x:v>
      </x:c>
      <x:c r="E9" s="19">
        <x:v>60</x:v>
      </x:c>
      <x:c r="F9" s="22">
        <x:v>600000</x:v>
      </x:c>
      <x:c r="G9" s="19">
        <x:v>55</x:v>
      </x:c>
      <x:c r="H9" s="23">
        <x:f t="shared" si="0"/>
        <x:v>33000000</x:v>
      </x:c>
      <x:c r="I9" s="24">
        <x:f t="shared" si="1"/>
        <x:v>9900000</x:v>
      </x:c>
    </x:row>
    <x:row r="10" spans="1:9">
      <x:c r="A10" s="19" t="s">
        <x:v>88</x:v>
      </x:c>
      <x:c r="B10" s="19" t="s">
        <x:v>105</x:v>
      </x:c>
      <x:c r="C10" s="19" t="s">
        <x:v>90</x:v>
      </x:c>
      <x:c r="D10" s="21">
        <x:v>41060</x:v>
      </x:c>
      <x:c r="E10" s="19">
        <x:v>60</x:v>
      </x:c>
      <x:c r="F10" s="22">
        <x:v>600000</x:v>
      </x:c>
      <x:c r="G10" s="19">
        <x:v>60</x:v>
      </x:c>
      <x:c r="H10" s="23">
        <x:f t="shared" si="0"/>
        <x:v>36000000</x:v>
      </x:c>
      <x:c r="I10" s="24">
        <x:f t="shared" si="1"/>
        <x:v>10800000</x:v>
      </x:c>
    </x:row>
    <x:row r="11" spans="1:9">
      <x:c r="A11" s="19" t="s">
        <x:v>112</x:v>
      </x:c>
      <x:c r="B11" s="19" t="s">
        <x:v>98</x:v>
      </x:c>
      <x:c r="C11" s="19" t="s">
        <x:v>107</x:v>
      </x:c>
      <x:c r="D11" s="21">
        <x:v>41060</x:v>
      </x:c>
      <x:c r="E11" s="19">
        <x:v>40</x:v>
      </x:c>
      <x:c r="F11" s="22">
        <x:v>150000</x:v>
      </x:c>
      <x:c r="G11" s="19">
        <x:v>29</x:v>
      </x:c>
      <x:c r="H11" s="23">
        <x:f t="shared" si="0"/>
        <x:v>4350000</x:v>
      </x:c>
      <x:c r="I11" s="24">
        <x:f t="shared" si="1"/>
        <x:v>1305000</x:v>
      </x:c>
    </x:row>
    <x:row r="12" spans="1:9">
      <x:c r="A12" s="19" t="s">
        <x:v>86</x:v>
      </x:c>
      <x:c r="B12" s="19" t="s">
        <x:v>92</x:v>
      </x:c>
      <x:c r="C12" s="19" t="s">
        <x:v>108</x:v>
      </x:c>
      <x:c r="D12" s="21">
        <x:v>41061</x:v>
      </x:c>
      <x:c r="E12" s="19">
        <x:v>50</x:v>
      </x:c>
      <x:c r="F12" s="22">
        <x:v>250000</x:v>
      </x:c>
      <x:c r="G12" s="19">
        <x:v>45</x:v>
      </x:c>
      <x:c r="H12" s="23">
        <x:f t="shared" si="0"/>
        <x:v>11250000</x:v>
      </x:c>
      <x:c r="I12" s="24">
        <x:f t="shared" si="1"/>
        <x:v>3375000</x:v>
      </x:c>
    </x:row>
    <x:row r="13" spans="1:9">
      <x:c r="A13" s="19" t="s">
        <x:v>86</x:v>
      </x:c>
      <x:c r="B13" s="19" t="s">
        <x:v>105</x:v>
      </x:c>
      <x:c r="C13" s="19" t="s">
        <x:v>96</x:v>
      </x:c>
      <x:c r="D13" s="21">
        <x:v>41060</x:v>
      </x:c>
      <x:c r="E13" s="19">
        <x:v>30</x:v>
      </x:c>
      <x:c r="F13" s="22">
        <x:v>250000</x:v>
      </x:c>
      <x:c r="G13" s="19">
        <x:v>19</x:v>
      </x:c>
      <x:c r="H13" s="23">
        <x:f t="shared" si="0"/>
        <x:v>4750000</x:v>
      </x:c>
      <x:c r="I13" s="24">
        <x:f t="shared" si="1"/>
        <x:v>1425000</x:v>
      </x:c>
    </x:row>
    <x:row r="14" spans="1:9">
      <x:c r="A14" s="19" t="s">
        <x:v>86</x:v>
      </x:c>
      <x:c r="B14" s="19" t="s">
        <x:v>98</x:v>
      </x:c>
      <x:c r="C14" s="19" t="s">
        <x:v>110</x:v>
      </x:c>
      <x:c r="D14" s="21">
        <x:v>41060</x:v>
      </x:c>
      <x:c r="E14" s="19">
        <x:v>50</x:v>
      </x:c>
      <x:c r="F14" s="22">
        <x:v>250000</x:v>
      </x:c>
      <x:c r="G14" s="19">
        <x:v>47</x:v>
      </x:c>
      <x:c r="H14" s="23">
        <x:f t="shared" si="0"/>
        <x:v>11750000</x:v>
      </x:c>
      <x:c r="I14" s="24">
        <x:f t="shared" si="1"/>
        <x:v>3525000</x:v>
      </x:c>
    </x:row>
    <x:row r="15" spans="1:9">
      <x:c r="A15" s="19" t="s">
        <x:v>112</x:v>
      </x:c>
      <x:c r="B15" s="19" t="s">
        <x:v>87</x:v>
      </x:c>
      <x:c r="C15" s="19" t="s">
        <x:v>99</x:v>
      </x:c>
      <x:c r="D15" s="21">
        <x:v>41061</x:v>
      </x:c>
      <x:c r="E15" s="19">
        <x:v>30</x:v>
      </x:c>
      <x:c r="F15" s="22">
        <x:v>150000</x:v>
      </x:c>
      <x:c r="G15" s="19">
        <x:v>26</x:v>
      </x:c>
      <x:c r="H15" s="23">
        <x:f t="shared" si="0"/>
        <x:v>3900000</x:v>
      </x:c>
      <x:c r="I15" s="24">
        <x:f t="shared" si="1"/>
        <x:v>1170000</x:v>
      </x:c>
    </x:row>
    <x:row r="16" spans="1:9">
      <x:c r="A16" s="19" t="s">
        <x:v>88</x:v>
      </x:c>
      <x:c r="B16" s="19" t="s">
        <x:v>87</x:v>
      </x:c>
      <x:c r="C16" s="19" t="s">
        <x:v>100</x:v>
      </x:c>
      <x:c r="D16" s="21">
        <x:v>41061</x:v>
      </x:c>
      <x:c r="E16" s="19">
        <x:v>80</x:v>
      </x:c>
      <x:c r="F16" s="22">
        <x:v>600000</x:v>
      </x:c>
      <x:c r="G16" s="19">
        <x:v>69</x:v>
      </x:c>
      <x:c r="H16" s="23">
        <x:f t="shared" si="0"/>
        <x:v>41400000</x:v>
      </x:c>
      <x:c r="I16" s="24">
        <x:f t="shared" si="1"/>
        <x:v>12420000</x:v>
      </x:c>
    </x:row>
    <x:row r="17" spans="1:9">
      <x:c r="A17" s="19" t="s">
        <x:v>112</x:v>
      </x:c>
      <x:c r="B17" s="19" t="s">
        <x:v>89</x:v>
      </x:c>
      <x:c r="C17" s="19" t="s">
        <x:v>102</x:v>
      </x:c>
      <x:c r="D17" s="21">
        <x:v>41061</x:v>
      </x:c>
      <x:c r="E17" s="19">
        <x:v>50</x:v>
      </x:c>
      <x:c r="F17" s="22">
        <x:v>150000</x:v>
      </x:c>
      <x:c r="G17" s="19">
        <x:v>40</x:v>
      </x:c>
      <x:c r="H17" s="23">
        <x:f t="shared" si="0"/>
        <x:v>6000000</x:v>
      </x:c>
      <x:c r="I17" s="24">
        <x:f t="shared" si="1"/>
        <x:v>1800000</x:v>
      </x:c>
    </x:row>
    <x:row r="18" spans="1:9">
      <x:c r="A18" s="19" t="s">
        <x:v>88</x:v>
      </x:c>
      <x:c r="B18" s="19" t="s">
        <x:v>89</x:v>
      </x:c>
      <x:c r="C18" s="19" t="s">
        <x:v>97</x:v>
      </x:c>
      <x:c r="D18" s="21">
        <x:v>41061</x:v>
      </x:c>
      <x:c r="E18" s="19">
        <x:v>60</x:v>
      </x:c>
      <x:c r="F18" s="22">
        <x:v>600000</x:v>
      </x:c>
      <x:c r="G18" s="19">
        <x:v>52</x:v>
      </x:c>
      <x:c r="H18" s="23">
        <x:f t="shared" si="0"/>
        <x:v>31200000</x:v>
      </x:c>
      <x:c r="I18" s="24">
        <x:f t="shared" si="1"/>
        <x:v>9360000</x:v>
      </x:c>
    </x:row>
    <x:row r="19" spans="1:9">
      <x:c r="A19" s="37" t="s">
        <x:v>103</x:v>
      </x:c>
      <x:c r="B19" s="37"/>
      <x:c r="C19" s="37"/>
      <x:c r="D19" s="37"/>
      <x:c r="E19" s="37"/>
      <x:c r="F19" s="37"/>
      <x:c r="G19" s="37"/>
      <x:c r="H19" s="23">
        <x:f>SUM(H4:H18)</x:f>
        <x:v>251650000</x:v>
      </x:c>
      <x:c r="I19" s="24">
        <x:f t="shared" si="1"/>
        <x:v>75495000</x:v>
      </x:c>
    </x:row>
    <x:row r="20" spans="1:8">
      <x:c r="A20" s="18"/>
      <x:c r="B20" s="18"/>
      <x:c r="C20" s="18"/>
      <x:c r="D20" s="18"/>
      <x:c r="E20" s="18"/>
      <x:c r="F20" s="18"/>
      <x:c r="G20" s="18"/>
      <x:c r="H20" s="18"/>
    </x:row>
    <x:row r="21" spans="6:9">
      <x:c r="F21" s="18"/>
      <x:c r="H21" s="19" t="s">
        <x:v>134</x:v>
      </x:c>
      <x:c r="I21" s="25">
        <x:v>0.29999999999999999</x:v>
      </x:c>
    </x:row>
  </x:sheetData>
  <x:scenarios current="1" show="0" sqref="I19:I19">
    <x:scenario name="이익률증가" locked="1" count="1" user="mondieu0@naver.com" comment="작성한 사람 mondieu0@naver.com 날짜 2023-05-22">
      <x:inputCells r="I21" val="0.35"/>
    </x:scenario>
    <x:scenario name="이익률감소" locked="1" count="1" user="mondieu0@naver.com" comment="작성한 사람 mondieu0@naver.com 날짜 2023-05-22">
      <x:inputCells r="I21" val="0.25"/>
    </x:scenario>
  </x:scenarios>
  <x:mergeCells count="2">
    <x:mergeCell ref="A1:I1"/>
    <x:mergeCell ref="A19:G19"/>
  </x:mergeCells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7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6"/>
  <x:dimension ref="B1:J29"/>
  <x:sheetViews>
    <x:sheetView topLeftCell="A1" zoomScaleNormal="100" zoomScaleSheetLayoutView="75" workbookViewId="0">
      <x:selection activeCell="K2" activeCellId="0" sqref="K2:K2"/>
    </x:sheetView>
  </x:sheetViews>
  <x:sheetFormatPr defaultColWidth="9" defaultRowHeight="16.39999999999999857891"/>
  <x:cols>
    <x:col min="1" max="1" width="2.625" style="26" customWidth="1"/>
    <x:col min="2" max="6" width="9" style="26"/>
    <x:col min="7" max="10" width="9" style="26" customWidth="1"/>
    <x:col min="11" max="12" width="9" style="26"/>
    <x:col min="13" max="13" width="9" style="26" customWidth="1"/>
    <x:col min="14" max="16384" width="9" style="26"/>
  </x:cols>
  <x:sheetData>
    <x:row r="1" spans="2:10" ht="23.5">
      <x:c r="B1" s="35" t="s">
        <x:v>252</x:v>
      </x:c>
      <x:c r="C1" s="35"/>
      <x:c r="D1" s="35"/>
      <x:c r="E1" s="35"/>
      <x:c r="F1" s="35"/>
      <x:c r="G1" s="35"/>
      <x:c r="H1" s="35"/>
      <x:c r="I1" s="35"/>
      <x:c r="J1" s="35"/>
    </x:row>
    <x:row r="3" spans="2:10">
      <x:c r="B3" s="12" t="s">
        <x:v>33</x:v>
      </x:c>
      <x:c r="C3" s="12" t="s">
        <x:v>128</x:v>
      </x:c>
      <x:c r="D3" s="12" t="s">
        <x:v>135</x:v>
      </x:c>
      <x:c r="E3" s="12" t="s">
        <x:v>140</x:v>
      </x:c>
      <x:c r="F3" s="12" t="s">
        <x:v>129</x:v>
      </x:c>
      <x:c r="G3" s="12" t="s">
        <x:v>142</x:v>
      </x:c>
      <x:c r="H3" s="12" t="s">
        <x:v>136</x:v>
      </x:c>
      <x:c r="I3" s="12" t="s">
        <x:v>103</x:v>
      </x:c>
      <x:c r="J3" s="27" t="s">
        <x:v>26</x:v>
      </x:c>
    </x:row>
    <x:row r="4" spans="2:10" outlineLevel="3">
      <x:c r="B4" s="12" t="s">
        <x:v>121</x:v>
      </x:c>
      <x:c r="C4" s="12">
        <x:v>1</x:v>
      </x:c>
      <x:c r="D4" s="14">
        <x:v>88</x:v>
      </x:c>
      <x:c r="E4" s="28">
        <x:v>90</x:v>
      </x:c>
      <x:c r="F4" s="28">
        <x:v>95</x:v>
      </x:c>
      <x:c r="G4" s="28">
        <x:v>91</x:v>
      </x:c>
      <x:c r="H4" s="28">
        <x:v>90</x:v>
      </x:c>
      <x:c r="I4" s="28">
        <x:f>D4+E4+F4+G4+H4</x:f>
        <x:v>454</x:v>
      </x:c>
      <x:c r="J4" s="14">
        <x:f>AVERAGE(I4/5)</x:f>
        <x:v>90.799999999999997</x:v>
      </x:c>
    </x:row>
    <x:row r="5" spans="2:10" outlineLevel="3">
      <x:c r="B5" s="12" t="s">
        <x:v>126</x:v>
      </x:c>
      <x:c r="C5" s="12">
        <x:v>1</x:v>
      </x:c>
      <x:c r="D5" s="14">
        <x:v>68</x:v>
      </x:c>
      <x:c r="E5" s="28">
        <x:v>66</x:v>
      </x:c>
      <x:c r="F5" s="28">
        <x:v>47</x:v>
      </x:c>
      <x:c r="G5" s="28">
        <x:v>62</x:v>
      </x:c>
      <x:c r="H5" s="28">
        <x:v>55</x:v>
      </x:c>
      <x:c r="I5" s="28">
        <x:f>D5+E5+F5+G5+H5</x:f>
        <x:v>298</x:v>
      </x:c>
      <x:c r="J5" s="14">
        <x:f>AVERAGE(I5/5)</x:f>
        <x:v>59.600000000000001</x:v>
      </x:c>
    </x:row>
    <x:row r="6" spans="2:10" outlineLevel="3">
      <x:c r="B6" s="12" t="s">
        <x:v>144</x:v>
      </x:c>
      <x:c r="C6" s="12">
        <x:v>1</x:v>
      </x:c>
      <x:c r="D6" s="14">
        <x:v>79</x:v>
      </x:c>
      <x:c r="E6" s="28">
        <x:v>76</x:v>
      </x:c>
      <x:c r="F6" s="28">
        <x:v>78</x:v>
      </x:c>
      <x:c r="G6" s="28">
        <x:v>80</x:v>
      </x:c>
      <x:c r="H6" s="28">
        <x:v>83</x:v>
      </x:c>
      <x:c r="I6" s="28">
        <x:f>D6+E6+F6+G6+H6</x:f>
        <x:v>396</x:v>
      </x:c>
      <x:c r="J6" s="14">
        <x:f>AVERAGE(I6/5)</x:f>
        <x:v>79.200000000000003</x:v>
      </x:c>
    </x:row>
    <x:row r="7" spans="2:10" outlineLevel="3">
      <x:c r="B7" s="12" t="s">
        <x:v>137</x:v>
      </x:c>
      <x:c r="C7" s="12">
        <x:v>1</x:v>
      </x:c>
      <x:c r="D7" s="14">
        <x:v>68</x:v>
      </x:c>
      <x:c r="E7" s="28">
        <x:v>75</x:v>
      </x:c>
      <x:c r="F7" s="28">
        <x:v>83</x:v>
      </x:c>
      <x:c r="G7" s="28">
        <x:v>82</x:v>
      </x:c>
      <x:c r="H7" s="28">
        <x:v>81</x:v>
      </x:c>
      <x:c r="I7" s="28">
        <x:f>D7+E7+F7+G7+H7</x:f>
        <x:v>389</x:v>
      </x:c>
      <x:c r="J7" s="14">
        <x:f>AVERAGE(I7/5)</x:f>
        <x:v>77.799999999999997</x:v>
      </x:c>
    </x:row>
    <x:row r="8" spans="2:10" outlineLevel="2">
      <x:c r="B8" s="12"/>
      <x:c r="C8" s="70" t="s">
        <x:v>276</x:v>
      </x:c>
      <x:c r="D8" s="12"/>
      <x:c r="E8" s="28"/>
      <x:c r="F8" s="28">
        <x:f>SUBTOTAL(5,F4:F7)</x:f>
        <x:v>47</x:v>
      </x:c>
      <x:c r="G8" s="28"/>
      <x:c r="H8" s="28"/>
      <x:c r="I8" s="28"/>
      <x:c r="J8" s="12"/>
    </x:row>
    <x:row r="9" spans="2:10" outlineLevel="1">
      <x:c r="B9" s="12"/>
      <x:c r="C9" s="70" t="s">
        <x:v>259</x:v>
      </x:c>
      <x:c r="D9" s="12"/>
      <x:c r="E9" s="28">
        <x:f>SUBTOTAL(4,E4:E7)</x:f>
        <x:v>90</x:v>
      </x:c>
      <x:c r="F9" s="28"/>
      <x:c r="G9" s="28"/>
      <x:c r="H9" s="28"/>
      <x:c r="I9" s="28"/>
      <x:c r="J9" s="12"/>
    </x:row>
    <x:row r="10" spans="2:10" outlineLevel="3">
      <x:c r="B10" s="12" t="s">
        <x:v>131</x:v>
      </x:c>
      <x:c r="C10" s="12">
        <x:v>2</x:v>
      </x:c>
      <x:c r="D10" s="14">
        <x:v>59</x:v>
      </x:c>
      <x:c r="E10" s="28">
        <x:v>60</x:v>
      </x:c>
      <x:c r="F10" s="28">
        <x:v>60</x:v>
      </x:c>
      <x:c r="G10" s="28">
        <x:v>68</x:v>
      </x:c>
      <x:c r="H10" s="28">
        <x:v>67</x:v>
      </x:c>
      <x:c r="I10" s="28">
        <x:f>D10+E10+F10+G10+H10</x:f>
        <x:v>314</x:v>
      </x:c>
      <x:c r="J10" s="14">
        <x:f>AVERAGE(I10/5)</x:f>
        <x:v>62.799999999999997</x:v>
      </x:c>
    </x:row>
    <x:row r="11" spans="2:10" outlineLevel="3">
      <x:c r="B11" s="12" t="s">
        <x:v>130</x:v>
      </x:c>
      <x:c r="C11" s="12">
        <x:v>2</x:v>
      </x:c>
      <x:c r="D11" s="14">
        <x:v>87</x:v>
      </x:c>
      <x:c r="E11" s="28">
        <x:v>88</x:v>
      </x:c>
      <x:c r="F11" s="28">
        <x:v>83</x:v>
      </x:c>
      <x:c r="G11" s="28">
        <x:v>83</x:v>
      </x:c>
      <x:c r="H11" s="28">
        <x:v>88</x:v>
      </x:c>
      <x:c r="I11" s="28">
        <x:f>D11+E11+F11+G11+H11</x:f>
        <x:v>429</x:v>
      </x:c>
      <x:c r="J11" s="14">
        <x:f>AVERAGE(I11/5)</x:f>
        <x:v>85.799999999999997</x:v>
      </x:c>
    </x:row>
    <x:row r="12" spans="2:10" outlineLevel="3">
      <x:c r="B12" s="12" t="s">
        <x:v>132</x:v>
      </x:c>
      <x:c r="C12" s="12">
        <x:v>2</x:v>
      </x:c>
      <x:c r="D12" s="14">
        <x:v>91</x:v>
      </x:c>
      <x:c r="E12" s="28">
        <x:v>90</x:v>
      </x:c>
      <x:c r="F12" s="28">
        <x:v>92</x:v>
      </x:c>
      <x:c r="G12" s="28">
        <x:v>90</x:v>
      </x:c>
      <x:c r="H12" s="28">
        <x:v>93</x:v>
      </x:c>
      <x:c r="I12" s="28">
        <x:f>D12+E12+F12+G12+H12</x:f>
        <x:v>456</x:v>
      </x:c>
      <x:c r="J12" s="14">
        <x:f>AVERAGE(I12/5)</x:f>
        <x:v>91.200000000000003</x:v>
      </x:c>
    </x:row>
    <x:row r="13" spans="2:10" outlineLevel="3">
      <x:c r="B13" s="12" t="s">
        <x:v>141</x:v>
      </x:c>
      <x:c r="C13" s="12">
        <x:v>2</x:v>
      </x:c>
      <x:c r="D13" s="14">
        <x:v>63</x:v>
      </x:c>
      <x:c r="E13" s="28">
        <x:v>62</x:v>
      </x:c>
      <x:c r="F13" s="28">
        <x:v>59</x:v>
      </x:c>
      <x:c r="G13" s="28">
        <x:v>68</x:v>
      </x:c>
      <x:c r="H13" s="28">
        <x:v>70</x:v>
      </x:c>
      <x:c r="I13" s="28">
        <x:f>D13+E13+F13+G13+H13</x:f>
        <x:v>322</x:v>
      </x:c>
      <x:c r="J13" s="14">
        <x:f>AVERAGE(I13/5)</x:f>
        <x:v>64.400000000000006</x:v>
      </x:c>
    </x:row>
    <x:row r="14" spans="2:10" outlineLevel="2">
      <x:c r="B14" s="12"/>
      <x:c r="C14" s="70" t="s">
        <x:v>296</x:v>
      </x:c>
      <x:c r="D14" s="12"/>
      <x:c r="E14" s="28"/>
      <x:c r="F14" s="28">
        <x:f>SUBTOTAL(5,F10:F13)</x:f>
        <x:v>59</x:v>
      </x:c>
      <x:c r="G14" s="28"/>
      <x:c r="H14" s="28"/>
      <x:c r="I14" s="28"/>
      <x:c r="J14" s="12"/>
    </x:row>
    <x:row r="15" spans="2:10" outlineLevel="1">
      <x:c r="B15" s="12"/>
      <x:c r="C15" s="70" t="s">
        <x:v>260</x:v>
      </x:c>
      <x:c r="D15" s="12"/>
      <x:c r="E15" s="28">
        <x:f>SUBTOTAL(4,E10:E13)</x:f>
        <x:v>90</x:v>
      </x:c>
      <x:c r="F15" s="28"/>
      <x:c r="G15" s="28"/>
      <x:c r="H15" s="28"/>
      <x:c r="I15" s="28"/>
      <x:c r="J15" s="12"/>
    </x:row>
    <x:row r="16" spans="2:10" outlineLevel="3">
      <x:c r="B16" s="12" t="s">
        <x:v>123</x:v>
      </x:c>
      <x:c r="C16" s="12">
        <x:v>3</x:v>
      </x:c>
      <x:c r="D16" s="14">
        <x:v>96</x:v>
      </x:c>
      <x:c r="E16" s="28">
        <x:v>95</x:v>
      </x:c>
      <x:c r="F16" s="28">
        <x:v>95</x:v>
      </x:c>
      <x:c r="G16" s="28">
        <x:v>96</x:v>
      </x:c>
      <x:c r="H16" s="28">
        <x:v>97</x:v>
      </x:c>
      <x:c r="I16" s="28">
        <x:f>D16+E16+F16+G16+H16</x:f>
        <x:v>479</x:v>
      </x:c>
      <x:c r="J16" s="14">
        <x:f>AVERAGE(I16/5)</x:f>
        <x:v>95.799999999999997</x:v>
      </x:c>
    </x:row>
    <x:row r="17" spans="2:10" outlineLevel="3">
      <x:c r="B17" s="12" t="s">
        <x:v>138</x:v>
      </x:c>
      <x:c r="C17" s="12">
        <x:v>3</x:v>
      </x:c>
      <x:c r="D17" s="14">
        <x:v>96</x:v>
      </x:c>
      <x:c r="E17" s="28">
        <x:v>98</x:v>
      </x:c>
      <x:c r="F17" s="28">
        <x:v>91</x:v>
      </x:c>
      <x:c r="G17" s="28">
        <x:v>95</x:v>
      </x:c>
      <x:c r="H17" s="28">
        <x:v>96</x:v>
      </x:c>
      <x:c r="I17" s="28">
        <x:f>D17+E17+F17+G17+H17</x:f>
        <x:v>476</x:v>
      </x:c>
      <x:c r="J17" s="14">
        <x:f>AVERAGE(I17/5)</x:f>
        <x:v>95.200000000000003</x:v>
      </x:c>
    </x:row>
    <x:row r="18" spans="2:10" outlineLevel="3">
      <x:c r="B18" s="12" t="s">
        <x:v>133</x:v>
      </x:c>
      <x:c r="C18" s="12">
        <x:v>3</x:v>
      </x:c>
      <x:c r="D18" s="14">
        <x:v>86</x:v>
      </x:c>
      <x:c r="E18" s="28">
        <x:v>81</x:v>
      </x:c>
      <x:c r="F18" s="28">
        <x:v>80</x:v>
      </x:c>
      <x:c r="G18" s="28">
        <x:v>88</x:v>
      </x:c>
      <x:c r="H18" s="28">
        <x:v>91</x:v>
      </x:c>
      <x:c r="I18" s="28">
        <x:f>D18+E18+F18+G18+H18</x:f>
        <x:v>426</x:v>
      </x:c>
      <x:c r="J18" s="14">
        <x:f>AVERAGE(I18/5)</x:f>
        <x:v>85.200000000000003</x:v>
      </x:c>
    </x:row>
    <x:row r="19" spans="2:10" outlineLevel="3">
      <x:c r="B19" s="12" t="s">
        <x:v>146</x:v>
      </x:c>
      <x:c r="C19" s="12">
        <x:v>3</x:v>
      </x:c>
      <x:c r="D19" s="14">
        <x:v>79</x:v>
      </x:c>
      <x:c r="E19" s="28">
        <x:v>98</x:v>
      </x:c>
      <x:c r="F19" s="28">
        <x:v>80</x:v>
      </x:c>
      <x:c r="G19" s="28">
        <x:v>91</x:v>
      </x:c>
      <x:c r="H19" s="28">
        <x:v>88</x:v>
      </x:c>
      <x:c r="I19" s="28">
        <x:f>D19+E19+F19+G19+H19</x:f>
        <x:v>436</x:v>
      </x:c>
      <x:c r="J19" s="14">
        <x:f>AVERAGE(I19/5)</x:f>
        <x:v>87.200000000000003</x:v>
      </x:c>
    </x:row>
    <x:row r="20" spans="2:10" outlineLevel="2">
      <x:c r="B20" s="12"/>
      <x:c r="C20" s="70" t="s">
        <x:v>280</x:v>
      </x:c>
      <x:c r="D20" s="12"/>
      <x:c r="E20" s="28"/>
      <x:c r="F20" s="28">
        <x:f>SUBTOTAL(5,F16:F19)</x:f>
        <x:v>80</x:v>
      </x:c>
      <x:c r="G20" s="28"/>
      <x:c r="H20" s="28"/>
      <x:c r="I20" s="28"/>
      <x:c r="J20" s="12"/>
    </x:row>
    <x:row r="21" spans="2:10" outlineLevel="1">
      <x:c r="B21" s="12"/>
      <x:c r="C21" s="70" t="s">
        <x:v>261</x:v>
      </x:c>
      <x:c r="D21" s="12"/>
      <x:c r="E21" s="28">
        <x:f>SUBTOTAL(4,E16:E19)</x:f>
        <x:v>98</x:v>
      </x:c>
      <x:c r="F21" s="28"/>
      <x:c r="G21" s="28"/>
      <x:c r="H21" s="28"/>
      <x:c r="I21" s="28"/>
      <x:c r="J21" s="12"/>
    </x:row>
    <x:row r="22" spans="2:10" outlineLevel="3">
      <x:c r="B22" s="12" t="s">
        <x:v>124</x:v>
      </x:c>
      <x:c r="C22" s="12">
        <x:v>4</x:v>
      </x:c>
      <x:c r="D22" s="14">
        <x:v>78</x:v>
      </x:c>
      <x:c r="E22" s="28">
        <x:v>70</x:v>
      </x:c>
      <x:c r="F22" s="28">
        <x:v>46</x:v>
      </x:c>
      <x:c r="G22" s="28">
        <x:v>76</x:v>
      </x:c>
      <x:c r="H22" s="28">
        <x:v>81</x:v>
      </x:c>
      <x:c r="I22" s="28">
        <x:f>D22+E22+F22+G22+H22</x:f>
        <x:v>351</x:v>
      </x:c>
      <x:c r="J22" s="14">
        <x:f>AVERAGE(I22/5)</x:f>
        <x:v>70.200000000000003</x:v>
      </x:c>
    </x:row>
    <x:row r="23" spans="2:10" outlineLevel="3">
      <x:c r="B23" s="12" t="s">
        <x:v>143</x:v>
      </x:c>
      <x:c r="C23" s="12">
        <x:v>4</x:v>
      </x:c>
      <x:c r="D23" s="14">
        <x:v>86</x:v>
      </x:c>
      <x:c r="E23" s="28">
        <x:v>86</x:v>
      </x:c>
      <x:c r="F23" s="28">
        <x:v>81</x:v>
      </x:c>
      <x:c r="G23" s="28">
        <x:v>79</x:v>
      </x:c>
      <x:c r="H23" s="28">
        <x:v>81</x:v>
      </x:c>
      <x:c r="I23" s="28">
        <x:f>D23+E23+F23+G23+H23</x:f>
        <x:v>413</x:v>
      </x:c>
      <x:c r="J23" s="14">
        <x:f>AVERAGE(I23/5)</x:f>
        <x:v>82.599999999999994</x:v>
      </x:c>
    </x:row>
    <x:row r="24" spans="2:10" outlineLevel="3">
      <x:c r="B24" s="12" t="s">
        <x:v>51</x:v>
      </x:c>
      <x:c r="C24" s="12">
        <x:v>4</x:v>
      </x:c>
      <x:c r="D24" s="14">
        <x:v>80</x:v>
      </x:c>
      <x:c r="E24" s="28">
        <x:v>58</x:v>
      </x:c>
      <x:c r="F24" s="28">
        <x:v>56</x:v>
      </x:c>
      <x:c r="G24" s="28">
        <x:v>78</x:v>
      </x:c>
      <x:c r="H24" s="28">
        <x:v>80</x:v>
      </x:c>
      <x:c r="I24" s="28">
        <x:f>D24+E24+F24+G24+H24</x:f>
        <x:v>352</x:v>
      </x:c>
      <x:c r="J24" s="14">
        <x:f>AVERAGE(I24/5)</x:f>
        <x:v>70.400000000000006</x:v>
      </x:c>
    </x:row>
    <x:row r="25" spans="2:10" outlineLevel="3">
      <x:c r="B25" s="12" t="s">
        <x:v>139</x:v>
      </x:c>
      <x:c r="C25" s="12">
        <x:v>4</x:v>
      </x:c>
      <x:c r="D25" s="14">
        <x:v>88</x:v>
      </x:c>
      <x:c r="E25" s="28">
        <x:v>84</x:v>
      </x:c>
      <x:c r="F25" s="28">
        <x:v>83</x:v>
      </x:c>
      <x:c r="G25" s="28">
        <x:v>84</x:v>
      </x:c>
      <x:c r="H25" s="28">
        <x:v>89</x:v>
      </x:c>
      <x:c r="I25" s="28">
        <x:f>D25+E25+F25+G25+H25</x:f>
        <x:v>428</x:v>
      </x:c>
      <x:c r="J25" s="14">
        <x:f>AVERAGE(I25/5)</x:f>
        <x:v>85.599999999999994</x:v>
      </x:c>
    </x:row>
    <x:row r="26" spans="2:10" outlineLevel="2">
      <x:c r="B26" s="16"/>
      <x:c r="C26" s="72" t="s">
        <x:v>279</x:v>
      </x:c>
      <x:c r="D26" s="16"/>
      <x:c r="E26" s="71"/>
      <x:c r="F26" s="71">
        <x:f>SUBTOTAL(5,F22:F25)</x:f>
        <x:v>46</x:v>
      </x:c>
      <x:c r="G26" s="71"/>
      <x:c r="H26" s="71"/>
      <x:c r="I26" s="71"/>
      <x:c r="J26" s="16"/>
    </x:row>
    <x:row r="27" spans="2:10" outlineLevel="1">
      <x:c r="B27" s="16"/>
      <x:c r="C27" s="72" t="s">
        <x:v>262</x:v>
      </x:c>
      <x:c r="D27" s="16"/>
      <x:c r="E27" s="71">
        <x:f>SUBTOTAL(4,E22:E25)</x:f>
        <x:v>86</x:v>
      </x:c>
      <x:c r="F27" s="71"/>
      <x:c r="G27" s="71"/>
      <x:c r="H27" s="71"/>
      <x:c r="I27" s="71"/>
      <x:c r="J27" s="16"/>
    </x:row>
    <x:row r="28" spans="2:10">
      <x:c r="B28" s="16"/>
      <x:c r="C28" s="72" t="s">
        <x:v>278</x:v>
      </x:c>
      <x:c r="D28" s="16"/>
      <x:c r="E28" s="71"/>
      <x:c r="F28" s="71">
        <x:f>SUBTOTAL(5,F4:F27)</x:f>
        <x:v>46</x:v>
      </x:c>
      <x:c r="G28" s="71"/>
      <x:c r="H28" s="71"/>
      <x:c r="I28" s="71"/>
      <x:c r="J28" s="16"/>
    </x:row>
    <x:row r="29" spans="2:10" collapsed="1">
      <x:c r="B29" s="16"/>
      <x:c r="C29" s="72" t="s">
        <x:v>263</x:v>
      </x:c>
      <x:c r="D29" s="16"/>
      <x:c r="E29" s="71">
        <x:f>SUBTOTAL(4,E4:E25)</x:f>
        <x:v>98</x:v>
      </x:c>
      <x:c r="F29" s="71"/>
      <x:c r="G29" s="71"/>
      <x:c r="H29" s="71"/>
      <x:c r="I29" s="71"/>
      <x:c r="J29" s="16"/>
    </x:row>
    <x:row r="30" collapsed="1"/>
  </x:sheetData>
  <x:sortState columnSort="0" caseSensitive="0" ref="B4:J19">
    <x:sortCondition descending="0" sortBy="value" ref="C4:C19"/>
  </x:sortState>
  <x:mergeCells count="1">
    <x:mergeCell ref="B1:J1"/>
  </x:mergeCells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8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7"/>
  <x:dimension ref="A1:G13"/>
  <x:sheetViews>
    <x:sheetView topLeftCell="A1" zoomScaleNormal="100" zoomScaleSheetLayoutView="75" workbookViewId="0">
      <x:selection activeCell="K2" activeCellId="0" sqref="K2:K2"/>
    </x:sheetView>
  </x:sheetViews>
  <x:sheetFormatPr defaultColWidth="9" defaultRowHeight="16.39999999999999857891"/>
  <x:cols>
    <x:col min="1" max="1" width="10" bestFit="1" customWidth="1"/>
    <x:col min="4" max="7" width="10.625" customWidth="1"/>
  </x:cols>
  <x:sheetData>
    <x:row r="1" spans="1:7" ht="23.5">
      <x:c r="A1" s="35" t="s">
        <x:v>251</x:v>
      </x:c>
      <x:c r="B1" s="35"/>
      <x:c r="C1" s="35"/>
      <x:c r="D1" s="35"/>
      <x:c r="E1" s="35"/>
      <x:c r="F1" s="35"/>
      <x:c r="G1" s="35"/>
    </x:row>
    <x:row r="3" spans="1:7">
      <x:c r="A3" s="73" t="s">
        <x:v>118</x:v>
      </x:c>
      <x:c r="B3" s="73" t="s">
        <x:v>147</x:v>
      </x:c>
      <x:c r="C3" s="73" t="s">
        <x:v>145</x:v>
      </x:c>
      <x:c r="D3" s="73" t="s">
        <x:v>148</x:v>
      </x:c>
      <x:c r="E3" s="73" t="s">
        <x:v>119</x:v>
      </x:c>
      <x:c r="F3" s="73" t="s">
        <x:v>122</x:v>
      </x:c>
      <x:c r="G3" s="73" t="s">
        <x:v>125</x:v>
      </x:c>
    </x:row>
    <x:row r="4" spans="1:7">
      <x:c r="A4" s="4" t="s">
        <x:v>120</x:v>
      </x:c>
      <x:c r="B4" s="4" t="s">
        <x:v>127</x:v>
      </x:c>
      <x:c r="C4" s="4" t="s">
        <x:v>151</x:v>
      </x:c>
      <x:c r="D4" s="31">
        <x:v>120000</x:v>
      </x:c>
      <x:c r="E4" s="31">
        <x:v>125000</x:v>
      </x:c>
      <x:c r="F4" s="31">
        <x:v>564</x:v>
      </x:c>
      <x:c r="G4" s="31">
        <x:f>E4-F4</x:f>
        <x:v>124436</x:v>
      </x:c>
    </x:row>
    <x:row r="5" spans="1:7">
      <x:c r="A5" s="4" t="s">
        <x:v>153</x:v>
      </x:c>
      <x:c r="B5" s="4" t="s">
        <x:v>152</x:v>
      </x:c>
      <x:c r="C5" s="4" t="s">
        <x:v>154</x:v>
      </x:c>
      <x:c r="D5" s="31">
        <x:v>120000</x:v>
      </x:c>
      <x:c r="E5" s="31">
        <x:v>120000</x:v>
      </x:c>
      <x:c r="F5" s="31">
        <x:v>857</x:v>
      </x:c>
      <x:c r="G5" s="31">
        <x:f t="shared" ref="G5:G12" si="0">E5-F5</x:f>
        <x:v>119143</x:v>
      </x:c>
    </x:row>
    <x:row r="6" spans="1:7">
      <x:c r="A6" s="29" t="s">
        <x:v>160</x:v>
      </x:c>
      <x:c r="B6" s="4" t="s">
        <x:v>155</x:v>
      </x:c>
      <x:c r="C6" s="4" t="s">
        <x:v>149</x:v>
      </x:c>
      <x:c r="D6" s="31">
        <x:v>120000</x:v>
      </x:c>
      <x:c r="E6" s="31">
        <x:v>120000</x:v>
      </x:c>
      <x:c r="F6" s="31">
        <x:v>963</x:v>
      </x:c>
      <x:c r="G6" s="31">
        <x:f t="shared" si="0"/>
        <x:v>119037</x:v>
      </x:c>
    </x:row>
    <x:row r="7" spans="1:7">
      <x:c r="A7" s="4" t="s">
        <x:v>182</x:v>
      </x:c>
      <x:c r="B7" s="4" t="s">
        <x:v>161</x:v>
      </x:c>
      <x:c r="C7" s="4" t="s">
        <x:v>150</x:v>
      </x:c>
      <x:c r="D7" s="31">
        <x:v>15000</x:v>
      </x:c>
      <x:c r="E7" s="31">
        <x:v>16000</x:v>
      </x:c>
      <x:c r="F7" s="31">
        <x:v>99</x:v>
      </x:c>
      <x:c r="G7" s="31">
        <x:f t="shared" si="0"/>
        <x:v>15901</x:v>
      </x:c>
    </x:row>
    <x:row r="8" spans="1:7">
      <x:c r="A8" s="4" t="s">
        <x:v>183</x:v>
      </x:c>
      <x:c r="B8" s="4" t="s">
        <x:v>156</x:v>
      </x:c>
      <x:c r="C8" s="4" t="s">
        <x:v>157</x:v>
      </x:c>
      <x:c r="D8" s="31">
        <x:v>10000</x:v>
      </x:c>
      <x:c r="E8" s="31">
        <x:v>9500</x:v>
      </x:c>
      <x:c r="F8" s="31">
        <x:v>68</x:v>
      </x:c>
      <x:c r="G8" s="31">
        <x:f t="shared" si="0"/>
        <x:v>9432</x:v>
      </x:c>
    </x:row>
    <x:row r="9" spans="1:7">
      <x:c r="A9" s="4" t="s">
        <x:v>158</x:v>
      </x:c>
      <x:c r="B9" s="4" t="s">
        <x:v>159</x:v>
      </x:c>
      <x:c r="C9" s="4" t="s">
        <x:v>164</x:v>
      </x:c>
      <x:c r="D9" s="31">
        <x:v>100000</x:v>
      </x:c>
      <x:c r="E9" s="31">
        <x:v>110000</x:v>
      </x:c>
      <x:c r="F9" s="31">
        <x:v>625</x:v>
      </x:c>
      <x:c r="G9" s="31">
        <x:f t="shared" si="0"/>
        <x:v>109375</x:v>
      </x:c>
    </x:row>
    <x:row r="10" spans="1:7">
      <x:c r="A10" s="4" t="s">
        <x:v>163</x:v>
      </x:c>
      <x:c r="B10" s="4" t="s">
        <x:v>165</x:v>
      </x:c>
      <x:c r="C10" s="4" t="s">
        <x:v>162</x:v>
      </x:c>
      <x:c r="D10" s="31">
        <x:v>50000</x:v>
      </x:c>
      <x:c r="E10" s="31">
        <x:v>50000</x:v>
      </x:c>
      <x:c r="F10" s="31">
        <x:v>97</x:v>
      </x:c>
      <x:c r="G10" s="31">
        <x:f t="shared" si="0"/>
        <x:v>49903</x:v>
      </x:c>
    </x:row>
    <x:row r="11" spans="1:7">
      <x:c r="A11" s="4" t="s">
        <x:v>17</x:v>
      </x:c>
      <x:c r="B11" s="4" t="s">
        <x:v>12</x:v>
      </x:c>
      <x:c r="C11" s="4" t="s">
        <x:v>8</x:v>
      </x:c>
      <x:c r="D11" s="31">
        <x:v>60000</x:v>
      </x:c>
      <x:c r="E11" s="31">
        <x:v>65000</x:v>
      </x:c>
      <x:c r="F11" s="31">
        <x:v>95</x:v>
      </x:c>
      <x:c r="G11" s="31">
        <x:f t="shared" si="0"/>
        <x:v>64905</x:v>
      </x:c>
    </x:row>
    <x:row r="12" spans="1:7">
      <x:c r="A12" s="4" t="s">
        <x:v>202</x:v>
      </x:c>
      <x:c r="B12" s="4" t="s">
        <x:v>9</x:v>
      </x:c>
      <x:c r="C12" s="4" t="s">
        <x:v>10</x:v>
      </x:c>
      <x:c r="D12" s="31">
        <x:v>100000</x:v>
      </x:c>
      <x:c r="E12" s="31">
        <x:v>90000</x:v>
      </x:c>
      <x:c r="F12" s="31">
        <x:v>86</x:v>
      </x:c>
      <x:c r="G12" s="31">
        <x:f t="shared" si="0"/>
        <x:v>89914</x:v>
      </x:c>
    </x:row>
    <x:row r="13" spans="1:7">
      <x:c r="A13" s="38" t="s">
        <x:v>26</x:v>
      </x:c>
      <x:c r="B13" s="39"/>
      <x:c r="C13" s="40"/>
      <x:c r="D13" s="74">
        <x:f>AVERAGE(D4:D12)</x:f>
        <x:v>77222.222222222219</x:v>
      </x:c>
      <x:c r="E13" s="74">
        <x:f t="shared" ref="E13:G13" si="1">AVERAGE(E4:E12)</x:f>
        <x:v>78388.888888888891</x:v>
      </x:c>
      <x:c r="F13" s="74">
        <x:f t="shared" si="1"/>
        <x:v>383.77777777777777</x:v>
      </x:c>
      <x:c r="G13" s="74">
        <x:f t="shared" si="1"/>
        <x:v>78005.111111111109</x:v>
      </x:c>
    </x:row>
  </x:sheetData>
  <x:mergeCells count="2">
    <x:mergeCell ref="A1:G1"/>
    <x:mergeCell ref="A13:C13"/>
  </x:mergeCells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  <x:drawing r:id="rId1"/>
</x:worksheet>
</file>

<file path=xl/worksheets/sheet9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8"/>
  <x:dimension ref="A1:H13"/>
  <x:sheetViews>
    <x:sheetView tabSelected="1" topLeftCell="A7" zoomScaleNormal="100" zoomScaleSheetLayoutView="75" workbookViewId="0">
      <x:selection activeCell="J14" activeCellId="0" sqref="J14:J14"/>
    </x:sheetView>
  </x:sheetViews>
  <x:sheetFormatPr defaultColWidth="9" defaultRowHeight="16.39999999999999857891"/>
  <x:cols>
    <x:col min="4" max="4" width="10.875" bestFit="1" customWidth="1"/>
    <x:col min="5" max="7" width="9.375" bestFit="1" customWidth="1"/>
    <x:col min="8" max="8" width="10.875" bestFit="1" customWidth="1"/>
  </x:cols>
  <x:sheetData>
    <x:row r="1" spans="1:8" ht="23.5">
      <x:c r="A1" s="35" t="s">
        <x:v>248</x:v>
      </x:c>
      <x:c r="B1" s="35"/>
      <x:c r="C1" s="35"/>
      <x:c r="D1" s="35"/>
      <x:c r="E1" s="35"/>
      <x:c r="F1" s="35"/>
      <x:c r="G1" s="35"/>
      <x:c r="H1" s="35"/>
    </x:row>
    <x:row r="3" spans="1:8">
      <x:c r="A3" s="30" t="s">
        <x:v>33</x:v>
      </x:c>
      <x:c r="B3" s="30" t="s">
        <x:v>52</x:v>
      </x:c>
      <x:c r="C3" s="30" t="s">
        <x:v>1</x:v>
      </x:c>
      <x:c r="D3" s="30" t="s">
        <x:v>6</x:v>
      </x:c>
      <x:c r="E3" s="30" t="s">
        <x:v>15</x:v>
      </x:c>
      <x:c r="F3" s="30" t="s">
        <x:v>13</x:v>
      </x:c>
      <x:c r="G3" s="30" t="s">
        <x:v>29</x:v>
      </x:c>
      <x:c r="H3" s="30" t="s">
        <x:v>203</x:v>
      </x:c>
    </x:row>
    <x:row r="4" spans="1:8">
      <x:c r="A4" s="30" t="s">
        <x:v>16</x:v>
      </x:c>
      <x:c r="B4" s="30" t="s">
        <x:v>30</x:v>
      </x:c>
      <x:c r="C4" s="30" t="s">
        <x:v>56</x:v>
      </x:c>
      <x:c r="D4" s="30">
        <x:v>2400000</x:v>
      </x:c>
      <x:c r="E4" s="30">
        <x:v>650000</x:v>
      </x:c>
      <x:c r="F4" s="30">
        <x:v>900000</x:v>
      </x:c>
      <x:c r="G4" s="30">
        <x:f>(D4+E4)*11%</x:f>
        <x:v>335500</x:v>
      </x:c>
      <x:c r="H4" s="30">
        <x:f>D4+E4+F4-G4</x:f>
        <x:v>3614500</x:v>
      </x:c>
    </x:row>
    <x:row r="5" spans="1:8">
      <x:c r="A5" s="30" t="s">
        <x:v>14</x:v>
      </x:c>
      <x:c r="B5" s="30" t="s">
        <x:v>57</x:v>
      </x:c>
      <x:c r="C5" s="30" t="s">
        <x:v>39</x:v>
      </x:c>
      <x:c r="D5" s="30">
        <x:v>1900000</x:v>
      </x:c>
      <x:c r="E5" s="30">
        <x:v>300000</x:v>
      </x:c>
      <x:c r="F5" s="30">
        <x:v>600000</x:v>
      </x:c>
      <x:c r="G5" s="30">
        <x:f t="shared" ref="G5:G13" si="0">(D5+E5)*11%</x:f>
        <x:v>242000</x:v>
      </x:c>
      <x:c r="H5" s="30">
        <x:f t="shared" ref="H5:H13" si="1">D5+E5+F5-G5</x:f>
        <x:v>2558000</x:v>
      </x:c>
    </x:row>
    <x:row r="6" spans="1:8">
      <x:c r="A6" s="30" t="s">
        <x:v>18</x:v>
      </x:c>
      <x:c r="B6" s="30" t="s">
        <x:v>0</x:v>
      </x:c>
      <x:c r="C6" s="30" t="s">
        <x:v>31</x:v>
      </x:c>
      <x:c r="D6" s="30">
        <x:v>1650000</x:v>
      </x:c>
      <x:c r="E6" s="30">
        <x:v>100000</x:v>
      </x:c>
      <x:c r="F6" s="30">
        <x:v>400000</x:v>
      </x:c>
      <x:c r="G6" s="30">
        <x:f t="shared" si="0"/>
        <x:v>192500</x:v>
      </x:c>
      <x:c r="H6" s="30">
        <x:f t="shared" si="1"/>
        <x:v>1957500</x:v>
      </x:c>
    </x:row>
    <x:row r="7" spans="1:8">
      <x:c r="A7" s="30" t="s">
        <x:v>2</x:v>
      </x:c>
      <x:c r="B7" s="30" t="s">
        <x:v>30</x:v>
      </x:c>
      <x:c r="C7" s="30" t="s">
        <x:v>39</x:v>
      </x:c>
      <x:c r="D7" s="30">
        <x:v>1850000</x:v>
      </x:c>
      <x:c r="E7" s="30">
        <x:v>250000</x:v>
      </x:c>
      <x:c r="F7" s="30">
        <x:v>600000</x:v>
      </x:c>
      <x:c r="G7" s="30">
        <x:f t="shared" si="0"/>
        <x:v>231000</x:v>
      </x:c>
      <x:c r="H7" s="30">
        <x:f t="shared" si="1"/>
        <x:v>2469000</x:v>
      </x:c>
    </x:row>
    <x:row r="8" spans="1:8">
      <x:c r="A8" s="30" t="s">
        <x:v>3</x:v>
      </x:c>
      <x:c r="B8" s="30" t="s">
        <x:v>0</x:v>
      </x:c>
      <x:c r="C8" s="30" t="s">
        <x:v>56</x:v>
      </x:c>
      <x:c r="D8" s="30">
        <x:v>2300000</x:v>
      </x:c>
      <x:c r="E8" s="30">
        <x:v>600000</x:v>
      </x:c>
      <x:c r="F8" s="30">
        <x:v>900000</x:v>
      </x:c>
      <x:c r="G8" s="30">
        <x:f t="shared" si="0"/>
        <x:v>319000</x:v>
      </x:c>
      <x:c r="H8" s="30">
        <x:f t="shared" si="1"/>
        <x:v>3481000</x:v>
      </x:c>
    </x:row>
    <x:row r="9" spans="1:8">
      <x:c r="A9" s="30" t="s">
        <x:v>4</x:v>
      </x:c>
      <x:c r="B9" s="30" t="s">
        <x:v>57</x:v>
      </x:c>
      <x:c r="C9" s="30" t="s">
        <x:v>56</x:v>
      </x:c>
      <x:c r="D9" s="30">
        <x:v>2400000</x:v>
      </x:c>
      <x:c r="E9" s="30">
        <x:v>500000</x:v>
      </x:c>
      <x:c r="F9" s="30">
        <x:v>900000</x:v>
      </x:c>
      <x:c r="G9" s="30">
        <x:f t="shared" si="0"/>
        <x:v>319000</x:v>
      </x:c>
      <x:c r="H9" s="30">
        <x:f t="shared" si="1"/>
        <x:v>3481000</x:v>
      </x:c>
    </x:row>
    <x:row r="10" spans="1:8">
      <x:c r="A10" s="30" t="s">
        <x:v>5</x:v>
      </x:c>
      <x:c r="B10" s="30" t="s">
        <x:v>0</x:v>
      </x:c>
      <x:c r="C10" s="30" t="s">
        <x:v>39</x:v>
      </x:c>
      <x:c r="D10" s="30">
        <x:v>1950000</x:v>
      </x:c>
      <x:c r="E10" s="30">
        <x:v>400000</x:v>
      </x:c>
      <x:c r="F10" s="30">
        <x:v>600000</x:v>
      </x:c>
      <x:c r="G10" s="30">
        <x:f t="shared" si="0"/>
        <x:v>258500</x:v>
      </x:c>
      <x:c r="H10" s="30">
        <x:f t="shared" si="1"/>
        <x:v>2691500</x:v>
      </x:c>
    </x:row>
    <x:row r="11" spans="1:8">
      <x:c r="A11" s="30" t="s">
        <x:v>7</x:v>
      </x:c>
      <x:c r="B11" s="30" t="s">
        <x:v>0</x:v>
      </x:c>
      <x:c r="C11" s="30" t="s">
        <x:v>39</x:v>
      </x:c>
      <x:c r="D11" s="30">
        <x:v>1900000</x:v>
      </x:c>
      <x:c r="E11" s="30">
        <x:v>250000</x:v>
      </x:c>
      <x:c r="F11" s="30">
        <x:v>600000</x:v>
      </x:c>
      <x:c r="G11" s="30">
        <x:f t="shared" si="0"/>
        <x:v>236500</x:v>
      </x:c>
      <x:c r="H11" s="30">
        <x:f t="shared" si="1"/>
        <x:v>2513500</x:v>
      </x:c>
    </x:row>
    <x:row r="12" spans="1:8">
      <x:c r="A12" s="30" t="s">
        <x:v>11</x:v>
      </x:c>
      <x:c r="B12" s="30" t="s">
        <x:v>30</x:v>
      </x:c>
      <x:c r="C12" s="30" t="s">
        <x:v>31</x:v>
      </x:c>
      <x:c r="D12" s="30">
        <x:v>1600000</x:v>
      </x:c>
      <x:c r="E12" s="30">
        <x:v>300000</x:v>
      </x:c>
      <x:c r="F12" s="30">
        <x:v>400000</x:v>
      </x:c>
      <x:c r="G12" s="30">
        <x:f t="shared" si="0"/>
        <x:v>209000</x:v>
      </x:c>
      <x:c r="H12" s="30">
        <x:f t="shared" si="1"/>
        <x:v>2091000</x:v>
      </x:c>
    </x:row>
    <x:row r="13" spans="1:8">
      <x:c r="A13" s="30" t="s">
        <x:v>21</x:v>
      </x:c>
      <x:c r="B13" s="30" t="s">
        <x:v>57</x:v>
      </x:c>
      <x:c r="C13" s="30" t="s">
        <x:v>31</x:v>
      </x:c>
      <x:c r="D13" s="30">
        <x:v>1600000</x:v>
      </x:c>
      <x:c r="E13" s="30">
        <x:v>250000</x:v>
      </x:c>
      <x:c r="F13" s="30">
        <x:v>400000</x:v>
      </x:c>
      <x:c r="G13" s="30">
        <x:f t="shared" si="0"/>
        <x:v>203500</x:v>
      </x:c>
      <x:c r="H13" s="30">
        <x:f t="shared" si="1"/>
        <x:v>2046500</x:v>
      </x:c>
    </x:row>
  </x:sheetData>
  <x:mergeCells count="1">
    <x:mergeCell ref="A1:H1"/>
  </x:mergeCells>
  <x:pageMargins left="0.69999998807907104492" right="0.69999998807907104492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300" verticalDpi="300" copies="1"/>
  <x:drawing r:id="rId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9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</vt:vector>
  </ep:TitlesOfParts>
  <ep:TotalTime>97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mondi</cp:lastModifiedBy>
  <cp:revision>6</cp:revision>
  <dcterms:created xsi:type="dcterms:W3CDTF">2012-08-20T03:09:15.000</dcterms:created>
  <dcterms:modified xsi:type="dcterms:W3CDTF">2023-05-22T03:38:16.839</dcterms:modified>
  <cp:version>1200.0100.01</cp:version>
</cp:coreProperties>
</file>