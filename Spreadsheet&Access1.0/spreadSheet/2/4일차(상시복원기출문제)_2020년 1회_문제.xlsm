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mondi\Desktop\컴활2급실기_5일만에 합격하기_버전2.0\5일만에 합격하기_자료집\4일차\"/>
    </mc:Choice>
  </mc:AlternateContent>
  <x:bookViews>
    <x:workbookView xWindow="0" yWindow="0" windowWidth="21345" windowHeight="8640" activeTab="3"/>
  </x:bookViews>
  <x:sheets>
    <x:sheet name="기본작업-1" sheetId="1" r:id="rId4"/>
    <x:sheet name="기본작업-2" sheetId="2" r:id="rId5"/>
    <x:sheet name="기본작업-3" sheetId="3" r:id="rId6"/>
    <x:sheet name="계산작업" sheetId="4" r:id="rId7"/>
    <x:sheet name="분석작업-1" sheetId="5" r:id="rId8"/>
    <x:sheet name="분석작업-2" sheetId="6" r:id="rId9"/>
    <x:sheet name="매크로작업" sheetId="7" r:id="rId10"/>
    <x:sheet name="차트작업" sheetId="8" r:id="rId11"/>
  </x:sheets>
  <x:definedNames>
    <x:definedName name="문구명">'기본작업-2'!$B$5,'기본작업-2'!$B$5:$B$13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<x:sst xmlns:r="http://schemas.openxmlformats.org/officeDocument/2006/relationships" xmlns:c="http://schemas.openxmlformats.org/drawingml/2006/chart" xmlns:x="http://schemas.openxmlformats.org/spreadsheetml/2006/main" count="490" uniqueCount="223">
  <x:si>
    <x:t>사무용품 판매 현황</x:t>
  </x:si>
  <x:si>
    <x:t>단위 : BOX</x:t>
  </x:si>
  <x:si>
    <x:t>교내 미술경시대회</x:t>
  </x:si>
  <x:si>
    <x:t>스마트폰 판매 현황</x:t>
  </x:si>
  <x:si>
    <x:t>어린이완구 매출현황</x:t>
  </x:si>
  <x:si>
    <x:t>2020년 2월</x:t>
  </x:si>
  <x:si>
    <x:t>T-200628</x:t>
  </x:si>
  <x:si>
    <x:t>T-190605</x:t>
  </x:si>
  <x:si>
    <x:t>W-191224</x:t>
  </x:si>
  <x:si>
    <x:t>M-191012</x:t>
  </x:si>
  <x:si>
    <x:t>W-180704</x:t>
  </x:si>
  <x:si>
    <x:t>M-200122</x:t>
  </x:si>
  <x:si>
    <x:t>S-200310</x:t>
  </x:si>
  <x:si>
    <x:t>S-191103</x:t>
  </x:si>
  <x:si>
    <x:t>S-180310</x:t>
  </x:si>
  <x:si>
    <x:t>직위별 급여현황</x:t>
  </x:si>
  <x:si>
    <x:t>M-180922</x:t>
  </x:si>
  <x:si>
    <x:t>직위가 '대리'이면서 성별이 '여'인 실수령액 합계</x:t>
  </x:si>
  <x:si>
    <x:t>문구명</x:t>
  </x:si>
  <x:si>
    <x:t>2월</x:t>
  </x:si>
  <x:si>
    <x:t>1월</x:t>
  </x:si>
  <x:si>
    <x:t>매입량</x:t>
  </x:si>
  <x:si>
    <x:t>서류철</x:t>
  </x:si>
  <x:si>
    <x:t>판매가</x:t>
  </x:si>
  <x:si>
    <x:t>3월</x:t>
  </x:si>
  <x:si>
    <x:t>판매량</x:t>
  </x:si>
  <x:si>
    <x:t>할인액</x:t>
  </x:si>
  <x:si>
    <x:t>월별</x:t>
  </x:si>
  <x:si>
    <x:t>이백원</x:t>
  </x:si>
  <x:si>
    <x:t>볼펜</x:t>
  </x:si>
  <x:si>
    <x:t>이대로</x:t>
  </x:si>
  <x:si>
    <x:t>한판만</x:t>
  </x:si>
  <x:si>
    <x:t>유명해</x:t>
  </x:si>
  <x:si>
    <x:t>전용택</x:t>
  </x:si>
  <x:si>
    <x:t>기획부</x:t>
  </x:si>
  <x:si>
    <x:t>부서</x:t>
  </x:si>
  <x:si>
    <x:t>필기</x:t>
  </x:si>
  <x:si>
    <x:t>강백호</x:t>
  </x:si>
  <x:si>
    <x:t>한국남</x:t>
  </x:si>
  <x:si>
    <x:t>생산부</x:t>
  </x:si>
  <x:si>
    <x:t>방심해</x:t>
  </x:si>
  <x:si>
    <x:t>신나라</x:t>
  </x:si>
  <x:si>
    <x:t>임금진</x:t>
  </x:si>
  <x:si>
    <x:t>실기</x:t>
  </x:si>
  <x:si>
    <x:t>면접</x:t>
  </x:si>
  <x:si>
    <x:t>대리</x:t>
  </x:si>
  <x:si>
    <x:t>김박사</x:t>
  </x:si>
  <x:si>
    <x:t>현상범</x:t>
  </x:si>
  <x:si>
    <x:t>김상염</x:t>
  </x:si>
  <x:si>
    <x:t>결과</x:t>
  </x:si>
  <x:si>
    <x:t>전환수</x:t>
  </x:si>
  <x:si>
    <x:t>기본급</x:t>
  </x:si>
  <x:si>
    <x:t>장애우</x:t>
  </x:si>
  <x:si>
    <x:t>박대중</x:t>
  </x:si>
  <x:si>
    <x:t>부장</x:t>
  </x:si>
  <x:si>
    <x:t>경리부</x:t>
  </x:si>
  <x:si>
    <x:t>사원명</x:t>
  </x:si>
  <x:si>
    <x:t>전세권</x:t>
  </x:si>
  <x:si>
    <x:t>금태우</x:t>
  </x:si>
  <x:si>
    <x:t>성명</x:t>
  </x:si>
  <x:si>
    <x:t>과장</x:t>
  </x:si>
  <x:si>
    <x:t>노숙자</x:t>
  </x:si>
  <x:si>
    <x:t>정고운</x:t>
  </x:si>
  <x:si>
    <x:t>김성명</x:t>
  </x:si>
  <x:si>
    <x:t>사원</x:t>
  </x:si>
  <x:si>
    <x:t>자재부</x:t>
  </x:si>
  <x:si>
    <x:t>최미경</x:t>
  </x:si>
  <x:si>
    <x:t>나잘난</x:t>
  </x:si>
  <x:si>
    <x:t>육해공</x:t>
  </x:si>
  <x:si>
    <x:t>정인간</x:t>
  </x:si>
  <x:si>
    <x:t>성별</x:t>
  </x:si>
  <x:si>
    <x:t>고장훈</x:t>
  </x:si>
  <x:si>
    <x:t>가미근</x:t>
  </x:si>
  <x:si>
    <x:t>안수국</x:t>
  </x:si>
  <x:si>
    <x:t>상여금</x:t>
  </x:si>
  <x:si>
    <x:t>학년</x:t>
  </x:si>
  <x:si>
    <x:t>제조사</x:t>
  </x:si>
  <x:si>
    <x:t>라명오</x:t>
  </x:si>
  <x:si>
    <x:t>수당</x:t>
  </x:si>
  <x:si>
    <x:t>유희지</x:t>
  </x:si>
  <x:si>
    <x:t>팀명</x:t>
  </x:si>
  <x:si>
    <x:t>이재휘</x:t>
  </x:si>
  <x:si>
    <x:t>여</x:t>
  </x:si>
  <x:si>
    <x:t>구주희</x:t>
  </x:si>
  <x:si>
    <x:t>한산의</x:t>
  </x:si>
  <x:si>
    <x:t>남</x:t>
  </x:si>
  <x:si>
    <x:t>세금</x:t>
  </x:si>
  <x:si>
    <x:t>제품명</x:t>
  </x:si>
  <x:si>
    <x:t>기본료</x:t>
  </x:si>
  <x:si>
    <x:t>영업부</x:t>
  </x:si>
  <x:si>
    <x:t>직위</x:t>
  </x:si>
  <x:si>
    <x:t>개발부</x:t>
  </x:si>
  <x:si>
    <x:t>반수인</x:t>
  </x:si>
  <x:si>
    <x:t>하나로</x:t>
  </x:si>
  <x:si>
    <x:t>점수</x:t>
  </x:si>
  <x:si>
    <x:t>김태은</x:t>
  </x:si>
  <x:si>
    <x:t>탁길태</x:t>
  </x:si>
  <x:si>
    <x:t>방귀남</x:t>
  </x:si>
  <x:si>
    <x:t>핫슛</x:t>
  </x:si>
  <x:si>
    <x:t>승점</x:t>
  </x:si>
  <x:si>
    <x:t>무</x:t>
  </x:si>
  <x:si>
    <x:t>충북</x:t>
  </x:si>
  <x:si>
    <x:t>강원도</x:t>
  </x:si>
  <x:si>
    <x:t>누구바</x:t>
  </x:si>
  <x:si>
    <x:t>부산</x:t>
  </x:si>
  <x:si>
    <x:t>직종</x:t>
  </x:si>
  <x:si>
    <x:t>박가이</x:t>
  </x:si>
  <x:si>
    <x:t>이승은</x:t>
  </x:si>
  <x:si>
    <x:t>최영감</x:t>
  </x:si>
  <x:si>
    <x:t>발로차</x:t>
  </x:si>
  <x:si>
    <x:t>볼란테</x:t>
  </x:si>
  <x:si>
    <x:t>수원</x:t>
  </x:si>
  <x:si>
    <x:t>화성</x:t>
  </x:si>
  <x:si>
    <x:t>승</x:t>
  </x:si>
  <x:si>
    <x:t>광명</x:t>
  </x:si>
  <x:si>
    <x:t>군포</x:t>
  </x:si>
  <x:si>
    <x:t>시흥</x:t>
  </x:si>
  <x:si>
    <x:t>패</x:t>
  </x:si>
  <x:si>
    <x:t>금정</x:t>
  </x:si>
  <x:si>
    <x:t>연고지</x:t>
  </x:si>
  <x:si>
    <x:t>안산</x:t>
  </x:si>
  <x:si>
    <x:t>안양</x:t>
  </x:si>
  <x:si>
    <x:t>완구명</x:t>
  </x:si>
  <x:si>
    <x:t>킥보드</x:t>
  </x:si>
  <x:si>
    <x:t>전동차</x:t>
  </x:si>
  <x:si>
    <x:t>피닉스</x:t>
  </x:si>
  <x:si>
    <x:t>자전거</x:t>
  </x:si>
  <x:si>
    <x:t>지역</x:t>
  </x:si>
  <x:si>
    <x:t>서울</x:t>
  </x:si>
  <x:si>
    <x:t>오산</x:t>
  </x:si>
  <x:si>
    <x:t>김성산</x:t>
  </x:si>
  <x:si>
    <x:t>V7</x:t>
  </x:si>
  <x:si>
    <x:t>한이주</x:t>
  </x:si>
  <x:si>
    <x:t>G8</x:t>
  </x:si>
  <x:si>
    <x:t>강오선</x:t>
  </x:si>
  <x:si>
    <x:t>삼성</x:t>
  </x:si>
  <x:si>
    <x:t>한송이</x:t>
  </x:si>
  <x:si>
    <x:t>애플</x:t>
  </x:si>
  <x:si>
    <x:t>이재신</x:t>
  </x:si>
  <x:si>
    <x:t>LG</x:t>
  </x:si>
  <x:si>
    <x:t>장나주</x:t>
  </x:si>
  <x:si>
    <x:t>KS(경기서부) 리그 경기결과</x:t>
  </x:si>
  <x:si>
    <x:t>2/4분기 아이스크림 판매 현황</x:t>
  </x:si>
  <x:si>
    <x:t>[표3] 3월 급여 지급 현황</x:t>
  </x:si>
  <x:si>
    <x:t>[표2] 2월 급여 지급 현황</x:t>
  </x:si>
  <x:si>
    <x:t>지역이 '강원도'인 판매금액의 평균</x:t>
  </x:si>
  <x:si>
    <x:t>[표1] 1월 급여 지급 현황</x:t>
  </x:si>
  <x:si>
    <x:t>자동차 보험 가입 현황</x:t>
  </x:si>
  <x:si>
    <x:t>1/4분기 급여 지급 현황</x:t>
  </x:si>
  <x:si>
    <x:t>단말기할부금</x:t>
  </x:si>
  <x:si>
    <x:t>A4용지</x:t>
  </x:si>
  <x:si>
    <x:t>[표5]</x:t>
  </x:si>
  <x:si>
    <x:t>유니샤크</x:t>
  </x:si>
  <x:si>
    <x:t>공장출고가</x:t>
  </x:si>
  <x:si>
    <x:t>급여지급현황</x:t>
  </x:si>
  <x:si>
    <x:t>[표1]</x:t>
  </x:si>
  <x:si>
    <x:t>가족수당</x:t>
  </x:si>
  <x:si>
    <x:t>[표4]</x:t>
  </x:si>
  <x:si>
    <x:t>진급여부</x:t>
  </x:si>
  <x:si>
    <x:t>갤록시 팝</x:t>
  </x:si>
  <x:si>
    <x:t>통신요금</x:t>
  </x:si>
  <x:si>
    <x:t>부가서비스</x:t>
  </x:si>
  <x:si>
    <x:t>진급심사결과</x:t>
  </x:si>
  <x:si>
    <x:t>실수령액</x:t>
  </x:si>
  <x:si>
    <x:t>총판매액</x:t>
  </x:si>
  <x:si>
    <x:t>[표2]</x:t>
  </x:si>
  <x:si>
    <x:t>키즈토이</x:t>
  </x:si>
  <x:si>
    <x:t>세계완구</x:t>
  </x:si>
  <x:si>
    <x:t>레볼루션</x:t>
  </x:si>
  <x:si>
    <x:t>36개월~6세</x:t>
  </x:si>
  <x:si>
    <x:t>24개월~5세</x:t>
  </x:si>
  <x:si>
    <x:t>뽕뽕키즈</x:t>
  </x:si>
  <x:si>
    <x:t>블럭세트</x:t>
  </x:si>
  <x:si>
    <x:t>판매수량</x:t>
  </x:si>
  <x:si>
    <x:t>실내그네</x:t>
  </x:si>
  <x:si>
    <x:t>S001</x:t>
  </x:si>
  <x:si>
    <x:t>수크리바</x:t>
  </x:si>
  <x:si>
    <x:t>왕자공주</x:t>
  </x:si>
  <x:si>
    <x:t>[표3]</x:t>
  </x:si>
  <x:si>
    <x:t>대리점코드</x:t>
  </x:si>
  <x:si>
    <x:t>B001</x:t>
  </x:si>
  <x:si>
    <x:t>빵빠레오</x:t>
  </x:si>
  <x:si>
    <x:t>C001</x:t>
  </x:si>
  <x:si>
    <x:t>G001</x:t>
  </x:si>
  <x:si>
    <x:t>완구랜드</x:t>
  </x:si>
  <x:si>
    <x:t>슛돌FC</x:t>
  </x:si>
  <x:si>
    <x:t>교통놀이</x:t>
  </x:si>
  <x:si>
    <x:t>토이랜드</x:t>
  </x:si>
  <x:si>
    <x:t>대상연령</x:t>
  </x:si>
  <x:si>
    <x:t>5세~8세</x:t>
  </x:si>
  <x:si>
    <x:t>12개월~4세</x:t>
  </x:si>
  <x:si>
    <x:t>24개월~4세</x:t>
  </x:si>
  <x:si>
    <x:t>판매가격</x:t>
  </x:si>
  <x:si>
    <x:t>판매단가</x:t>
  </x:si>
  <x:si>
    <x:t>판매금액</x:t>
  </x:si>
  <x:si>
    <x:t>비바FC</x:t>
  </x:si>
  <x:si>
    <x:t>36개월~8세</x:t>
  </x:si>
  <x:si>
    <x:t>레전드FC</x:t>
  </x:si>
  <x:si>
    <x:t>B004</x:t>
  </x:si>
  <x:si>
    <x:t>B003</x:t>
  </x:si>
  <x:si>
    <x:t>갤럭시 노트</x:t>
  </x:si>
  <x:si>
    <x:t>더위사랑</x:t>
  </x:si>
  <x:si>
    <x:t>B002</x:t>
  </x:si>
  <x:si>
    <x:t>G002</x:t>
  </x:si>
  <x:si>
    <x:t>G004</x:t>
  </x:si>
  <x:si>
    <x:t>G003</x:t>
  </x:si>
  <x:si>
    <x:t>S002</x:t>
  </x:si>
  <x:si>
    <x:t>C004</x:t>
  </x:si>
  <x:si>
    <x:t>C002</x:t>
  </x:si>
  <x:si>
    <x:t>사원번호</x:t>
  </x:si>
  <x:si>
    <x:t>S004</x:t>
  </x:si>
  <x:si>
    <x:t>C003</x:t>
  </x:si>
  <x:si>
    <x:t>갤럭시 S10</x:t>
  </x:si>
  <x:si>
    <x:t>아이폰11</x:t>
  </x:si>
  <x:si>
    <x:t>S003</x:t>
  </x:si>
  <x:si>
    <x:t>진급</x:t>
  </x:si>
  <x:si>
    <x:t>1등</x:t>
  </x:si>
  <x:si>
    <x:t>2등</x:t>
  </x:si>
  <x:si>
    <x:t>3등</x:t>
  </x:si>
  <x:si>
    <x:t/>
  </x:si>
  <x:si>
    <x:t>파견직</x:t>
  </x:si>
  <x:si>
    <x:t>정규직</x:t>
  </x:si>
  <x:si>
    <x:t>계약직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</x:si>
</x:sst>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2">
    <x:numFmt numFmtId="164" formatCode="#,##0_ "/>
    <x:numFmt numFmtId="165" formatCode="#,##0&quot;원&quot;"/>
  </x:numFmts>
  <x:fonts count="14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x:font>
      <x:name val="맑은 고딕"/>
      <x:sz val="11"/>
      <x:color rgb="ff000000"/>
      <x:b val="1"/>
    </x:font>
    <x:font>
      <x:name val="맑은 고딕"/>
      <x:sz val="10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4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4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2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휴먼옛체"/>
          <x:sz val="17"/>
          <x:color rgb="ff000000"/>
          <x:b val="1"/>
          <x:u val="double"/>
          <hs:underlineType val="1"/>
          <hs:underlineShape val="doubleslim"/>
          <hs:underlineColor rgb="ff000000"/>
          <hs:size val="100"/>
          <hs:ratio val="100"/>
          <hs:spacing val="0"/>
          <hs:offset val="0"/>
        </x:font>
      </mc:Choice>
      <mc:Fallback>
        <x:font>
          <x:name val="휴먼옛체"/>
          <x:sz val="17"/>
          <x:color rgb="ff000000"/>
          <x:b val="1"/>
          <x:u val="double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체"/>
          <x:sz val="12"/>
          <x:color rgb="ff4f81bd"/>
          <hs:size val="100"/>
          <hs:ratio val="100"/>
          <hs:spacing val="0"/>
          <hs:offset val="0"/>
        </x:font>
      </mc:Choice>
      <mc:Fallback>
        <x:font>
          <x:name val="굴림체"/>
          <x:sz val="12"/>
          <x:color rgb="ff4f81bd"/>
        </x:font>
      </mc:Fallback>
    </mc:AlternateContent>
  </x:fonts>
  <x:fills count="4">
    <x:fill>
      <x:patternFill patternType="none"/>
    </x:fill>
    <x:fill>
      <x:patternFill patternType="gray125"/>
    </x:fill>
    <x:fill>
      <x:patternFill patternType="solid">
        <x:fgColor rgb="ffbfbfbf"/>
        <x:bgColor indexed="64"/>
      </x:patternFill>
    </x:fill>
    <x:fill>
      <x:patternFill patternType="solid">
        <x:fgColor rgb="ffffff00"/>
        <x:bgColor indexed="64"/>
      </x:patternFill>
    </x:fill>
  </x:fills>
  <x:borders count="14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>
        <x:color auto="1"/>
      </x:right>
      <x:top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medium">
        <x:color auto="1"/>
      </x:top>
      <x:bottom style="thin">
        <x:color auto="1"/>
      </x:bottom>
    </x:border>
    <x:border>
      <x:left style="thin">
        <x:color auto="1"/>
      </x:left>
      <x:right style="thin">
        <x:color auto="1"/>
      </x:right>
      <x:top style="medium">
        <x:color auto="1"/>
      </x:top>
      <x:bottom style="thin">
        <x:color auto="1"/>
      </x:bottom>
    </x:border>
    <x:border>
      <x:left style="thin">
        <x:color auto="1"/>
      </x:left>
      <x:right style="medium">
        <x:color auto="1"/>
      </x:right>
      <x:top style="medium"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auto="1"/>
      </x:left>
      <x:right style="medium">
        <x:color auto="1"/>
      </x:right>
      <x:top style="thin"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thin">
        <x:color auto="1"/>
      </x:top>
      <x:bottom style="medium">
        <x:color auto="1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medium">
        <x:color auto="1"/>
      </x:bottom>
    </x:border>
    <x:border>
      <x:left style="thin">
        <x:color auto="1"/>
      </x:left>
      <x:right style="medium">
        <x:color auto="1"/>
      </x:right>
      <x:top style="thin">
        <x:color auto="1"/>
      </x:top>
      <x:bottom style="medium">
        <x:color auto="1"/>
      </x:bottom>
    </x:border>
  </x:borders>
  <x:cellStyleXfs count="2">
    <x:xf numFmtId="0" fontId="0" fillId="0" borderId="0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</x:cellStyleXfs>
  <x:cellXfs count="40">
    <x:xf numFmtId="0" fontId="0" fillId="0" borderId="0" xfId="0" applyNumberFormat="1">
      <x:alignment horizontal="general" vertical="center"/>
    </x:xf>
    <x:xf numFmtId="0" fontId="0" fillId="0" borderId="0" xfId="0" applyNumberFormat="1" applyAlignment="1">
      <x:alignment horizontal="general" vertical="bottom"/>
    </x:xf>
    <x:xf numFmtId="0" fontId="0" fillId="0" borderId="0" xfId="0" applyNumberFormat="1" applyFont="1">
      <x:alignment horizontal="general" vertical="center"/>
    </x:xf>
    <x:xf numFmtId="0" fontId="7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ill="1" applyBorder="1" applyAlignment="1">
          <x:alignment horizontal="center" vertical="center"/>
        </x:xf>
      </mc:Fallback>
    </mc:AlternateContent>
    <x:xf numFmtId="0" fontId="8" fillId="0" borderId="0" xfId="0" applyNumberFormat="1" applyFont="1">
      <x:alignment horizontal="general" vertical="center"/>
    </x:xf>
    <x:xf numFmtId="41" fontId="0" fillId="0" borderId="1" xfId="1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Border="1" applyAlignment="1">
          <x:alignment horizontal="center" vertical="center"/>
        </x:xf>
      </mc:Fallback>
    </mc:AlternateContent>
    <x:xf numFmtId="41" fontId="0" fillId="0" borderId="1" xfId="1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1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1" applyNumberFormat="1" applyFont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x:xf numFmtId="41" fontId="0" fillId="0" borderId="1" xfId="1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7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NumberFormat="1" applyFont="1" applyAlignment="1">
          <x:alignment horizontal="center" vertical="center"/>
        </x:xf>
      </mc:Fallback>
    </mc:AlternateContent>
    <x:xf numFmtId="42" fontId="0" fillId="0" borderId="1" xfId="0" applyNumberForma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3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3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0" fontId="0" fillId="0" borderId="1" xfId="0" applyNumberFormat="1" applyFont="1" applyBorder="1">
      <x:alignment horizontal="general" vertical="center"/>
    </x:xf>
    <x:xf numFmtId="165" fontId="0" fillId="0" borderId="1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3" fillId="3" borderId="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3" borderId="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3" borderId="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3" borderId="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3" borderId="8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3" borderId="8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NumberFormat="1" applyFont="1" applyFill="1" applyBorder="1" applyAlignment="1" applyProtection="1">
          <x:alignment horizontal="center" vertical="center"/>
        </x:xf>
      </mc:Fallback>
    </mc:AlternateContent>
    <x:xf numFmtId="165" fontId="0" fillId="0" borderId="10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1" xfId="0" applyNumberFormat="1" applyFont="1" applyFill="1" applyBorder="1" applyAlignment="1" applyProtection="1">
          <x:alignment horizontal="center" vertical="center"/>
        </x:xf>
      </mc:Fallback>
    </mc:AlternateContent>
    <x:xf numFmtId="0" fontId="0" fillId="0" borderId="12" xfId="0" applyNumberFormat="1" applyFont="1" applyBorder="1">
      <x:alignment horizontal="general" vertical="center"/>
    </x:xf>
    <x:xf numFmtId="165" fontId="0" fillId="0" borderId="12" xfId="0" applyNumberFormat="1" applyFont="1" applyFill="1" applyBorder="1">
      <x:alignment horizontal="general" vertical="center"/>
    </x:xf>
    <x:xf numFmtId="165" fontId="0" fillId="0" borderId="13" xfId="0" applyNumberFormat="1" applyFont="1" applyFill="1" applyBorder="1">
      <x:alignment horizontal="general" vertical="center"/>
    </x:xf>
    <x:xf numFmtId="42" fontId="0" fillId="0" borderId="1" xfId="0" applyNumberFormat="1" applyFont="1" applyBorder="1">
      <x:alignment horizontal="general" vertical="center"/>
    </x:xf>
  </x:cellXfs>
  <x:cellStyles count="2">
    <x:cellStyle name="표준" xfId="0" builtinId="0"/>
    <x:cellStyle name="쉼표 [0]" xfId="1" builtinId="6"/>
  </x:cellStyles>
  <x:dxfs count="1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00"/>
            <x:b val="1"/>
            <hs:useFontSpace val="0"/>
            <hs:size val="0"/>
            <hs:ratio val="0"/>
            <hs:spacing val="0"/>
            <hs:offset val="0"/>
          </x:font>
          <x:numFmt numFmtId="0" formatCode="General"/>
          <x:fill>
            <x:patternFill>
              <x:bgColor rgb="ff6182d6"/>
            </x:patternFill>
          </x:fill>
        </x:dxf>
      </mc:Choice>
      <mc:Fallback>
        <x:dxf>
          <x:font>
            <x:color rgb="ffffff00"/>
            <x:b val="1"/>
          </x:font>
          <x:numFmt numFmtId="0" formatCode="General"/>
          <x:fill>
            <x:patternFill>
              <x:bgColor rgb="ff6182d6"/>
            </x:patternFill>
          </x:fill>
        </x:dxf>
      </mc:Fallback>
    </mc:AlternateContent>
  </x:dxfs>
  <x:tableStyles count="0" defaultTableStyle="TableStyleMedium2" defaultPivotStyle="PivotStyleLight16"/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worksheet" Target="worksheets/sheet7.xml"  /><Relationship Id="rId11" Type="http://schemas.openxmlformats.org/officeDocument/2006/relationships/worksheet" Target="worksheets/sheet8.xml"  /><Relationship Id="rId12" Type="http://schemas.microsoft.com/office/2006/relationships/vbaProject" Target="vbaProject.bin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차트작업!$D$2</c:f>
              <c:strCache>
                <c:ptCount val="1"/>
                <c:pt idx="0">
                  <c:v>판매수량</c:v>
                </c:pt>
              </c:strCache>
            </c:strRef>
          </c:tx>
          <c:invertIfNegative val="0"/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차트작업!$D$3:$D$8</c:f>
              <c:numCache>
                <c:formatCode xml:space="preserve">#,##0_ </c:formatCode>
                <c:ptCount val="6"/>
                <c:pt idx="0">
                  <c:v>162</c:v>
                </c:pt>
                <c:pt idx="1">
                  <c:v>295</c:v>
                </c:pt>
                <c:pt idx="2">
                  <c:v>178</c:v>
                </c:pt>
                <c:pt idx="3">
                  <c:v>199</c:v>
                </c:pt>
                <c:pt idx="4">
                  <c:v>184</c:v>
                </c:pt>
                <c:pt idx="5">
                  <c:v>169</c:v>
                </c:pt>
              </c:numCache>
            </c:numRef>
          </c:val>
        </c:ser>
        <c:ser>
          <c:idx val="1"/>
          <c:order val="1"/>
          <c:tx>
            <c:strRef>
              <c:f>차트작업!$E$2</c:f>
              <c:strCache>
                <c:ptCount val="1"/>
                <c:pt idx="0">
                  <c:v>판매단가</c:v>
                </c:pt>
              </c:strCache>
            </c:strRef>
          </c:tx>
          <c:invertIfNegative val="0"/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차트작업!$E$3:$E$8</c:f>
              <c:numCache>
                <c:formatCode xml:space="preserve">#,##0_ </c:formatCode>
                <c:ptCount val="6"/>
                <c:pt idx="0">
                  <c:v>180000</c:v>
                </c:pt>
                <c:pt idx="1">
                  <c:v>75000</c:v>
                </c:pt>
                <c:pt idx="2">
                  <c:v>60000</c:v>
                </c:pt>
                <c:pt idx="3">
                  <c:v>68000</c:v>
                </c:pt>
                <c:pt idx="4">
                  <c:v>42000</c:v>
                </c:pt>
                <c:pt idx="5">
                  <c:v>115000</c:v>
                </c:pt>
              </c:numCache>
            </c:numRef>
          </c:val>
        </c:ser>
        <c:ser>
          <c:idx val="2"/>
          <c:order val="2"/>
          <c:tx>
            <c:strRef>
              <c:f>차트작업!$F$2</c:f>
              <c:strCache>
                <c:ptCount val="1"/>
                <c:pt idx="0">
                  <c:v>총판매액</c:v>
                </c:pt>
              </c:strCache>
            </c:strRef>
          </c:tx>
          <c:invertIfNegative val="0"/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차트작업!$F$3:$F$8</c:f>
              <c:numCache>
                <c:formatCode xml:space="preserve">#,##0_ </c:formatCode>
                <c:ptCount val="6"/>
                <c:pt idx="0">
                  <c:v>29160000</c:v>
                </c:pt>
                <c:pt idx="1">
                  <c:v>22125000</c:v>
                </c:pt>
                <c:pt idx="2">
                  <c:v>10680000</c:v>
                </c:pt>
                <c:pt idx="3">
                  <c:v>13532000</c:v>
                </c:pt>
                <c:pt idx="4">
                  <c:v>7728000</c:v>
                </c:pt>
                <c:pt idx="5">
                  <c:v>19435000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0"/>
        <c:axId val="219108096"/>
        <c:axId val="219109632"/>
      </c:barChart>
      <c:catAx>
        <c:axId val="219108096"/>
        <c:scaling>
          <c:orientation val="minMax"/>
        </c:scaling>
        <c:axPos val="b"/>
        <c:crossAx val="219109632"/>
        <c:delete val="0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219109632"/>
        <c:scaling>
          <c:orientation val="minMax"/>
        </c:scaling>
        <c:axPos val="l"/>
        <c:crossAx val="219108096"/>
        <c:delete val="0"/>
        <c:majorGridlines/>
        <c:numFmt formatCode="#,##0_ " sourceLinked="1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drawings/_rels/drawing3.xml.rels><?xml version="1.0" encoding="UTF-8" standalone="yes" ?><Relationships xmlns="http://schemas.openxmlformats.org/package/2006/relationships"><Relationship Id="rId1" Type="http://schemas.openxmlformats.org/officeDocument/2006/relationships/chart" Target="../charts/chart3.xml"  /></Relationships>
</file>

<file path=xl/drawings/drawing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0</xdr:col>
      <xdr:colOff>0</xdr:colOff>
      <xdr:row>9</xdr:row>
      <xdr:rowOff>0</xdr:rowOff>
    </xdr:from>
    <xdr:to>
      <xdr:col>5</xdr:col>
      <xdr:colOff>900176</xdr:colOff>
      <xdr:row>24</xdr:row>
      <xdr:rowOff>0</xdr:rowOff>
    </xdr:to>
    <xdr:graphicFrame fPublished="0">
      <xdr:nvGraphicFramePr>
        <xdr:cNvPr id="2" name="차트 1"/>
        <xdr:cNvGraphicFramePr/>
      </xdr:nvGraphicFramePr>
      <xdr:xfrm>
        <a:off x="0" y="3876675"/>
        <a:ext cx="9725025" cy="6286500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</a:theme>
</file>

<file path=xl/worksheets/_rels/sheet8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3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1:F12"/>
  <x:sheetViews>
    <x:sheetView topLeftCell="A1" zoomScaleNormal="100" zoomScaleSheetLayoutView="75" workbookViewId="0">
      <x:selection activeCell="E1" activeCellId="0" sqref="E1:E1"/>
    </x:sheetView>
  </x:sheetViews>
  <x:sheetFormatPr defaultColWidth="9" defaultRowHeight="16.39999999999999857891"/>
  <x:cols>
    <x:col min="1" max="1" width="9.375" bestFit="1" customWidth="1"/>
    <x:col min="2" max="2" width="15.875" bestFit="1" customWidth="1"/>
    <x:col min="4" max="4" width="14.125" bestFit="1" customWidth="1"/>
    <x:col min="5" max="5" width="14.375" bestFit="1" customWidth="1"/>
    <x:col min="6" max="6" width="11" bestFit="1" customWidth="1"/>
  </x:cols>
  <x:sheetData>
    <x:row r="1" spans="1:6">
      <x:c r="A1" s="1" t="s">
        <x:v>147</x:v>
      </x:c>
      <x:c r="B1" s="1"/>
      <x:c r="C1" s="1"/>
      <x:c r="D1" s="1"/>
      <x:c r="E1" s="1"/>
      <x:c r="F1" s="1"/>
    </x:row>
    <x:row r="2" spans="1:6">
      <x:c r="A2" s="1"/>
      <x:c r="B2" s="1"/>
      <x:c r="C2" s="1"/>
      <x:c r="D2" s="1"/>
      <x:c r="E2" s="1"/>
      <x:c r="F2" s="1" t="s">
        <x:v>5</x:v>
      </x:c>
    </x:row>
    <x:row r="3" spans="1:6">
      <x:c r="A3" s="1"/>
      <x:c r="B3" s="1"/>
      <x:c r="C3" s="1"/>
      <x:c r="D3" s="1"/>
      <x:c r="E3" s="1"/>
      <x:c r="F3" s="1"/>
    </x:row>
    <x:row r="4" spans="1:6">
      <x:c r="A4" s="1"/>
      <x:c r="B4" s="1"/>
      <x:c r="C4" s="1"/>
      <x:c r="D4" s="1"/>
      <x:c r="E4" s="1"/>
      <x:c r="F4" s="1"/>
    </x:row>
    <x:row r="5" spans="1:6">
      <x:c r="A5" s="1"/>
      <x:c r="B5" s="1"/>
      <x:c r="C5" s="1"/>
      <x:c r="D5" s="1"/>
      <x:c r="E5" s="1"/>
      <x:c r="F5" s="1"/>
    </x:row>
    <x:row r="6" spans="1:6">
      <x:c r="A6" s="1"/>
      <x:c r="B6" s="1"/>
      <x:c r="C6" s="1"/>
      <x:c r="D6" s="1"/>
      <x:c r="E6" s="1"/>
      <x:c r="F6" s="1"/>
    </x:row>
    <x:row r="7" spans="1:6">
      <x:c r="A7" s="1"/>
      <x:c r="B7" s="1"/>
      <x:c r="C7" s="1"/>
      <x:c r="D7" s="1"/>
      <x:c r="E7" s="1"/>
      <x:c r="F7" s="1"/>
    </x:row>
    <x:row r="8" spans="1:6">
      <x:c r="A8" s="1"/>
      <x:c r="B8" s="1"/>
      <x:c r="C8" s="1"/>
      <x:c r="D8" s="1"/>
      <x:c r="E8" s="1"/>
      <x:c r="F8" s="1"/>
    </x:row>
    <x:row r="9" spans="1:6">
      <x:c r="A9" s="1"/>
      <x:c r="B9" s="1"/>
      <x:c r="C9" s="1"/>
      <x:c r="D9" s="1"/>
      <x:c r="E9" s="1"/>
      <x:c r="F9" s="1"/>
    </x:row>
    <x:row r="10" spans="1:6">
      <x:c r="A10" s="1"/>
      <x:c r="B10" s="1"/>
      <x:c r="C10" s="1"/>
      <x:c r="D10" s="1"/>
      <x:c r="E10" s="1"/>
      <x:c r="F10" s="1"/>
    </x:row>
    <x:row r="11" spans="1:6">
      <x:c r="A11" s="1"/>
      <x:c r="B11" s="1"/>
      <x:c r="C11" s="1"/>
      <x:c r="D11" s="1"/>
      <x:c r="E11" s="1"/>
      <x:c r="F11" s="1"/>
    </x:row>
    <x:row r="12" spans="1:6">
      <x:c r="A12" s="1"/>
      <x:c r="B12" s="1"/>
      <x:c r="C12" s="1"/>
      <x:c r="D12" s="1"/>
      <x:c r="E12" s="1"/>
      <x:c r="F12" s="1"/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H13"/>
  <x:sheetViews>
    <x:sheetView topLeftCell="A1" zoomScaleNormal="100" zoomScaleSheetLayoutView="75" workbookViewId="0">
      <x:selection activeCell="I2" activeCellId="0" sqref="I2:I2"/>
    </x:sheetView>
  </x:sheetViews>
  <x:sheetFormatPr defaultColWidth="9" defaultRowHeight="16.39999999999999857891"/>
  <x:cols>
    <x:col min="1" max="2" width="9" style="2"/>
    <x:col min="3" max="3" width="11" style="2" bestFit="1" customWidth="1"/>
    <x:col min="4" max="7" width="9" style="2"/>
    <x:col min="8" max="8" width="10.625" style="2" bestFit="1" customWidth="1"/>
    <x:col min="9" max="16384" width="9" style="2"/>
  </x:cols>
  <x:sheetData>
    <x:row r="1" spans="1:8" ht="22">
      <x:c r="A1" s="27" t="s">
        <x:v>0</x:v>
      </x:c>
      <x:c r="B1" s="27"/>
      <x:c r="C1" s="27"/>
      <x:c r="D1" s="27"/>
      <x:c r="E1" s="27"/>
      <x:c r="F1" s="27"/>
      <x:c r="G1" s="27"/>
      <x:c r="H1" s="27"/>
    </x:row>
    <x:row r="3" spans="8:8">
      <x:c r="H3" s="2" t="s">
        <x:v>1</x:v>
      </x:c>
    </x:row>
    <x:row r="4" spans="1:8">
      <x:c r="A4" s="30" t="s">
        <x:v>27</x:v>
      </x:c>
      <x:c r="B4" s="31" t="s">
        <x:v>18</x:v>
      </x:c>
      <x:c r="C4" s="31" t="s">
        <x:v>153</x:v>
      </x:c>
      <x:c r="D4" s="31" t="s">
        <x:v>21</x:v>
      </x:c>
      <x:c r="E4" s="31" t="s">
        <x:v>23</x:v>
      </x:c>
      <x:c r="F4" s="31" t="s">
        <x:v>25</x:v>
      </x:c>
      <x:c r="G4" s="31" t="s">
        <x:v>26</x:v>
      </x:c>
      <x:c r="H4" s="32" t="s">
        <x:v>164</x:v>
      </x:c>
    </x:row>
    <x:row r="5" spans="1:8">
      <x:c r="A5" s="33" t="s">
        <x:v>20</x:v>
      </x:c>
      <x:c r="B5" s="28" t="s">
        <x:v>150</x:v>
      </x:c>
      <x:c r="C5" s="29">
        <x:v>16000</x:v>
      </x:c>
      <x:c r="D5" s="28">
        <x:v>100</x:v>
      </x:c>
      <x:c r="E5" s="29">
        <x:v>23000</x:v>
      </x:c>
      <x:c r="F5" s="28">
        <x:v>88</x:v>
      </x:c>
      <x:c r="G5" s="29">
        <x:f>E5*0.07</x:f>
        <x:v>1610.0000000000002</x:v>
      </x:c>
      <x:c r="H5" s="34">
        <x:f>ROUND(E5*F5-G5*F5,-3)</x:f>
        <x:v>1882000</x:v>
      </x:c>
    </x:row>
    <x:row r="6" spans="1:8">
      <x:c r="A6" s="33"/>
      <x:c r="B6" s="28" t="s">
        <x:v>22</x:v>
      </x:c>
      <x:c r="C6" s="29">
        <x:v>10500</x:v>
      </x:c>
      <x:c r="D6" s="28">
        <x:v>80</x:v>
      </x:c>
      <x:c r="E6" s="29">
        <x:v>15000</x:v>
      </x:c>
      <x:c r="F6" s="28">
        <x:v>62</x:v>
      </x:c>
      <x:c r="G6" s="29">
        <x:f t="shared" ref="G6:G13" si="0">E6*0.07</x:f>
        <x:v>1050</x:v>
      </x:c>
      <x:c r="H6" s="34">
        <x:f t="shared" ref="H6:H13" si="1">ROUND(E6*F6-G6*F6,-3)</x:f>
        <x:v>865000</x:v>
      </x:c>
    </x:row>
    <x:row r="7" spans="1:8">
      <x:c r="A7" s="33"/>
      <x:c r="B7" s="28" t="s">
        <x:v>29</x:v>
      </x:c>
      <x:c r="C7" s="29">
        <x:v>14000</x:v>
      </x:c>
      <x:c r="D7" s="28">
        <x:v>120</x:v>
      </x:c>
      <x:c r="E7" s="29">
        <x:v>20000</x:v>
      </x:c>
      <x:c r="F7" s="28">
        <x:v>111</x:v>
      </x:c>
      <x:c r="G7" s="29">
        <x:f t="shared" si="0"/>
        <x:v>1400.0000000000002</x:v>
      </x:c>
      <x:c r="H7" s="34">
        <x:f t="shared" si="1"/>
        <x:v>2065000</x:v>
      </x:c>
    </x:row>
    <x:row r="8" spans="1:8">
      <x:c r="A8" s="33" t="s">
        <x:v>19</x:v>
      </x:c>
      <x:c r="B8" s="28" t="s">
        <x:v>150</x:v>
      </x:c>
      <x:c r="C8" s="29">
        <x:v>16000</x:v>
      </x:c>
      <x:c r="D8" s="28">
        <x:v>80</x:v>
      </x:c>
      <x:c r="E8" s="29">
        <x:v>23000</x:v>
      </x:c>
      <x:c r="F8" s="28">
        <x:v>91</x:v>
      </x:c>
      <x:c r="G8" s="29">
        <x:f t="shared" si="0"/>
        <x:v>1610.0000000000002</x:v>
      </x:c>
      <x:c r="H8" s="34">
        <x:f t="shared" si="1"/>
        <x:v>1946000</x:v>
      </x:c>
    </x:row>
    <x:row r="9" spans="1:8">
      <x:c r="A9" s="33"/>
      <x:c r="B9" s="28" t="s">
        <x:v>22</x:v>
      </x:c>
      <x:c r="C9" s="29">
        <x:v>10500</x:v>
      </x:c>
      <x:c r="D9" s="28">
        <x:v>75</x:v>
      </x:c>
      <x:c r="E9" s="29">
        <x:v>15000</x:v>
      </x:c>
      <x:c r="F9" s="28">
        <x:v>93</x:v>
      </x:c>
      <x:c r="G9" s="29">
        <x:f t="shared" si="0"/>
        <x:v>1050</x:v>
      </x:c>
      <x:c r="H9" s="34">
        <x:f t="shared" si="1"/>
        <x:v>1297000</x:v>
      </x:c>
    </x:row>
    <x:row r="10" spans="1:8">
      <x:c r="A10" s="33"/>
      <x:c r="B10" s="28" t="s">
        <x:v>29</x:v>
      </x:c>
      <x:c r="C10" s="29">
        <x:v>14000</x:v>
      </x:c>
      <x:c r="D10" s="28">
        <x:v>100</x:v>
      </x:c>
      <x:c r="E10" s="29">
        <x:v>20000</x:v>
      </x:c>
      <x:c r="F10" s="28">
        <x:v>101</x:v>
      </x:c>
      <x:c r="G10" s="29">
        <x:f t="shared" si="0"/>
        <x:v>1400.0000000000002</x:v>
      </x:c>
      <x:c r="H10" s="34">
        <x:f t="shared" si="1"/>
        <x:v>1879000</x:v>
      </x:c>
    </x:row>
    <x:row r="11" spans="1:8">
      <x:c r="A11" s="33" t="s">
        <x:v>24</x:v>
      </x:c>
      <x:c r="B11" s="28" t="s">
        <x:v>150</x:v>
      </x:c>
      <x:c r="C11" s="29">
        <x:v>16000</x:v>
      </x:c>
      <x:c r="D11" s="28">
        <x:v>90</x:v>
      </x:c>
      <x:c r="E11" s="29">
        <x:v>23000</x:v>
      </x:c>
      <x:c r="F11" s="28">
        <x:v>87</x:v>
      </x:c>
      <x:c r="G11" s="29">
        <x:f t="shared" si="0"/>
        <x:v>1610.0000000000002</x:v>
      </x:c>
      <x:c r="H11" s="34">
        <x:f t="shared" si="1"/>
        <x:v>1861000</x:v>
      </x:c>
    </x:row>
    <x:row r="12" spans="1:8">
      <x:c r="A12" s="33"/>
      <x:c r="B12" s="28" t="s">
        <x:v>22</x:v>
      </x:c>
      <x:c r="C12" s="29">
        <x:v>10500</x:v>
      </x:c>
      <x:c r="D12" s="28">
        <x:v>100</x:v>
      </x:c>
      <x:c r="E12" s="29">
        <x:v>15000</x:v>
      </x:c>
      <x:c r="F12" s="28">
        <x:v>96</x:v>
      </x:c>
      <x:c r="G12" s="29">
        <x:f t="shared" si="0"/>
        <x:v>1050</x:v>
      </x:c>
      <x:c r="H12" s="34">
        <x:f t="shared" si="1"/>
        <x:v>1339000</x:v>
      </x:c>
    </x:row>
    <x:row r="13" spans="1:8">
      <x:c r="A13" s="35"/>
      <x:c r="B13" s="36" t="s">
        <x:v>29</x:v>
      </x:c>
      <x:c r="C13" s="37">
        <x:v>14000</x:v>
      </x:c>
      <x:c r="D13" s="36">
        <x:v>100</x:v>
      </x:c>
      <x:c r="E13" s="37">
        <x:v>20000</x:v>
      </x:c>
      <x:c r="F13" s="36">
        <x:v>92</x:v>
      </x:c>
      <x:c r="G13" s="37">
        <x:f t="shared" si="0"/>
        <x:v>1400.0000000000002</x:v>
      </x:c>
      <x:c r="H13" s="38">
        <x:f t="shared" si="1"/>
        <x:v>1711000</x:v>
      </x:c>
    </x:row>
  </x:sheetData>
  <x:mergeCells count="4">
    <x:mergeCell ref="A1:H1"/>
    <x:mergeCell ref="A11:A13"/>
    <x:mergeCell ref="A8:A10"/>
    <x:mergeCell ref="A5:A7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0"/>
  <x:dimension ref="A1:F18"/>
  <x:sheetViews>
    <x:sheetView topLeftCell="A1" zoomScaleNormal="100" zoomScaleSheetLayoutView="75" workbookViewId="0">
      <x:selection activeCell="G1" activeCellId="0" sqref="G1:G1"/>
    </x:sheetView>
  </x:sheetViews>
  <x:sheetFormatPr defaultColWidth="9" defaultRowHeight="16.39999999999999857891"/>
  <x:cols>
    <x:col min="1" max="1" width="9" customWidth="1"/>
    <x:col min="2" max="2" width="11" bestFit="1" customWidth="1"/>
    <x:col min="3" max="4" width="9" customWidth="1"/>
    <x:col min="5" max="5" width="10.125" customWidth="1"/>
    <x:col min="6" max="6" width="14.0625" customWidth="1"/>
  </x:cols>
  <x:sheetData>
    <x:row r="1" spans="1:6" ht="23.5">
      <x:c r="A1" s="19" t="s">
        <x:v>142</x:v>
      </x:c>
      <x:c r="B1" s="19"/>
      <x:c r="C1" s="19"/>
      <x:c r="D1" s="19"/>
      <x:c r="E1" s="19"/>
      <x:c r="F1" s="19"/>
    </x:row>
    <x:row r="2" spans="1:6">
      <x:c r="A2" s="13" t="s">
        <x:v>127</x:v>
      </x:c>
      <x:c r="B2" s="13" t="s">
        <x:v>179</x:v>
      </x:c>
      <x:c r="C2" s="13" t="s">
        <x:v>87</x:v>
      </x:c>
      <x:c r="D2" s="13" t="s">
        <x:v>192</x:v>
      </x:c>
      <x:c r="E2" s="13" t="s">
        <x:v>25</x:v>
      </x:c>
      <x:c r="F2" s="13" t="s">
        <x:v>194</x:v>
      </x:c>
    </x:row>
    <x:row r="3" spans="1:6">
      <x:c r="A3" s="13" t="s">
        <x:v>128</x:v>
      </x:c>
      <x:c r="B3" s="13" t="s">
        <x:v>175</x:v>
      </x:c>
      <x:c r="C3" s="13" t="s">
        <x:v>176</x:v>
      </x:c>
      <x:c r="D3" s="14">
        <x:v>1000</x:v>
      </x:c>
      <x:c r="E3" s="14">
        <x:v>554100</x:v>
      </x:c>
      <x:c r="F3" s="14">
        <x:f>D3*E3</x:f>
        <x:v>554100000</x:v>
      </x:c>
    </x:row>
    <x:row r="4" spans="1:6">
      <x:c r="A4" s="13" t="s">
        <x:v>104</x:v>
      </x:c>
      <x:c r="B4" s="13" t="s">
        <x:v>180</x:v>
      </x:c>
      <x:c r="C4" s="13" t="s">
        <x:v>181</x:v>
      </x:c>
      <x:c r="D4" s="14">
        <x:v>1500</x:v>
      </x:c>
      <x:c r="E4" s="14">
        <x:v>452600</x:v>
      </x:c>
      <x:c r="F4" s="14">
        <x:f t="shared" ref="F4:F18" si="0">D4*E4</x:f>
        <x:v>678900000</x:v>
      </x:c>
    </x:row>
    <x:row r="5" spans="1:6">
      <x:c r="A5" s="13" t="s">
        <x:v>101</x:v>
      </x:c>
      <x:c r="B5" s="13" t="s">
        <x:v>182</x:v>
      </x:c>
      <x:c r="C5" s="13" t="s">
        <x:v>181</x:v>
      </x:c>
      <x:c r="D5" s="14">
        <x:v>1500</x:v>
      </x:c>
      <x:c r="E5" s="14">
        <x:v>519800</x:v>
      </x:c>
      <x:c r="F5" s="14">
        <x:f t="shared" si="0"/>
        <x:v>779700000</x:v>
      </x:c>
    </x:row>
    <x:row r="6" spans="1:6">
      <x:c r="A6" s="13" t="s">
        <x:v>102</x:v>
      </x:c>
      <x:c r="B6" s="13" t="s">
        <x:v>183</x:v>
      </x:c>
      <x:c r="C6" s="13" t="s">
        <x:v>103</x:v>
      </x:c>
      <x:c r="D6" s="14">
        <x:v>800</x:v>
      </x:c>
      <x:c r="E6" s="14">
        <x:v>398500</x:v>
      </x:c>
      <x:c r="F6" s="14">
        <x:f t="shared" si="0"/>
        <x:v>318800000</x:v>
      </x:c>
    </x:row>
    <x:row r="7" spans="1:6">
      <x:c r="A7" s="13" t="s">
        <x:v>128</x:v>
      </x:c>
      <x:c r="B7" s="13" t="s">
        <x:v>206</x:v>
      </x:c>
      <x:c r="C7" s="13" t="s">
        <x:v>201</x:v>
      </x:c>
      <x:c r="D7" s="14">
        <x:v>1500</x:v>
      </x:c>
      <x:c r="E7" s="14">
        <x:v>631500</x:v>
      </x:c>
      <x:c r="F7" s="14">
        <x:f t="shared" si="0"/>
        <x:v>947250000</x:v>
      </x:c>
    </x:row>
    <x:row r="8" spans="1:6">
      <x:c r="A8" s="13" t="s">
        <x:v>101</x:v>
      </x:c>
      <x:c r="B8" s="13" t="s">
        <x:v>208</x:v>
      </x:c>
      <x:c r="C8" s="13" t="s">
        <x:v>176</x:v>
      </x:c>
      <x:c r="D8" s="14">
        <x:v>1000</x:v>
      </x:c>
      <x:c r="E8" s="14">
        <x:v>468500</x:v>
      </x:c>
      <x:c r="F8" s="14">
        <x:f t="shared" si="0"/>
        <x:v>468500000</x:v>
      </x:c>
    </x:row>
    <x:row r="9" spans="1:6">
      <x:c r="A9" s="13" t="s">
        <x:v>128</x:v>
      </x:c>
      <x:c r="B9" s="13" t="s">
        <x:v>214</x:v>
      </x:c>
      <x:c r="C9" s="13" t="s">
        <x:v>103</x:v>
      </x:c>
      <x:c r="D9" s="14">
        <x:v>800</x:v>
      </x:c>
      <x:c r="E9" s="14">
        <x:v>613500</x:v>
      </x:c>
      <x:c r="F9" s="14">
        <x:f t="shared" si="0"/>
        <x:v>490800000</x:v>
      </x:c>
    </x:row>
    <x:row r="10" spans="1:6">
      <x:c r="A10" s="13" t="s">
        <x:v>128</x:v>
      </x:c>
      <x:c r="B10" s="13" t="s">
        <x:v>210</x:v>
      </x:c>
      <x:c r="C10" s="13" t="s">
        <x:v>181</x:v>
      </x:c>
      <x:c r="D10" s="14">
        <x:v>1500</x:v>
      </x:c>
      <x:c r="E10" s="14">
        <x:v>475800</x:v>
      </x:c>
      <x:c r="F10" s="14">
        <x:f t="shared" si="0"/>
        <x:v>713700000</x:v>
      </x:c>
    </x:row>
    <x:row r="11" spans="1:6">
      <x:c r="A11" s="13" t="s">
        <x:v>102</x:v>
      </x:c>
      <x:c r="B11" s="13" t="s">
        <x:v>203</x:v>
      </x:c>
      <x:c r="C11" s="13" t="s">
        <x:v>201</x:v>
      </x:c>
      <x:c r="D11" s="14">
        <x:v>1500</x:v>
      </x:c>
      <x:c r="E11" s="14">
        <x:v>438700</x:v>
      </x:c>
      <x:c r="F11" s="14">
        <x:f t="shared" si="0"/>
        <x:v>658050000</x:v>
      </x:c>
    </x:row>
    <x:row r="12" spans="1:6">
      <x:c r="A12" s="13" t="s">
        <x:v>104</x:v>
      </x:c>
      <x:c r="B12" s="13" t="s">
        <x:v>202</x:v>
      </x:c>
      <x:c r="C12" s="13" t="s">
        <x:v>201</x:v>
      </x:c>
      <x:c r="D12" s="14">
        <x:v>1500</x:v>
      </x:c>
      <x:c r="E12" s="14">
        <x:v>632000</x:v>
      </x:c>
      <x:c r="F12" s="14">
        <x:f t="shared" si="0"/>
        <x:v>948000000</x:v>
      </x:c>
    </x:row>
    <x:row r="13" spans="1:6">
      <x:c r="A13" s="13" t="s">
        <x:v>101</x:v>
      </x:c>
      <x:c r="B13" s="13" t="s">
        <x:v>211</x:v>
      </x:c>
      <x:c r="C13" s="13" t="s">
        <x:v>103</x:v>
      </x:c>
      <x:c r="D13" s="14">
        <x:v>800</x:v>
      </x:c>
      <x:c r="E13" s="14">
        <x:v>425800</x:v>
      </x:c>
      <x:c r="F13" s="14">
        <x:f t="shared" si="0"/>
        <x:v>340640000</x:v>
      </x:c>
    </x:row>
    <x:row r="14" spans="1:6">
      <x:c r="A14" s="13" t="s">
        <x:v>104</x:v>
      </x:c>
      <x:c r="B14" s="13" t="s">
        <x:v>199</x:v>
      </x:c>
      <x:c r="C14" s="13" t="s">
        <x:v>176</x:v>
      </x:c>
      <x:c r="D14" s="14">
        <x:v>1000</x:v>
      </x:c>
      <x:c r="E14" s="14">
        <x:v>572000</x:v>
      </x:c>
      <x:c r="F14" s="14">
        <x:f t="shared" si="0"/>
        <x:v>572000000</x:v>
      </x:c>
    </x:row>
    <x:row r="15" spans="1:6">
      <x:c r="A15" s="13" t="s">
        <x:v>102</x:v>
      </x:c>
      <x:c r="B15" s="13" t="s">
        <x:v>205</x:v>
      </x:c>
      <x:c r="C15" s="13" t="s">
        <x:v>176</x:v>
      </x:c>
      <x:c r="D15" s="14">
        <x:v>1000</x:v>
      </x:c>
      <x:c r="E15" s="14">
        <x:v>357900</x:v>
      </x:c>
      <x:c r="F15" s="14">
        <x:f t="shared" si="0"/>
        <x:v>357900000</x:v>
      </x:c>
    </x:row>
    <x:row r="16" spans="1:6">
      <x:c r="A16" s="13" t="s">
        <x:v>104</x:v>
      </x:c>
      <x:c r="B16" s="13" t="s">
        <x:v>198</x:v>
      </x:c>
      <x:c r="C16" s="13" t="s">
        <x:v>103</x:v>
      </x:c>
      <x:c r="D16" s="14">
        <x:v>800</x:v>
      </x:c>
      <x:c r="E16" s="14">
        <x:v>540000</x:v>
      </x:c>
      <x:c r="F16" s="14">
        <x:f t="shared" si="0"/>
        <x:v>432000000</x:v>
      </x:c>
    </x:row>
    <x:row r="17" spans="1:6">
      <x:c r="A17" s="13" t="s">
        <x:v>101</x:v>
      </x:c>
      <x:c r="B17" s="13" t="s">
        <x:v>207</x:v>
      </x:c>
      <x:c r="C17" s="13" t="s">
        <x:v>201</x:v>
      </x:c>
      <x:c r="D17" s="14">
        <x:v>1500</x:v>
      </x:c>
      <x:c r="E17" s="14">
        <x:v>524800</x:v>
      </x:c>
      <x:c r="F17" s="14">
        <x:f t="shared" si="0"/>
        <x:v>787200000</x:v>
      </x:c>
    </x:row>
    <x:row r="18" spans="1:6">
      <x:c r="A18" s="13" t="s">
        <x:v>102</x:v>
      </x:c>
      <x:c r="B18" s="13" t="s">
        <x:v>204</x:v>
      </x:c>
      <x:c r="C18" s="13" t="s">
        <x:v>181</x:v>
      </x:c>
      <x:c r="D18" s="14">
        <x:v>1500</x:v>
      </x:c>
      <x:c r="E18" s="14">
        <x:v>426800</x:v>
      </x:c>
      <x:c r="F18" s="14">
        <x:f t="shared" si="0"/>
        <x:v>640200000</x:v>
      </x:c>
    </x:row>
  </x:sheetData>
  <x:mergeCells count="1">
    <x:mergeCell ref="A1:F1"/>
  </x:mergeCells>
  <x:conditionalFormatting sqref="A3:F18">
    <x:cfRule type="expression" dxfId="0" priority="1">
      <x:formula>$F3&gt;=AVERAGE($F$3:$F$18)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L43"/>
  <x:sheetViews>
    <x:sheetView tabSelected="1" topLeftCell="A1" zoomScaleNormal="100" zoomScaleSheetLayoutView="75" workbookViewId="0">
      <x:selection activeCell="M1" activeCellId="0" sqref="M1:M1"/>
    </x:sheetView>
  </x:sheetViews>
  <x:sheetFormatPr defaultColWidth="9" defaultRowHeight="16.39999999999999857891"/>
  <x:cols>
    <x:col min="2" max="2" width="11.125" customWidth="1"/>
    <x:col min="3" max="3" width="11.125" bestFit="1" customWidth="1"/>
    <x:col min="4" max="4" width="11.75" bestFit="1" customWidth="1"/>
    <x:col min="5" max="5" width="12.4375" bestFit="1" customWidth="1"/>
    <x:col min="6" max="6" width="3.625" customWidth="1"/>
    <x:col min="8" max="8" width="10.875" customWidth="1"/>
    <x:col min="9" max="11" width="10.875" bestFit="1" customWidth="1"/>
    <x:col min="12" max="12" width="9" customWidth="1"/>
    <x:col min="14" max="14" width="12.375" customWidth="1"/>
    <x:col min="15" max="15" width="12.375" bestFit="1" customWidth="1"/>
  </x:cols>
  <x:sheetData>
    <x:row r="1" spans="1:8">
      <x:c r="A1" s="6" t="s">
        <x:v>155</x:v>
      </x:c>
      <x:c r="B1" s="3" t="s">
        <x:v>15</x:v>
      </x:c>
      <x:c r="G1" s="6" t="s">
        <x:v>165</x:v>
      </x:c>
      <x:c r="H1" s="3" t="s">
        <x:v>162</x:v>
      </x:c>
    </x:row>
    <x:row r="2" spans="1:12">
      <x:c r="A2" s="4" t="s">
        <x:v>90</x:v>
      </x:c>
      <x:c r="B2" s="4" t="s">
        <x:v>59</x:v>
      </x:c>
      <x:c r="C2" s="4" t="s">
        <x:v>70</x:v>
      </x:c>
      <x:c r="D2" s="4" t="s">
        <x:v>51</x:v>
      </x:c>
      <x:c r="E2" s="4" t="s">
        <x:v>163</x:v>
      </x:c>
      <x:c r="G2" s="4" t="s">
        <x:v>56</x:v>
      </x:c>
      <x:c r="H2" s="4" t="s">
        <x:v>90</x:v>
      </x:c>
      <x:c r="I2" s="4" t="s">
        <x:v>36</x:v>
      </x:c>
      <x:c r="J2" s="4" t="s">
        <x:v>43</x:v>
      </x:c>
      <x:c r="K2" s="4" t="s">
        <x:v>44</x:v>
      </x:c>
      <x:c r="L2" s="5" t="s">
        <x:v>158</x:v>
      </x:c>
    </x:row>
    <x:row r="3" spans="1:12">
      <x:c r="A3" s="4" t="s">
        <x:v>54</x:v>
      </x:c>
      <x:c r="B3" s="4" t="s">
        <x:v>108</x:v>
      </x:c>
      <x:c r="C3" s="4" t="s">
        <x:v>85</x:v>
      </x:c>
      <x:c r="D3" s="16">
        <x:v>3500000</x:v>
      </x:c>
      <x:c r="E3" s="16">
        <x:v>3980000</x:v>
      </x:c>
      <x:c r="G3" s="4" t="s">
        <x:v>28</x:v>
      </x:c>
      <x:c r="H3" s="4" t="s">
        <x:v>45</x:v>
      </x:c>
      <x:c r="I3" s="9">
        <x:v>90</x:v>
      </x:c>
      <x:c r="J3" s="9">
        <x:v>92</x:v>
      </x:c>
      <x:c r="K3" s="9">
        <x:v>69</x:v>
      </x:c>
      <x:c r="L3" s="4" t="str">
        <x:f>IF(AND(COUNTIF(I3:K3,"&gt;=70")=3,SUM(I3:K3)&gt;=250),"진급","")</x:f>
        <x:v/>
      </x:c>
    </x:row>
    <x:row r="4" spans="1:12">
      <x:c r="A4" s="4" t="s">
        <x:v>64</x:v>
      </x:c>
      <x:c r="B4" s="4" t="s">
        <x:v>106</x:v>
      </x:c>
      <x:c r="C4" s="4" t="s">
        <x:v>85</x:v>
      </x:c>
      <x:c r="D4" s="16">
        <x:v>2200000</x:v>
      </x:c>
      <x:c r="E4" s="16">
        <x:v>2236000</x:v>
      </x:c>
      <x:c r="G4" s="4" t="s">
        <x:v>62</x:v>
      </x:c>
      <x:c r="H4" s="4" t="s">
        <x:v>64</x:v>
      </x:c>
      <x:c r="I4" s="9">
        <x:v>62</x:v>
      </x:c>
      <x:c r="J4" s="9">
        <x:v>70</x:v>
      </x:c>
      <x:c r="K4" s="9">
        <x:v>71</x:v>
      </x:c>
      <x:c r="L4" s="4" t="str">
        <x:f t="shared" ref="L4:L11" si="0">IF(AND(COUNTIF(I4:K4,"&gt;=70")=3,SUM(I4:K4)&gt;=250),"진급","")</x:f>
        <x:v/>
      </x:c>
    </x:row>
    <x:row r="5" spans="1:12">
      <x:c r="A5" s="4" t="s">
        <x:v>45</x:v>
      </x:c>
      <x:c r="B5" s="4" t="s">
        <x:v>107</x:v>
      </x:c>
      <x:c r="C5" s="4" t="s">
        <x:v>82</x:v>
      </x:c>
      <x:c r="D5" s="16">
        <x:v>2400000</x:v>
      </x:c>
      <x:c r="E5" s="16">
        <x:v>2612000</x:v>
      </x:c>
      <x:c r="G5" s="4" t="s">
        <x:v>31</x:v>
      </x:c>
      <x:c r="H5" s="4" t="s">
        <x:v>60</x:v>
      </x:c>
      <x:c r="I5" s="9">
        <x:v>85</x:v>
      </x:c>
      <x:c r="J5" s="9">
        <x:v>80</x:v>
      </x:c>
      <x:c r="K5" s="9">
        <x:v>88</x:v>
      </x:c>
      <x:c r="L5" s="4" t="str">
        <x:f t="shared" si="0"/>
        <x:v>진급</x:v>
      </x:c>
    </x:row>
    <x:row r="6" spans="1:12">
      <x:c r="A6" s="4" t="s">
        <x:v>64</x:v>
      </x:c>
      <x:c r="B6" s="4" t="s">
        <x:v>130</x:v>
      </x:c>
      <x:c r="C6" s="4" t="s">
        <x:v>85</x:v>
      </x:c>
      <x:c r="D6" s="16">
        <x:v>2000000</x:v>
      </x:c>
      <x:c r="E6" s="16">
        <x:v>2060000</x:v>
      </x:c>
      <x:c r="G6" s="4" t="s">
        <x:v>32</x:v>
      </x:c>
      <x:c r="H6" s="4" t="s">
        <x:v>60</x:v>
      </x:c>
      <x:c r="I6" s="9">
        <x:v>94</x:v>
      </x:c>
      <x:c r="J6" s="9">
        <x:v>90</x:v>
      </x:c>
      <x:c r="K6" s="9">
        <x:v>92</x:v>
      </x:c>
      <x:c r="L6" s="4" t="str">
        <x:f t="shared" si="0"/>
        <x:v>진급</x:v>
      </x:c>
    </x:row>
    <x:row r="7" spans="1:12">
      <x:c r="A7" s="4" t="s">
        <x:v>54</x:v>
      </x:c>
      <x:c r="B7" s="4" t="s">
        <x:v>134</x:v>
      </x:c>
      <x:c r="C7" s="4" t="s">
        <x:v>82</x:v>
      </x:c>
      <x:c r="D7" s="16">
        <x:v>3600000</x:v>
      </x:c>
      <x:c r="E7" s="16">
        <x:v>4068000</x:v>
      </x:c>
      <x:c r="G7" s="4" t="s">
        <x:v>33</x:v>
      </x:c>
      <x:c r="H7" s="4" t="s">
        <x:v>45</x:v>
      </x:c>
      <x:c r="I7" s="9">
        <x:v>82</x:v>
      </x:c>
      <x:c r="J7" s="9">
        <x:v>88</x:v>
      </x:c>
      <x:c r="K7" s="9">
        <x:v>80</x:v>
      </x:c>
      <x:c r="L7" s="4" t="str">
        <x:f t="shared" si="0"/>
        <x:v>진급</x:v>
      </x:c>
    </x:row>
    <x:row r="8" spans="1:12">
      <x:c r="A8" s="4" t="s">
        <x:v>64</x:v>
      </x:c>
      <x:c r="B8" s="4" t="s">
        <x:v>138</x:v>
      </x:c>
      <x:c r="C8" s="4" t="s">
        <x:v>85</x:v>
      </x:c>
      <x:c r="D8" s="16">
        <x:v>2200000</x:v>
      </x:c>
      <x:c r="E8" s="16">
        <x:v>2236000</x:v>
      </x:c>
      <x:c r="G8" s="4" t="s">
        <x:v>30</x:v>
      </x:c>
      <x:c r="H8" s="4" t="s">
        <x:v>60</x:v>
      </x:c>
      <x:c r="I8" s="9">
        <x:v>66</x:v>
      </x:c>
      <x:c r="J8" s="9">
        <x:v>69</x:v>
      </x:c>
      <x:c r="K8" s="9">
        <x:v>72</x:v>
      </x:c>
      <x:c r="L8" s="4" t="str">
        <x:f t="shared" si="0"/>
        <x:v/>
      </x:c>
    </x:row>
    <x:row r="9" spans="1:12">
      <x:c r="A9" s="4" t="s">
        <x:v>45</x:v>
      </x:c>
      <x:c r="B9" s="4" t="s">
        <x:v>132</x:v>
      </x:c>
      <x:c r="C9" s="4" t="s">
        <x:v>85</x:v>
      </x:c>
      <x:c r="D9" s="16">
        <x:v>2600000</x:v>
      </x:c>
      <x:c r="E9" s="16">
        <x:v>2788000</x:v>
      </x:c>
      <x:c r="G9" s="4" t="s">
        <x:v>40</x:v>
      </x:c>
      <x:c r="H9" s="4" t="s">
        <x:v>45</x:v>
      </x:c>
      <x:c r="I9" s="9">
        <x:v>84</x:v>
      </x:c>
      <x:c r="J9" s="9">
        <x:v>80</x:v>
      </x:c>
      <x:c r="K9" s="9">
        <x:v>77</x:v>
      </x:c>
      <x:c r="L9" s="4" t="str">
        <x:f t="shared" si="0"/>
        <x:v/>
      </x:c>
    </x:row>
    <x:row r="10" spans="1:12">
      <x:c r="A10" s="4" t="s">
        <x:v>60</x:v>
      </x:c>
      <x:c r="B10" s="4" t="s">
        <x:v>136</x:v>
      </x:c>
      <x:c r="C10" s="4" t="s">
        <x:v>82</x:v>
      </x:c>
      <x:c r="D10" s="16">
        <x:v>3000000</x:v>
      </x:c>
      <x:c r="E10" s="16">
        <x:v>3340000</x:v>
      </x:c>
      <x:c r="G10" s="4" t="s">
        <x:v>41</x:v>
      </x:c>
      <x:c r="H10" s="4" t="s">
        <x:v>64</x:v>
      </x:c>
      <x:c r="I10" s="9">
        <x:v>78</x:v>
      </x:c>
      <x:c r="J10" s="9">
        <x:v>80</x:v>
      </x:c>
      <x:c r="K10" s="9">
        <x:v>79</x:v>
      </x:c>
      <x:c r="L10" s="4" t="str">
        <x:f t="shared" si="0"/>
        <x:v/>
      </x:c>
    </x:row>
    <x:row r="11" spans="1:12">
      <x:c r="A11" s="4" t="s">
        <x:v>45</x:v>
      </x:c>
      <x:c r="B11" s="4" t="s">
        <x:v>140</x:v>
      </x:c>
      <x:c r="C11" s="4" t="s">
        <x:v>82</x:v>
      </x:c>
      <x:c r="D11" s="16">
        <x:v>2500000</x:v>
      </x:c>
      <x:c r="E11" s="16">
        <x:v>2700000</x:v>
      </x:c>
      <x:c r="G11" s="4" t="s">
        <x:v>63</x:v>
      </x:c>
      <x:c r="H11" s="4" t="s">
        <x:v>64</x:v>
      </x:c>
      <x:c r="I11" s="9">
        <x:v>80</x:v>
      </x:c>
      <x:c r="J11" s="9">
        <x:v>91</x:v>
      </x:c>
      <x:c r="K11" s="9">
        <x:v>80</x:v>
      </x:c>
      <x:c r="L11" s="4" t="str">
        <x:f t="shared" si="0"/>
        <x:v>진급</x:v>
      </x:c>
    </x:row>
    <x:row r="12" spans="1:12">
      <x:c r="A12" s="21" t="s">
        <x:v>17</x:v>
      </x:c>
      <x:c r="B12" s="22"/>
      <x:c r="C12" s="22"/>
      <x:c r="D12" s="23"/>
      <x:c r="E12" s="39">
        <x:f>ROUNDUP(SUMIFS(E3:E11,A3:A11,"대리",C3:C11,"여"),-4)</x:f>
        <x:v>5320000</x:v>
      </x:c>
      <x:c r="G12" s="17"/>
      <x:c r="H12" s="17"/>
      <x:c r="I12" s="18"/>
      <x:c r="J12" s="18"/>
      <x:c r="K12" s="18"/>
      <x:c r="L12" s="17"/>
    </x:row>
    <x:row r="14" spans="1:8">
      <x:c r="A14" s="6" t="s">
        <x:v>178</x:v>
      </x:c>
      <x:c r="B14" s="15" t="s">
        <x:v>142</x:v>
      </x:c>
      <x:c r="G14" s="6" t="s">
        <x:v>157</x:v>
      </x:c>
      <x:c r="H14" s="3" t="s">
        <x:v>154</x:v>
      </x:c>
    </x:row>
    <x:row r="15" spans="1:12">
      <x:c r="A15" s="13" t="s">
        <x:v>127</x:v>
      </x:c>
      <x:c r="B15" s="13" t="s">
        <x:v>87</x:v>
      </x:c>
      <x:c r="C15" s="13" t="s">
        <x:v>192</x:v>
      </x:c>
      <x:c r="D15" s="13" t="s">
        <x:v>25</x:v>
      </x:c>
      <x:c r="E15" s="13" t="s">
        <x:v>194</x:v>
      </x:c>
      <x:c r="G15" s="4" t="s">
        <x:v>56</x:v>
      </x:c>
      <x:c r="H15" s="4" t="s">
        <x:v>209</x:v>
      </x:c>
      <x:c r="I15" s="4" t="s">
        <x:v>35</x:v>
      </x:c>
      <x:c r="J15" s="4" t="s">
        <x:v>90</x:v>
      </x:c>
      <x:c r="K15" s="4" t="s">
        <x:v>156</x:v>
      </x:c>
      <x:c r="L15" s="5" t="s">
        <x:v>105</x:v>
      </x:c>
    </x:row>
    <x:row r="16" spans="1:12">
      <x:c r="A16" s="13" t="s">
        <x:v>128</x:v>
      </x:c>
      <x:c r="B16" s="13" t="s">
        <x:v>176</x:v>
      </x:c>
      <x:c r="C16" s="14">
        <x:v>1000</x:v>
      </x:c>
      <x:c r="D16" s="14">
        <x:v>554100</x:v>
      </x:c>
      <x:c r="E16" s="14">
        <x:f t="shared" ref="E16:E29" si="1">C16*D16</x:f>
        <x:v>554100000</x:v>
      </x:c>
      <x:c r="G16" s="4" t="s">
        <x:v>37</x:v>
      </x:c>
      <x:c r="H16" s="4" t="s">
        <x:v>11</x:v>
      </x:c>
      <x:c r="I16" s="4" t="s">
        <x:v>39</x:v>
      </x:c>
      <x:c r="J16" s="4" t="s">
        <x:v>54</x:v>
      </x:c>
      <x:c r="K16" s="7">
        <x:v>500000</x:v>
      </x:c>
      <x:c r="L16" s="7" t="str">
        <x:f>CHOOSE(MID(H16,7,1)+1,"정규직","계약직","파견직")</x:f>
        <x:v>파견직</x:v>
      </x:c>
    </x:row>
    <x:row r="17" spans="1:12">
      <x:c r="A17" s="13" t="s">
        <x:v>104</x:v>
      </x:c>
      <x:c r="B17" s="13" t="s">
        <x:v>181</x:v>
      </x:c>
      <x:c r="C17" s="14">
        <x:v>1500</x:v>
      </x:c>
      <x:c r="D17" s="14">
        <x:v>452600</x:v>
      </x:c>
      <x:c r="E17" s="14">
        <x:f t="shared" si="1"/>
        <x:v>678900000</x:v>
      </x:c>
      <x:c r="G17" s="4" t="s">
        <x:v>46</x:v>
      </x:c>
      <x:c r="H17" s="4" t="s">
        <x:v>12</x:v>
      </x:c>
      <x:c r="I17" s="4" t="s">
        <x:v>55</x:v>
      </x:c>
      <x:c r="J17" s="4" t="s">
        <x:v>45</x:v>
      </x:c>
      <x:c r="K17" s="7">
        <x:v>300000</x:v>
      </x:c>
      <x:c r="L17" s="7" t="str">
        <x:f t="shared" ref="L17:L25" si="2">CHOOSE(MID(H17,7,1)+1,"정규직","계약직","파견직")</x:f>
        <x:v>계약직</x:v>
      </x:c>
    </x:row>
    <x:row r="18" spans="1:12">
      <x:c r="A18" s="13" t="s">
        <x:v>101</x:v>
      </x:c>
      <x:c r="B18" s="13" t="s">
        <x:v>181</x:v>
      </x:c>
      <x:c r="C18" s="14">
        <x:v>1500</x:v>
      </x:c>
      <x:c r="D18" s="14">
        <x:v>519800</x:v>
      </x:c>
      <x:c r="E18" s="14">
        <x:f t="shared" si="1"/>
        <x:v>779700000</x:v>
      </x:c>
      <x:c r="G18" s="4" t="s">
        <x:v>42</x:v>
      </x:c>
      <x:c r="H18" s="4" t="s">
        <x:v>6</x:v>
      </x:c>
      <x:c r="I18" s="4" t="s">
        <x:v>65</x:v>
      </x:c>
      <x:c r="J18" s="4" t="s">
        <x:v>60</x:v>
      </x:c>
      <x:c r="K18" s="7">
        <x:v>400000</x:v>
      </x:c>
      <x:c r="L18" s="7" t="str">
        <x:f t="shared" si="2"/>
        <x:v>파견직</x:v>
      </x:c>
    </x:row>
    <x:row r="19" spans="1:12">
      <x:c r="A19" s="13" t="s">
        <x:v>102</x:v>
      </x:c>
      <x:c r="B19" s="13" t="s">
        <x:v>103</x:v>
      </x:c>
      <x:c r="C19" s="14">
        <x:v>800</x:v>
      </x:c>
      <x:c r="D19" s="14">
        <x:v>398500</x:v>
      </x:c>
      <x:c r="E19" s="14">
        <x:f t="shared" si="1"/>
        <x:v>318800000</x:v>
      </x:c>
      <x:c r="G19" s="4" t="s">
        <x:v>38</x:v>
      </x:c>
      <x:c r="H19" s="4" t="s">
        <x:v>7</x:v>
      </x:c>
      <x:c r="I19" s="4" t="s">
        <x:v>65</x:v>
      </x:c>
      <x:c r="J19" s="4" t="s">
        <x:v>64</x:v>
      </x:c>
      <x:c r="K19" s="7">
        <x:v>250000</x:v>
      </x:c>
      <x:c r="L19" s="7" t="str">
        <x:f t="shared" si="2"/>
        <x:v>정규직</x:v>
      </x:c>
    </x:row>
    <x:row r="20" spans="1:12">
      <x:c r="A20" s="13" t="s">
        <x:v>128</x:v>
      </x:c>
      <x:c r="B20" s="13" t="s">
        <x:v>201</x:v>
      </x:c>
      <x:c r="C20" s="14">
        <x:v>1500</x:v>
      </x:c>
      <x:c r="D20" s="14">
        <x:v>631500</x:v>
      </x:c>
      <x:c r="E20" s="14">
        <x:f t="shared" si="1"/>
        <x:v>947250000</x:v>
      </x:c>
      <x:c r="G20" s="4" t="s">
        <x:v>47</x:v>
      </x:c>
      <x:c r="H20" s="4" t="s">
        <x:v>9</x:v>
      </x:c>
      <x:c r="I20" s="4" t="s">
        <x:v>39</x:v>
      </x:c>
      <x:c r="J20" s="4" t="s">
        <x:v>45</x:v>
      </x:c>
      <x:c r="K20" s="7">
        <x:v>300000</x:v>
      </x:c>
      <x:c r="L20" s="7" t="str">
        <x:f t="shared" si="2"/>
        <x:v>계약직</x:v>
      </x:c>
    </x:row>
    <x:row r="21" spans="1:12">
      <x:c r="A21" s="13" t="s">
        <x:v>101</x:v>
      </x:c>
      <x:c r="B21" s="13" t="s">
        <x:v>176</x:v>
      </x:c>
      <x:c r="C21" s="14">
        <x:v>1000</x:v>
      </x:c>
      <x:c r="D21" s="14">
        <x:v>468500</x:v>
      </x:c>
      <x:c r="E21" s="14">
        <x:f t="shared" si="1"/>
        <x:v>468500000</x:v>
      </x:c>
      <x:c r="G21" s="4" t="s">
        <x:v>52</x:v>
      </x:c>
      <x:c r="H21" s="4" t="s">
        <x:v>13</x:v>
      </x:c>
      <x:c r="I21" s="4" t="s">
        <x:v>55</x:v>
      </x:c>
      <x:c r="J21" s="4" t="s">
        <x:v>64</x:v>
      </x:c>
      <x:c r="K21" s="7">
        <x:v>250000</x:v>
      </x:c>
      <x:c r="L21" s="7" t="str">
        <x:f t="shared" si="2"/>
        <x:v>정규직</x:v>
      </x:c>
    </x:row>
    <x:row r="22" spans="1:12">
      <x:c r="A22" s="13" t="s">
        <x:v>128</x:v>
      </x:c>
      <x:c r="B22" s="13" t="s">
        <x:v>181</x:v>
      </x:c>
      <x:c r="C22" s="14">
        <x:v>1500</x:v>
      </x:c>
      <x:c r="D22" s="14">
        <x:v>475800</x:v>
      </x:c>
      <x:c r="E22" s="14">
        <x:f t="shared" si="1"/>
        <x:v>713700000</x:v>
      </x:c>
      <x:c r="G22" s="4" t="s">
        <x:v>58</x:v>
      </x:c>
      <x:c r="H22" s="4" t="s">
        <x:v>8</x:v>
      </x:c>
      <x:c r="I22" s="4" t="s">
        <x:v>34</x:v>
      </x:c>
      <x:c r="J22" s="4" t="s">
        <x:v>60</x:v>
      </x:c>
      <x:c r="K22" s="7">
        <x:v>400000</x:v>
      </x:c>
      <x:c r="L22" s="7" t="str">
        <x:f t="shared" si="2"/>
        <x:v>파견직</x:v>
      </x:c>
    </x:row>
    <x:row r="23" spans="1:12">
      <x:c r="A23" s="13" t="s">
        <x:v>102</x:v>
      </x:c>
      <x:c r="B23" s="13" t="s">
        <x:v>201</x:v>
      </x:c>
      <x:c r="C23" s="14">
        <x:v>1500</x:v>
      </x:c>
      <x:c r="D23" s="14">
        <x:v>438700</x:v>
      </x:c>
      <x:c r="E23" s="14">
        <x:f t="shared" si="1"/>
        <x:v>658050000</x:v>
      </x:c>
      <x:c r="G23" s="4" t="s">
        <x:v>53</x:v>
      </x:c>
      <x:c r="H23" s="4" t="s">
        <x:v>14</x:v>
      </x:c>
      <x:c r="I23" s="4" t="s">
        <x:v>55</x:v>
      </x:c>
      <x:c r="J23" s="4" t="s">
        <x:v>64</x:v>
      </x:c>
      <x:c r="K23" s="7">
        <x:v>250000</x:v>
      </x:c>
      <x:c r="L23" s="7" t="str">
        <x:f t="shared" si="2"/>
        <x:v>계약직</x:v>
      </x:c>
    </x:row>
    <x:row r="24" spans="1:12">
      <x:c r="A24" s="13" t="s">
        <x:v>104</x:v>
      </x:c>
      <x:c r="B24" s="13" t="s">
        <x:v>201</x:v>
      </x:c>
      <x:c r="C24" s="14">
        <x:v>1500</x:v>
      </x:c>
      <x:c r="D24" s="14">
        <x:v>632000</x:v>
      </x:c>
      <x:c r="E24" s="14">
        <x:f t="shared" si="1"/>
        <x:v>948000000</x:v>
      </x:c>
      <x:c r="G24" s="4" t="s">
        <x:v>48</x:v>
      </x:c>
      <x:c r="H24" s="4" t="s">
        <x:v>10</x:v>
      </x:c>
      <x:c r="I24" s="4" t="s">
        <x:v>34</x:v>
      </x:c>
      <x:c r="J24" s="4" t="s">
        <x:v>54</x:v>
      </x:c>
      <x:c r="K24" s="7">
        <x:v>500000</x:v>
      </x:c>
      <x:c r="L24" s="7" t="str">
        <x:f t="shared" si="2"/>
        <x:v>정규직</x:v>
      </x:c>
    </x:row>
    <x:row r="25" spans="1:12">
      <x:c r="A25" s="13" t="s">
        <x:v>101</x:v>
      </x:c>
      <x:c r="B25" s="13" t="s">
        <x:v>103</x:v>
      </x:c>
      <x:c r="C25" s="14">
        <x:v>800</x:v>
      </x:c>
      <x:c r="D25" s="14">
        <x:v>425800</x:v>
      </x:c>
      <x:c r="E25" s="14">
        <x:f t="shared" si="1"/>
        <x:v>340640000</x:v>
      </x:c>
      <x:c r="G25" s="4" t="s">
        <x:v>50</x:v>
      </x:c>
      <x:c r="H25" s="4" t="s">
        <x:v>16</x:v>
      </x:c>
      <x:c r="I25" s="4" t="s">
        <x:v>39</x:v>
      </x:c>
      <x:c r="J25" s="4" t="s">
        <x:v>45</x:v>
      </x:c>
      <x:c r="K25" s="7">
        <x:v>300000</x:v>
      </x:c>
      <x:c r="L25" s="7" t="str">
        <x:f t="shared" si="2"/>
        <x:v>파견직</x:v>
      </x:c>
    </x:row>
    <x:row r="26" spans="1:5">
      <x:c r="A26" s="13" t="s">
        <x:v>104</x:v>
      </x:c>
      <x:c r="B26" s="13" t="s">
        <x:v>176</x:v>
      </x:c>
      <x:c r="C26" s="14">
        <x:v>1000</x:v>
      </x:c>
      <x:c r="D26" s="14">
        <x:v>572000</x:v>
      </x:c>
      <x:c r="E26" s="14">
        <x:f t="shared" si="1"/>
        <x:v>572000000</x:v>
      </x:c>
    </x:row>
    <x:row r="27" spans="1:5">
      <x:c r="A27" s="13" t="s">
        <x:v>102</x:v>
      </x:c>
      <x:c r="B27" s="13" t="s">
        <x:v>176</x:v>
      </x:c>
      <x:c r="C27" s="14">
        <x:v>1000</x:v>
      </x:c>
      <x:c r="D27" s="14">
        <x:v>357900</x:v>
      </x:c>
      <x:c r="E27" s="14">
        <x:f t="shared" si="1"/>
        <x:v>357900000</x:v>
      </x:c>
    </x:row>
    <x:row r="28" spans="1:7">
      <x:c r="A28" s="13" t="s">
        <x:v>104</x:v>
      </x:c>
      <x:c r="B28" s="13" t="s">
        <x:v>103</x:v>
      </x:c>
      <x:c r="C28" s="14">
        <x:v>800</x:v>
      </x:c>
      <x:c r="D28" s="14">
        <x:v>540000</x:v>
      </x:c>
      <x:c r="E28" s="14">
        <x:f t="shared" si="1"/>
        <x:v>432000000</x:v>
      </x:c>
      <x:c r="G28" t="s">
        <x:v>127</x:v>
      </x:c>
    </x:row>
    <x:row r="29" spans="1:7">
      <x:c r="A29" s="13" t="s">
        <x:v>102</x:v>
      </x:c>
      <x:c r="B29" s="13" t="s">
        <x:v>181</x:v>
      </x:c>
      <x:c r="C29" s="14">
        <x:v>1500</x:v>
      </x:c>
      <x:c r="D29" s="14">
        <x:v>426800</x:v>
      </x:c>
      <x:c r="E29" s="14">
        <x:f t="shared" si="1"/>
        <x:v>640200000</x:v>
      </x:c>
      <x:c r="G29" t="s">
        <x:v>102</x:v>
      </x:c>
    </x:row>
    <x:row r="30" spans="1:5">
      <x:c r="A30" s="20" t="s">
        <x:v>145</x:v>
      </x:c>
      <x:c r="B30" s="20"/>
      <x:c r="C30" s="20"/>
      <x:c r="D30" s="20"/>
      <x:c r="E30" s="14">
        <x:f>ROUND(DSUM(A15:E29,E15,G28:G29)/DCOUNT(A15:E29,E15,G28:G29),-6)</x:f>
        <x:v>494000000</x:v>
      </x:c>
    </x:row>
    <x:row r="32" spans="1:2">
      <x:c r="A32" s="6" t="s">
        <x:v>151</x:v>
      </x:c>
      <x:c r="B32" s="3" t="s">
        <x:v>2</x:v>
      </x:c>
    </x:row>
    <x:row r="33" spans="1:5">
      <x:c r="A33" s="4" t="s">
        <x:v>75</x:v>
      </x:c>
      <x:c r="B33" s="4" t="s">
        <x:v>59</x:v>
      </x:c>
      <x:c r="C33" s="4" t="s">
        <x:v>70</x:v>
      </x:c>
      <x:c r="D33" s="4" t="s">
        <x:v>94</x:v>
      </x:c>
      <x:c r="E33" s="5" t="s">
        <x:v>49</x:v>
      </x:c>
    </x:row>
    <x:row r="34" spans="1:5">
      <x:c r="A34" s="4">
        <x:v>1</x:v>
      </x:c>
      <x:c r="B34" s="4" t="s">
        <x:v>57</x:v>
      </x:c>
      <x:c r="C34" s="4" t="s">
        <x:v>85</x:v>
      </x:c>
      <x:c r="D34" s="4">
        <x:v>78</x:v>
      </x:c>
      <x:c r="E34" s="4" t="str">
        <x:f>IF(_xlfn.RANK.EQ(D34,$D$34:$D$43,0)&lt;=3,_xlfn.RANK.EQ(D34,$D$34:$D$43,0)&amp;"등","")</x:f>
        <x:v/>
      </x:c>
    </x:row>
    <x:row r="35" spans="1:5">
      <x:c r="A35" s="4">
        <x:v>1</x:v>
      </x:c>
      <x:c r="B35" s="4" t="s">
        <x:v>61</x:v>
      </x:c>
      <x:c r="C35" s="4" t="s">
        <x:v>82</x:v>
      </x:c>
      <x:c r="D35" s="4">
        <x:v>86</x:v>
      </x:c>
      <x:c r="E35" s="4" t="str">
        <x:f t="shared" ref="E35:E43" si="3">IF(_xlfn.RANK.EQ(D35,$D$34:$D$43,0)&lt;=3,_xlfn.RANK.EQ(D35,$D$34:$D$43,0)&amp;"등","")</x:f>
        <x:v/>
      </x:c>
    </x:row>
    <x:row r="36" spans="1:5">
      <x:c r="A36" s="4">
        <x:v>1</x:v>
      </x:c>
      <x:c r="B36" s="4" t="s">
        <x:v>93</x:v>
      </x:c>
      <x:c r="C36" s="4" t="s">
        <x:v>82</x:v>
      </x:c>
      <x:c r="D36" s="4">
        <x:v>90</x:v>
      </x:c>
      <x:c r="E36" s="4" t="str">
        <x:f t="shared" si="3"/>
        <x:v/>
      </x:c>
    </x:row>
    <x:row r="37" spans="1:5">
      <x:c r="A37" s="4">
        <x:v>1</x:v>
      </x:c>
      <x:c r="B37" s="4" t="s">
        <x:v>68</x:v>
      </x:c>
      <x:c r="C37" s="4" t="s">
        <x:v>85</x:v>
      </x:c>
      <x:c r="D37" s="4">
        <x:v>91</x:v>
      </x:c>
      <x:c r="E37" s="4" t="str">
        <x:f t="shared" si="3"/>
        <x:v/>
      </x:c>
    </x:row>
    <x:row r="38" spans="1:5">
      <x:c r="A38" s="4">
        <x:v>2</x:v>
      </x:c>
      <x:c r="B38" s="4" t="s">
        <x:v>69</x:v>
      </x:c>
      <x:c r="C38" s="4" t="s">
        <x:v>85</x:v>
      </x:c>
      <x:c r="D38" s="4">
        <x:v>92</x:v>
      </x:c>
      <x:c r="E38" s="4" t="str">
        <x:f t="shared" si="3"/>
        <x:v>3등</x:v>
      </x:c>
    </x:row>
    <x:row r="39" spans="1:5">
      <x:c r="A39" s="4">
        <x:v>2</x:v>
      </x:c>
      <x:c r="B39" s="4" t="s">
        <x:v>97</x:v>
      </x:c>
      <x:c r="C39" s="4" t="s">
        <x:v>85</x:v>
      </x:c>
      <x:c r="D39" s="4">
        <x:v>82</x:v>
      </x:c>
      <x:c r="E39" s="4" t="str">
        <x:f t="shared" si="3"/>
        <x:v/>
      </x:c>
    </x:row>
    <x:row r="40" spans="1:5">
      <x:c r="A40" s="4">
        <x:v>2</x:v>
      </x:c>
      <x:c r="B40" s="4" t="s">
        <x:v>83</x:v>
      </x:c>
      <x:c r="C40" s="4" t="s">
        <x:v>82</x:v>
      </x:c>
      <x:c r="D40" s="4">
        <x:v>94</x:v>
      </x:c>
      <x:c r="E40" s="4" t="str">
        <x:f t="shared" si="3"/>
        <x:v>1등</x:v>
      </x:c>
    </x:row>
    <x:row r="41" spans="1:5">
      <x:c r="A41" s="4">
        <x:v>3</x:v>
      </x:c>
      <x:c r="B41" s="4" t="s">
        <x:v>81</x:v>
      </x:c>
      <x:c r="C41" s="4" t="s">
        <x:v>85</x:v>
      </x:c>
      <x:c r="D41" s="4">
        <x:v>89</x:v>
      </x:c>
      <x:c r="E41" s="4" t="str">
        <x:f t="shared" si="3"/>
        <x:v/>
      </x:c>
    </x:row>
    <x:row r="42" spans="1:5">
      <x:c r="A42" s="4">
        <x:v>3</x:v>
      </x:c>
      <x:c r="B42" s="4" t="s">
        <x:v>79</x:v>
      </x:c>
      <x:c r="C42" s="4" t="s">
        <x:v>82</x:v>
      </x:c>
      <x:c r="D42" s="4">
        <x:v>93</x:v>
      </x:c>
      <x:c r="E42" s="4" t="str">
        <x:f t="shared" si="3"/>
        <x:v>2등</x:v>
      </x:c>
    </x:row>
    <x:row r="43" spans="1:5">
      <x:c r="A43" s="8">
        <x:v>3</x:v>
      </x:c>
      <x:c r="B43" s="8" t="s">
        <x:v>84</x:v>
      </x:c>
      <x:c r="C43" s="4" t="s">
        <x:v>82</x:v>
      </x:c>
      <x:c r="D43" s="4">
        <x:v>87</x:v>
      </x:c>
      <x:c r="E43" s="4" t="str">
        <x:f t="shared" si="3"/>
        <x:v/>
      </x:c>
    </x:row>
  </x:sheetData>
  <x:sortState columnSort="0" caseSensitive="0" ref="A15:E27">
    <x:sortCondition descending="0" sortBy="value" ref="A14"/>
  </x:sortState>
  <x:mergeCells count="2">
    <x:mergeCell ref="A30:D30"/>
    <x:mergeCell ref="A12:D12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G16"/>
  <x:sheetViews>
    <x:sheetView topLeftCell="A1" zoomScaleNormal="100" zoomScaleSheetLayoutView="75" workbookViewId="0">
      <x:selection activeCell="F28" activeCellId="0" sqref="F28:F28"/>
    </x:sheetView>
  </x:sheetViews>
  <x:sheetFormatPr defaultColWidth="9" defaultRowHeight="16.39999999999999857891"/>
  <x:cols>
    <x:col min="1" max="1" width="13.75" bestFit="1" customWidth="1"/>
    <x:col min="2" max="2" width="11" bestFit="1" customWidth="1"/>
    <x:col min="3" max="3" width="13" bestFit="1" customWidth="1"/>
    <x:col min="5" max="5" width="11" bestFit="1" customWidth="1"/>
    <x:col min="6" max="6" width="9" customWidth="1"/>
  </x:cols>
  <x:sheetData>
    <x:row r="1" spans="1:7" ht="20.64999999999999857891">
      <x:c r="A1" s="24" t="s">
        <x:v>3</x:v>
      </x:c>
      <x:c r="B1" s="24"/>
      <x:c r="C1" s="24"/>
      <x:c r="D1" s="24"/>
      <x:c r="E1" s="24"/>
      <x:c r="F1" s="24"/>
      <x:c r="G1" s="24"/>
    </x:row>
    <x:row r="3" spans="1:7">
      <x:c r="A3" s="4" t="s">
        <x:v>87</x:v>
      </x:c>
      <x:c r="B3" s="4" t="s">
        <x:v>76</x:v>
      </x:c>
      <x:c r="C3" s="4" t="s">
        <x:v>149</x:v>
      </x:c>
      <x:c r="D3" s="4" t="s">
        <x:v>88</x:v>
      </x:c>
      <x:c r="E3" s="4" t="s">
        <x:v>161</x:v>
      </x:c>
      <x:c r="F3" s="4" t="s">
        <x:v>86</x:v>
      </x:c>
      <x:c r="G3" s="4" t="s">
        <x:v>160</x:v>
      </x:c>
    </x:row>
    <x:row r="4" spans="1:7">
      <x:c r="A4" s="4" t="s">
        <x:v>212</x:v>
      </x:c>
      <x:c r="B4" s="4" t="s">
        <x:v>135</x:v>
      </x:c>
      <x:c r="C4" s="7">
        <x:v>25000</x:v>
      </x:c>
      <x:c r="D4" s="7">
        <x:v>52000</x:v>
      </x:c>
      <x:c r="E4" s="7">
        <x:v>3500</x:v>
      </x:c>
      <x:c r="F4" s="10">
        <x:f>ROUND(SUM(C4:E4)*11%,-1)</x:f>
        <x:v>8860</x:v>
      </x:c>
      <x:c r="G4" s="7">
        <x:f>ROUND(SUM(C4:F4)-SUM(C4:F4)*0.2,-1)</x:f>
        <x:v>71490</x:v>
      </x:c>
    </x:row>
    <x:row r="5" spans="1:7">
      <x:c r="A5" s="4" t="s">
        <x:v>133</x:v>
      </x:c>
      <x:c r="B5" s="4" t="s">
        <x:v>139</x:v>
      </x:c>
      <x:c r="C5" s="7">
        <x:v>22000</x:v>
      </x:c>
      <x:c r="D5" s="7">
        <x:v>48000</x:v>
      </x:c>
      <x:c r="E5" s="7">
        <x:v>3300</x:v>
      </x:c>
      <x:c r="F5" s="10">
        <x:f t="shared" ref="F5:F16" si="0">ROUND(SUM(C5:E5)*11%,-1)</x:f>
        <x:v>8060</x:v>
      </x:c>
      <x:c r="G5" s="7">
        <x:f>ROUND(SUM(C5:F5)-SUM(C5:F5)*0.2,-1)</x:f>
        <x:v>65090</x:v>
      </x:c>
    </x:row>
    <x:row r="6" spans="1:7">
      <x:c r="A6" s="4" t="s">
        <x:v>212</x:v>
      </x:c>
      <x:c r="B6" s="4" t="s">
        <x:v>135</x:v>
      </x:c>
      <x:c r="C6" s="7">
        <x:v>25000</x:v>
      </x:c>
      <x:c r="D6" s="7">
        <x:v>52000</x:v>
      </x:c>
      <x:c r="E6" s="7">
        <x:v>3500</x:v>
      </x:c>
      <x:c r="F6" s="10">
        <x:f t="shared" si="0"/>
        <x:v>8860</x:v>
      </x:c>
      <x:c r="G6" s="7">
        <x:f t="shared" ref="G6:G16" si="1">ROUND(SUM(C6:F6)-SUM(C6:F6)*0.2,-1)</x:f>
        <x:v>71490</x:v>
      </x:c>
    </x:row>
    <x:row r="7" spans="1:7">
      <x:c r="A7" s="4" t="s">
        <x:v>200</x:v>
      </x:c>
      <x:c r="B7" s="4" t="s">
        <x:v>135</x:v>
      </x:c>
      <x:c r="C7" s="7">
        <x:v>25000</x:v>
      </x:c>
      <x:c r="D7" s="7">
        <x:v>52000</x:v>
      </x:c>
      <x:c r="E7" s="7">
        <x:v>3500</x:v>
      </x:c>
      <x:c r="F7" s="10">
        <x:f t="shared" si="0"/>
        <x:v>8860</x:v>
      </x:c>
      <x:c r="G7" s="7">
        <x:f t="shared" si="1"/>
        <x:v>71490</x:v>
      </x:c>
    </x:row>
    <x:row r="8" spans="1:7">
      <x:c r="A8" s="4" t="s">
        <x:v>213</x:v>
      </x:c>
      <x:c r="B8" s="4" t="s">
        <x:v>137</x:v>
      </x:c>
      <x:c r="C8" s="7">
        <x:v>25000</x:v>
      </x:c>
      <x:c r="D8" s="7">
        <x:v>52000</x:v>
      </x:c>
      <x:c r="E8" s="7">
        <x:v>3500</x:v>
      </x:c>
      <x:c r="F8" s="10">
        <x:f t="shared" si="0"/>
        <x:v>8860</x:v>
      </x:c>
      <x:c r="G8" s="7">
        <x:f t="shared" si="1"/>
        <x:v>71490</x:v>
      </x:c>
    </x:row>
    <x:row r="9" spans="1:7">
      <x:c r="A9" s="4" t="s">
        <x:v>159</x:v>
      </x:c>
      <x:c r="B9" s="4" t="s">
        <x:v>135</x:v>
      </x:c>
      <x:c r="C9" s="7">
        <x:v>20000</x:v>
      </x:c>
      <x:c r="D9" s="7">
        <x:v>42000</x:v>
      </x:c>
      <x:c r="E9" s="7">
        <x:v>3000</x:v>
      </x:c>
      <x:c r="F9" s="10">
        <x:f t="shared" si="0"/>
        <x:v>7150</x:v>
      </x:c>
      <x:c r="G9" s="7">
        <x:f t="shared" si="1"/>
        <x:v>57720</x:v>
      </x:c>
    </x:row>
    <x:row r="10" spans="1:7">
      <x:c r="A10" s="4" t="s">
        <x:v>213</x:v>
      </x:c>
      <x:c r="B10" s="4" t="s">
        <x:v>137</x:v>
      </x:c>
      <x:c r="C10" s="7">
        <x:v>22000</x:v>
      </x:c>
      <x:c r="D10" s="7">
        <x:v>48000</x:v>
      </x:c>
      <x:c r="E10" s="7">
        <x:v>3300</x:v>
      </x:c>
      <x:c r="F10" s="10">
        <x:f t="shared" si="0"/>
        <x:v>8060</x:v>
      </x:c>
      <x:c r="G10" s="7">
        <x:f t="shared" si="1"/>
        <x:v>65090</x:v>
      </x:c>
    </x:row>
    <x:row r="11" spans="1:7">
      <x:c r="A11" s="4" t="s">
        <x:v>212</x:v>
      </x:c>
      <x:c r="B11" s="4" t="s">
        <x:v>135</x:v>
      </x:c>
      <x:c r="C11" s="7">
        <x:v>20000</x:v>
      </x:c>
      <x:c r="D11" s="7">
        <x:v>42000</x:v>
      </x:c>
      <x:c r="E11" s="7">
        <x:v>3000</x:v>
      </x:c>
      <x:c r="F11" s="10">
        <x:f t="shared" si="0"/>
        <x:v>7150</x:v>
      </x:c>
      <x:c r="G11" s="7">
        <x:f t="shared" si="1"/>
        <x:v>57720</x:v>
      </x:c>
    </x:row>
    <x:row r="12" spans="1:7">
      <x:c r="A12" s="4" t="s">
        <x:v>133</x:v>
      </x:c>
      <x:c r="B12" s="4" t="s">
        <x:v>139</x:v>
      </x:c>
      <x:c r="C12" s="7">
        <x:v>25000</x:v>
      </x:c>
      <x:c r="D12" s="7">
        <x:v>52000</x:v>
      </x:c>
      <x:c r="E12" s="7">
        <x:v>3500</x:v>
      </x:c>
      <x:c r="F12" s="10">
        <x:f t="shared" si="0"/>
        <x:v>8860</x:v>
      </x:c>
      <x:c r="G12" s="7">
        <x:f t="shared" si="1"/>
        <x:v>71490</x:v>
      </x:c>
    </x:row>
    <x:row r="13" spans="1:7">
      <x:c r="A13" s="4" t="s">
        <x:v>200</x:v>
      </x:c>
      <x:c r="B13" s="4" t="s">
        <x:v>135</x:v>
      </x:c>
      <x:c r="C13" s="7">
        <x:v>22000</x:v>
      </x:c>
      <x:c r="D13" s="7">
        <x:v>48000</x:v>
      </x:c>
      <x:c r="E13" s="7">
        <x:v>3300</x:v>
      </x:c>
      <x:c r="F13" s="10">
        <x:f t="shared" si="0"/>
        <x:v>8060</x:v>
      </x:c>
      <x:c r="G13" s="7">
        <x:f t="shared" si="1"/>
        <x:v>65090</x:v>
      </x:c>
    </x:row>
    <x:row r="14" spans="1:7">
      <x:c r="A14" s="4" t="s">
        <x:v>213</x:v>
      </x:c>
      <x:c r="B14" s="4" t="s">
        <x:v>137</x:v>
      </x:c>
      <x:c r="C14" s="7">
        <x:v>20000</x:v>
      </x:c>
      <x:c r="D14" s="7">
        <x:v>42000</x:v>
      </x:c>
      <x:c r="E14" s="7">
        <x:v>3000</x:v>
      </x:c>
      <x:c r="F14" s="10">
        <x:f t="shared" si="0"/>
        <x:v>7150</x:v>
      </x:c>
      <x:c r="G14" s="7">
        <x:f t="shared" si="1"/>
        <x:v>57720</x:v>
      </x:c>
    </x:row>
    <x:row r="15" spans="1:7">
      <x:c r="A15" s="4" t="s">
        <x:v>133</x:v>
      </x:c>
      <x:c r="B15" s="4" t="s">
        <x:v>139</x:v>
      </x:c>
      <x:c r="C15" s="7">
        <x:v>20000</x:v>
      </x:c>
      <x:c r="D15" s="7">
        <x:v>42000</x:v>
      </x:c>
      <x:c r="E15" s="7">
        <x:v>3000</x:v>
      </x:c>
      <x:c r="F15" s="10">
        <x:f t="shared" si="0"/>
        <x:v>7150</x:v>
      </x:c>
      <x:c r="G15" s="7">
        <x:f t="shared" si="1"/>
        <x:v>57720</x:v>
      </x:c>
    </x:row>
    <x:row r="16" spans="1:7">
      <x:c r="A16" s="4" t="s">
        <x:v>131</x:v>
      </x:c>
      <x:c r="B16" s="4" t="s">
        <x:v>139</x:v>
      </x:c>
      <x:c r="C16" s="7">
        <x:v>22000</x:v>
      </x:c>
      <x:c r="D16" s="7">
        <x:v>48000</x:v>
      </x:c>
      <x:c r="E16" s="7">
        <x:v>3300</x:v>
      </x:c>
      <x:c r="F16" s="10">
        <x:f t="shared" si="0"/>
        <x:v>8060</x:v>
      </x:c>
      <x:c r="G16" s="7">
        <x:f t="shared" si="1"/>
        <x:v>65090</x:v>
      </x:c>
    </x:row>
  </x:sheetData>
  <x:mergeCells count="1">
    <x:mergeCell ref="A1:G1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7"/>
  <x:dimension ref="A1:O35"/>
  <x:sheetViews>
    <x:sheetView topLeftCell="A1" zoomScaleNormal="100" zoomScaleSheetLayoutView="75" workbookViewId="0">
      <x:selection activeCell="E15" activeCellId="0" sqref="E15:E15"/>
    </x:sheetView>
  </x:sheetViews>
  <x:sheetFormatPr defaultColWidth="9" defaultRowHeight="16.39999999999999857891"/>
  <x:cols>
    <x:col min="4" max="4" width="10.875" bestFit="1" customWidth="1"/>
    <x:col min="5" max="5" width="10.3125" bestFit="1" customWidth="1"/>
    <x:col min="6" max="6" width="10.875" bestFit="1" customWidth="1"/>
    <x:col min="7" max="7" width="9.375" bestFit="1" customWidth="1"/>
    <x:col min="8" max="8" width="10.875" bestFit="1" customWidth="1"/>
    <x:col min="9" max="9" width="5.625" customWidth="1"/>
    <x:col min="11" max="11" width="10.875" bestFit="1" customWidth="1"/>
    <x:col min="12" max="12" width="9.375" bestFit="1" customWidth="1"/>
    <x:col min="13" max="13" width="10.875" bestFit="1" customWidth="1"/>
    <x:col min="14" max="14" width="9.375" bestFit="1" customWidth="1"/>
    <x:col min="15" max="15" width="10.875" bestFit="1" customWidth="1"/>
  </x:cols>
  <x:sheetData>
    <x:row r="1" spans="1:15" ht="17.80000000000000071054">
      <x:c r="A1" s="25" t="s">
        <x:v>146</x:v>
      </x:c>
      <x:c r="B1" s="25"/>
      <x:c r="C1" s="25"/>
      <x:c r="D1" s="25"/>
      <x:c r="E1" s="25"/>
      <x:c r="F1" s="25"/>
      <x:c r="G1" s="25"/>
      <x:c r="H1" s="25"/>
      <x:c r="J1" s="25" t="s">
        <x:v>148</x:v>
      </x:c>
      <x:c r="K1" s="25"/>
      <x:c r="L1" s="25"/>
      <x:c r="M1" s="25"/>
      <x:c r="N1" s="25"/>
      <x:c r="O1" s="25"/>
    </x:row>
    <x:row r="2" spans="1:15">
      <x:c r="A2" s="4" t="s">
        <x:v>56</x:v>
      </x:c>
      <x:c r="B2" s="4" t="s">
        <x:v>35</x:v>
      </x:c>
      <x:c r="C2" s="4" t="s">
        <x:v>90</x:v>
      </x:c>
      <x:c r="D2" s="4" t="s">
        <x:v>51</x:v>
      </x:c>
      <x:c r="E2" s="4" t="s">
        <x:v>78</x:v>
      </x:c>
      <x:c r="F2" s="4" t="s">
        <x:v>74</x:v>
      </x:c>
      <x:c r="G2" s="4" t="s">
        <x:v>86</x:v>
      </x:c>
      <x:c r="H2" s="4" t="s">
        <x:v>163</x:v>
      </x:c>
      <x:c r="J2" s="4" t="s">
        <x:v>56</x:v>
      </x:c>
      <x:c r="K2" s="4" t="s">
        <x:v>51</x:v>
      </x:c>
      <x:c r="L2" s="4" t="s">
        <x:v>78</x:v>
      </x:c>
      <x:c r="M2" s="4" t="s">
        <x:v>74</x:v>
      </x:c>
      <x:c r="N2" s="4" t="s">
        <x:v>86</x:v>
      </x:c>
      <x:c r="O2" s="4" t="s">
        <x:v>163</x:v>
      </x:c>
    </x:row>
    <x:row r="3" spans="1:15">
      <x:c r="A3" s="4" t="s">
        <x:v>67</x:v>
      </x:c>
      <x:c r="B3" s="9" t="s">
        <x:v>89</x:v>
      </x:c>
      <x:c r="C3" s="9" t="s">
        <x:v>60</x:v>
      </x:c>
      <x:c r="D3" s="7">
        <x:v>2800000</x:v>
      </x:c>
      <x:c r="E3" s="7">
        <x:v>800000</x:v>
      </x:c>
      <x:c r="F3" s="7">
        <x:f>D3*50%</x:f>
        <x:v>1400000</x:v>
      </x:c>
      <x:c r="G3" s="7">
        <x:f>SUM(D3:F3)*12%</x:f>
        <x:v>600000</x:v>
      </x:c>
      <x:c r="H3" s="7">
        <x:f>SUM(D3:F3)-G3</x:f>
        <x:v>4400000</x:v>
      </x:c>
      <x:c r="J3" s="4" t="s">
        <x:v>67</x:v>
      </x:c>
      <x:c r="K3" s="10"/>
      <x:c r="L3" s="10"/>
      <x:c r="M3" s="10"/>
      <x:c r="N3" s="10"/>
      <x:c r="O3" s="10"/>
    </x:row>
    <x:row r="4" spans="1:15">
      <x:c r="A4" s="4" t="s">
        <x:v>92</x:v>
      </x:c>
      <x:c r="B4" s="9" t="s">
        <x:v>89</x:v>
      </x:c>
      <x:c r="C4" s="9" t="s">
        <x:v>45</x:v>
      </x:c>
      <x:c r="D4" s="7">
        <x:v>2200000</x:v>
      </x:c>
      <x:c r="E4" s="7">
        <x:v>600000</x:v>
      </x:c>
      <x:c r="F4" s="7">
        <x:f t="shared" ref="F4:F11" si="0">D4*50%</x:f>
        <x:v>1100000</x:v>
      </x:c>
      <x:c r="G4" s="7">
        <x:f t="shared" ref="G4:G11" si="1">SUM(D4:F4)*12%</x:f>
        <x:v>468000</x:v>
      </x:c>
      <x:c r="H4" s="7">
        <x:f t="shared" ref="H4:H11" si="2">SUM(D4:F4)-G4</x:f>
        <x:v>3432000</x:v>
      </x:c>
      <x:c r="J4" s="4" t="s">
        <x:v>92</x:v>
      </x:c>
      <x:c r="K4" s="10"/>
      <x:c r="L4" s="10"/>
      <x:c r="M4" s="10"/>
      <x:c r="N4" s="10"/>
      <x:c r="O4" s="10"/>
    </x:row>
    <x:row r="5" spans="1:15">
      <x:c r="A5" s="4" t="s">
        <x:v>77</x:v>
      </x:c>
      <x:c r="B5" s="9" t="s">
        <x:v>89</x:v>
      </x:c>
      <x:c r="C5" s="9" t="s">
        <x:v>64</x:v>
      </x:c>
      <x:c r="D5" s="7">
        <x:v>1800000</x:v>
      </x:c>
      <x:c r="E5" s="7">
        <x:v>400000</x:v>
      </x:c>
      <x:c r="F5" s="7">
        <x:f t="shared" si="0"/>
        <x:v>900000</x:v>
      </x:c>
      <x:c r="G5" s="7">
        <x:f t="shared" si="1"/>
        <x:v>372000</x:v>
      </x:c>
      <x:c r="H5" s="7">
        <x:f t="shared" si="2"/>
        <x:v>2728000</x:v>
      </x:c>
      <x:c r="J5" s="4" t="s">
        <x:v>77</x:v>
      </x:c>
      <x:c r="K5" s="10"/>
      <x:c r="L5" s="10"/>
      <x:c r="M5" s="10"/>
      <x:c r="N5" s="10"/>
      <x:c r="O5" s="10"/>
    </x:row>
    <x:row r="6" spans="1:15">
      <x:c r="A6" s="4" t="s">
        <x:v>71</x:v>
      </x:c>
      <x:c r="B6" s="9" t="s">
        <x:v>91</x:v>
      </x:c>
      <x:c r="C6" s="9" t="s">
        <x:v>60</x:v>
      </x:c>
      <x:c r="D6" s="7">
        <x:v>2600000</x:v>
      </x:c>
      <x:c r="E6" s="7">
        <x:v>800000</x:v>
      </x:c>
      <x:c r="F6" s="7">
        <x:f t="shared" si="0"/>
        <x:v>1300000</x:v>
      </x:c>
      <x:c r="G6" s="7">
        <x:f t="shared" si="1"/>
        <x:v>564000</x:v>
      </x:c>
      <x:c r="H6" s="7">
        <x:f t="shared" si="2"/>
        <x:v>4136000</x:v>
      </x:c>
      <x:c r="J6" s="4" t="s">
        <x:v>71</x:v>
      </x:c>
      <x:c r="K6" s="10"/>
      <x:c r="L6" s="10"/>
      <x:c r="M6" s="10"/>
      <x:c r="N6" s="10"/>
      <x:c r="O6" s="10"/>
    </x:row>
    <x:row r="7" spans="1:15">
      <x:c r="A7" s="4" t="s">
        <x:v>73</x:v>
      </x:c>
      <x:c r="B7" s="9" t="s">
        <x:v>91</x:v>
      </x:c>
      <x:c r="C7" s="9" t="s">
        <x:v>45</x:v>
      </x:c>
      <x:c r="D7" s="7">
        <x:v>2200000</x:v>
      </x:c>
      <x:c r="E7" s="7">
        <x:v>600000</x:v>
      </x:c>
      <x:c r="F7" s="7">
        <x:f t="shared" si="0"/>
        <x:v>1100000</x:v>
      </x:c>
      <x:c r="G7" s="7">
        <x:f t="shared" si="1"/>
        <x:v>468000</x:v>
      </x:c>
      <x:c r="H7" s="7">
        <x:f t="shared" si="2"/>
        <x:v>3432000</x:v>
      </x:c>
      <x:c r="J7" s="4" t="s">
        <x:v>73</x:v>
      </x:c>
      <x:c r="K7" s="10"/>
      <x:c r="L7" s="10"/>
      <x:c r="M7" s="10"/>
      <x:c r="N7" s="10"/>
      <x:c r="O7" s="10"/>
    </x:row>
    <x:row r="8" spans="1:15">
      <x:c r="A8" s="4" t="s">
        <x:v>96</x:v>
      </x:c>
      <x:c r="B8" s="9" t="s">
        <x:v>91</x:v>
      </x:c>
      <x:c r="C8" s="9" t="s">
        <x:v>64</x:v>
      </x:c>
      <x:c r="D8" s="7">
        <x:v>1700000</x:v>
      </x:c>
      <x:c r="E8" s="7">
        <x:v>400000</x:v>
      </x:c>
      <x:c r="F8" s="7">
        <x:f t="shared" si="0"/>
        <x:v>850000</x:v>
      </x:c>
      <x:c r="G8" s="7">
        <x:f t="shared" si="1"/>
        <x:v>354000</x:v>
      </x:c>
      <x:c r="H8" s="7">
        <x:f t="shared" si="2"/>
        <x:v>2596000</x:v>
      </x:c>
      <x:c r="J8" s="4" t="s">
        <x:v>96</x:v>
      </x:c>
      <x:c r="K8" s="10"/>
      <x:c r="L8" s="10"/>
      <x:c r="M8" s="10"/>
      <x:c r="N8" s="10"/>
      <x:c r="O8" s="10"/>
    </x:row>
    <x:row r="9" spans="1:15">
      <x:c r="A9" s="4" t="s">
        <x:v>95</x:v>
      </x:c>
      <x:c r="B9" s="9" t="s">
        <x:v>39</x:v>
      </x:c>
      <x:c r="C9" s="9" t="s">
        <x:v>60</x:v>
      </x:c>
      <x:c r="D9" s="7">
        <x:v>2500000</x:v>
      </x:c>
      <x:c r="E9" s="7">
        <x:v>800000</x:v>
      </x:c>
      <x:c r="F9" s="7">
        <x:f t="shared" si="0"/>
        <x:v>1250000</x:v>
      </x:c>
      <x:c r="G9" s="7">
        <x:f t="shared" si="1"/>
        <x:v>546000</x:v>
      </x:c>
      <x:c r="H9" s="7">
        <x:f t="shared" si="2"/>
        <x:v>4004000</x:v>
      </x:c>
      <x:c r="J9" s="4" t="s">
        <x:v>95</x:v>
      </x:c>
      <x:c r="K9" s="10"/>
      <x:c r="L9" s="10"/>
      <x:c r="M9" s="10"/>
      <x:c r="N9" s="10"/>
      <x:c r="O9" s="10"/>
    </x:row>
    <x:row r="10" spans="1:15">
      <x:c r="A10" s="4" t="s">
        <x:v>72</x:v>
      </x:c>
      <x:c r="B10" s="9" t="s">
        <x:v>39</x:v>
      </x:c>
      <x:c r="C10" s="9" t="s">
        <x:v>45</x:v>
      </x:c>
      <x:c r="D10" s="7">
        <x:v>2300000</x:v>
      </x:c>
      <x:c r="E10" s="7">
        <x:v>600000</x:v>
      </x:c>
      <x:c r="F10" s="7">
        <x:f t="shared" si="0"/>
        <x:v>1150000</x:v>
      </x:c>
      <x:c r="G10" s="7">
        <x:f t="shared" si="1"/>
        <x:v>486000</x:v>
      </x:c>
      <x:c r="H10" s="7">
        <x:f t="shared" si="2"/>
        <x:v>3564000</x:v>
      </x:c>
      <x:c r="J10" s="4" t="s">
        <x:v>72</x:v>
      </x:c>
      <x:c r="K10" s="10"/>
      <x:c r="L10" s="10"/>
      <x:c r="M10" s="10"/>
      <x:c r="N10" s="10"/>
      <x:c r="O10" s="10"/>
    </x:row>
    <x:row r="11" spans="1:15">
      <x:c r="A11" s="4" t="s">
        <x:v>66</x:v>
      </x:c>
      <x:c r="B11" s="9" t="s">
        <x:v>39</x:v>
      </x:c>
      <x:c r="C11" s="9" t="s">
        <x:v>64</x:v>
      </x:c>
      <x:c r="D11" s="7">
        <x:v>1800000</x:v>
      </x:c>
      <x:c r="E11" s="7">
        <x:v>400000</x:v>
      </x:c>
      <x:c r="F11" s="7">
        <x:f t="shared" si="0"/>
        <x:v>900000</x:v>
      </x:c>
      <x:c r="G11" s="7">
        <x:f t="shared" si="1"/>
        <x:v>372000</x:v>
      </x:c>
      <x:c r="H11" s="7">
        <x:f t="shared" si="2"/>
        <x:v>2728000</x:v>
      </x:c>
      <x:c r="J11" s="4" t="s">
        <x:v>66</x:v>
      </x:c>
      <x:c r="K11" s="10"/>
      <x:c r="L11" s="10"/>
      <x:c r="M11" s="10"/>
      <x:c r="N11" s="10"/>
      <x:c r="O11" s="10"/>
    </x:row>
    <x:row r="13" spans="1:8" ht="17.80000000000000071054">
      <x:c r="A13" s="25" t="s">
        <x:v>144</x:v>
      </x:c>
      <x:c r="B13" s="25"/>
      <x:c r="C13" s="25"/>
      <x:c r="D13" s="25"/>
      <x:c r="E13" s="25"/>
      <x:c r="F13" s="25"/>
      <x:c r="G13" s="25"/>
      <x:c r="H13" s="25"/>
    </x:row>
    <x:row r="14" spans="1:8">
      <x:c r="A14" s="4" t="s">
        <x:v>56</x:v>
      </x:c>
      <x:c r="B14" s="4" t="s">
        <x:v>35</x:v>
      </x:c>
      <x:c r="C14" s="4" t="s">
        <x:v>90</x:v>
      </x:c>
      <x:c r="D14" s="4" t="s">
        <x:v>78</x:v>
      </x:c>
      <x:c r="E14" s="4" t="s">
        <x:v>51</x:v>
      </x:c>
      <x:c r="F14" s="4" t="s">
        <x:v>74</x:v>
      </x:c>
      <x:c r="G14" s="4" t="s">
        <x:v>86</x:v>
      </x:c>
      <x:c r="H14" s="4" t="s">
        <x:v>163</x:v>
      </x:c>
    </x:row>
    <x:row r="15" spans="1:8">
      <x:c r="A15" s="4" t="s">
        <x:v>67</x:v>
      </x:c>
      <x:c r="B15" s="9" t="s">
        <x:v>89</x:v>
      </x:c>
      <x:c r="C15" s="9" t="s">
        <x:v>60</x:v>
      </x:c>
      <x:c r="D15" s="7">
        <x:v>600000</x:v>
      </x:c>
      <x:c r="E15" s="7">
        <x:v>2800000</x:v>
      </x:c>
      <x:c r="F15" s="7">
        <x:f>D15*20%</x:f>
        <x:v>120000</x:v>
      </x:c>
      <x:c r="G15" s="7">
        <x:f>SUM(D15:F15)*12%</x:f>
        <x:v>422400</x:v>
      </x:c>
      <x:c r="H15" s="7">
        <x:f>SUM(D15:F15)-G15</x:f>
        <x:v>3097600</x:v>
      </x:c>
    </x:row>
    <x:row r="16" spans="1:8">
      <x:c r="A16" s="4" t="s">
        <x:v>92</x:v>
      </x:c>
      <x:c r="B16" s="9" t="s">
        <x:v>89</x:v>
      </x:c>
      <x:c r="C16" s="9" t="s">
        <x:v>45</x:v>
      </x:c>
      <x:c r="D16" s="7">
        <x:v>350000</x:v>
      </x:c>
      <x:c r="E16" s="7">
        <x:v>2200000</x:v>
      </x:c>
      <x:c r="F16" s="7">
        <x:f t="shared" ref="F16:F23" si="3">D16*20%</x:f>
        <x:v>70000</x:v>
      </x:c>
      <x:c r="G16" s="7">
        <x:f t="shared" ref="G16:G23" si="4">SUM(D16:F16)*12%</x:f>
        <x:v>314400</x:v>
      </x:c>
      <x:c r="H16" s="7">
        <x:f t="shared" ref="H16:H23" si="5">SUM(D16:F16)-G16</x:f>
        <x:v>2305600</x:v>
      </x:c>
    </x:row>
    <x:row r="17" spans="1:8">
      <x:c r="A17" s="4" t="s">
        <x:v>77</x:v>
      </x:c>
      <x:c r="B17" s="9" t="s">
        <x:v>89</x:v>
      </x:c>
      <x:c r="C17" s="9" t="s">
        <x:v>64</x:v>
      </x:c>
      <x:c r="D17" s="7">
        <x:v>300000</x:v>
      </x:c>
      <x:c r="E17" s="7">
        <x:v>1800000</x:v>
      </x:c>
      <x:c r="F17" s="7">
        <x:f t="shared" si="3"/>
        <x:v>60000</x:v>
      </x:c>
      <x:c r="G17" s="7">
        <x:f t="shared" si="4"/>
        <x:v>259200</x:v>
      </x:c>
      <x:c r="H17" s="7">
        <x:f t="shared" si="5"/>
        <x:v>1900800</x:v>
      </x:c>
    </x:row>
    <x:row r="18" spans="1:8">
      <x:c r="A18" s="4" t="s">
        <x:v>71</x:v>
      </x:c>
      <x:c r="B18" s="9" t="s">
        <x:v>91</x:v>
      </x:c>
      <x:c r="C18" s="9" t="s">
        <x:v>60</x:v>
      </x:c>
      <x:c r="D18" s="7">
        <x:v>600000</x:v>
      </x:c>
      <x:c r="E18" s="7">
        <x:v>2600000</x:v>
      </x:c>
      <x:c r="F18" s="7">
        <x:f t="shared" si="3"/>
        <x:v>120000</x:v>
      </x:c>
      <x:c r="G18" s="7">
        <x:f t="shared" si="4"/>
        <x:v>398400</x:v>
      </x:c>
      <x:c r="H18" s="7">
        <x:f t="shared" si="5"/>
        <x:v>2921600</x:v>
      </x:c>
    </x:row>
    <x:row r="19" spans="1:8">
      <x:c r="A19" s="4" t="s">
        <x:v>73</x:v>
      </x:c>
      <x:c r="B19" s="9" t="s">
        <x:v>91</x:v>
      </x:c>
      <x:c r="C19" s="9" t="s">
        <x:v>45</x:v>
      </x:c>
      <x:c r="D19" s="7">
        <x:v>350000</x:v>
      </x:c>
      <x:c r="E19" s="7">
        <x:v>2200000</x:v>
      </x:c>
      <x:c r="F19" s="7">
        <x:f t="shared" si="3"/>
        <x:v>70000</x:v>
      </x:c>
      <x:c r="G19" s="7">
        <x:f t="shared" si="4"/>
        <x:v>314400</x:v>
      </x:c>
      <x:c r="H19" s="7">
        <x:f t="shared" si="5"/>
        <x:v>2305600</x:v>
      </x:c>
    </x:row>
    <x:row r="20" spans="1:8">
      <x:c r="A20" s="4" t="s">
        <x:v>96</x:v>
      </x:c>
      <x:c r="B20" s="9" t="s">
        <x:v>91</x:v>
      </x:c>
      <x:c r="C20" s="9" t="s">
        <x:v>64</x:v>
      </x:c>
      <x:c r="D20" s="7">
        <x:v>300000</x:v>
      </x:c>
      <x:c r="E20" s="7">
        <x:v>1700000</x:v>
      </x:c>
      <x:c r="F20" s="7">
        <x:f t="shared" si="3"/>
        <x:v>60000</x:v>
      </x:c>
      <x:c r="G20" s="7">
        <x:f t="shared" si="4"/>
        <x:v>247200</x:v>
      </x:c>
      <x:c r="H20" s="7">
        <x:f t="shared" si="5"/>
        <x:v>1812800</x:v>
      </x:c>
    </x:row>
    <x:row r="21" spans="1:8">
      <x:c r="A21" s="4" t="s">
        <x:v>95</x:v>
      </x:c>
      <x:c r="B21" s="9" t="s">
        <x:v>39</x:v>
      </x:c>
      <x:c r="C21" s="9" t="s">
        <x:v>60</x:v>
      </x:c>
      <x:c r="D21" s="7">
        <x:v>600000</x:v>
      </x:c>
      <x:c r="E21" s="7">
        <x:v>2500000</x:v>
      </x:c>
      <x:c r="F21" s="7">
        <x:f t="shared" si="3"/>
        <x:v>120000</x:v>
      </x:c>
      <x:c r="G21" s="7">
        <x:f t="shared" si="4"/>
        <x:v>386400</x:v>
      </x:c>
      <x:c r="H21" s="7">
        <x:f t="shared" si="5"/>
        <x:v>2833600</x:v>
      </x:c>
    </x:row>
    <x:row r="22" spans="1:8">
      <x:c r="A22" s="4" t="s">
        <x:v>72</x:v>
      </x:c>
      <x:c r="B22" s="9" t="s">
        <x:v>39</x:v>
      </x:c>
      <x:c r="C22" s="9" t="s">
        <x:v>45</x:v>
      </x:c>
      <x:c r="D22" s="7">
        <x:v>350000</x:v>
      </x:c>
      <x:c r="E22" s="7">
        <x:v>2300000</x:v>
      </x:c>
      <x:c r="F22" s="7">
        <x:f t="shared" si="3"/>
        <x:v>70000</x:v>
      </x:c>
      <x:c r="G22" s="7">
        <x:f t="shared" si="4"/>
        <x:v>326400</x:v>
      </x:c>
      <x:c r="H22" s="7">
        <x:f t="shared" si="5"/>
        <x:v>2393600</x:v>
      </x:c>
    </x:row>
    <x:row r="23" spans="1:8">
      <x:c r="A23" s="4" t="s">
        <x:v>66</x:v>
      </x:c>
      <x:c r="B23" s="9" t="s">
        <x:v>39</x:v>
      </x:c>
      <x:c r="C23" s="9" t="s">
        <x:v>64</x:v>
      </x:c>
      <x:c r="D23" s="7">
        <x:v>300000</x:v>
      </x:c>
      <x:c r="E23" s="7">
        <x:v>1800000</x:v>
      </x:c>
      <x:c r="F23" s="7">
        <x:f t="shared" si="3"/>
        <x:v>60000</x:v>
      </x:c>
      <x:c r="G23" s="7">
        <x:f t="shared" si="4"/>
        <x:v>259200</x:v>
      </x:c>
      <x:c r="H23" s="7">
        <x:f t="shared" si="5"/>
        <x:v>1900800</x:v>
      </x:c>
    </x:row>
    <x:row r="25" spans="1:8" ht="17.80000000000000071054">
      <x:c r="A25" s="25" t="s">
        <x:v>143</x:v>
      </x:c>
      <x:c r="B25" s="25"/>
      <x:c r="C25" s="25"/>
      <x:c r="D25" s="25"/>
      <x:c r="E25" s="25"/>
      <x:c r="F25" s="25"/>
      <x:c r="G25" s="25"/>
      <x:c r="H25" s="25"/>
    </x:row>
    <x:row r="26" spans="1:8">
      <x:c r="A26" s="4" t="s">
        <x:v>56</x:v>
      </x:c>
      <x:c r="B26" s="4" t="s">
        <x:v>35</x:v>
      </x:c>
      <x:c r="C26" s="4" t="s">
        <x:v>90</x:v>
      </x:c>
      <x:c r="D26" s="4" t="s">
        <x:v>51</x:v>
      </x:c>
      <x:c r="E26" s="4" t="s">
        <x:v>78</x:v>
      </x:c>
      <x:c r="F26" s="4" t="s">
        <x:v>74</x:v>
      </x:c>
      <x:c r="G26" s="4" t="s">
        <x:v>86</x:v>
      </x:c>
      <x:c r="H26" s="4" t="s">
        <x:v>163</x:v>
      </x:c>
    </x:row>
    <x:row r="27" spans="1:8">
      <x:c r="A27" s="4" t="s">
        <x:v>67</x:v>
      </x:c>
      <x:c r="B27" s="9" t="s">
        <x:v>89</x:v>
      </x:c>
      <x:c r="C27" s="9" t="s">
        <x:v>60</x:v>
      </x:c>
      <x:c r="D27" s="7">
        <x:v>2800000</x:v>
      </x:c>
      <x:c r="E27" s="7">
        <x:v>650000</x:v>
      </x:c>
      <x:c r="F27" s="7">
        <x:f>D27*30%</x:f>
        <x:v>840000</x:v>
      </x:c>
      <x:c r="G27" s="7">
        <x:f>SUM(D27:F27)*12%</x:f>
        <x:v>514800</x:v>
      </x:c>
      <x:c r="H27" s="7">
        <x:f>SUM(D27:F27)-G27</x:f>
        <x:v>3775200</x:v>
      </x:c>
    </x:row>
    <x:row r="28" spans="1:8">
      <x:c r="A28" s="4" t="s">
        <x:v>92</x:v>
      </x:c>
      <x:c r="B28" s="9" t="s">
        <x:v>89</x:v>
      </x:c>
      <x:c r="C28" s="9" t="s">
        <x:v>45</x:v>
      </x:c>
      <x:c r="D28" s="7">
        <x:v>2200000</x:v>
      </x:c>
      <x:c r="E28" s="7">
        <x:v>450000</x:v>
      </x:c>
      <x:c r="F28" s="7">
        <x:f t="shared" ref="F28:F35" si="6">D28*30%</x:f>
        <x:v>660000</x:v>
      </x:c>
      <x:c r="G28" s="7">
        <x:f t="shared" ref="G28:G35" si="7">SUM(D28:F28)*12%</x:f>
        <x:v>397200</x:v>
      </x:c>
      <x:c r="H28" s="7">
        <x:f t="shared" ref="H28:H35" si="8">SUM(D28:F28)-G28</x:f>
        <x:v>2912800</x:v>
      </x:c>
    </x:row>
    <x:row r="29" spans="1:8">
      <x:c r="A29" s="4" t="s">
        <x:v>77</x:v>
      </x:c>
      <x:c r="B29" s="9" t="s">
        <x:v>89</x:v>
      </x:c>
      <x:c r="C29" s="9" t="s">
        <x:v>64</x:v>
      </x:c>
      <x:c r="D29" s="7">
        <x:v>1800000</x:v>
      </x:c>
      <x:c r="E29" s="7">
        <x:v>300000</x:v>
      </x:c>
      <x:c r="F29" s="7">
        <x:f t="shared" si="6"/>
        <x:v>540000</x:v>
      </x:c>
      <x:c r="G29" s="7">
        <x:f t="shared" si="7"/>
        <x:v>316800</x:v>
      </x:c>
      <x:c r="H29" s="7">
        <x:f t="shared" si="8"/>
        <x:v>2323200</x:v>
      </x:c>
    </x:row>
    <x:row r="30" spans="1:8">
      <x:c r="A30" s="4" t="s">
        <x:v>71</x:v>
      </x:c>
      <x:c r="B30" s="9" t="s">
        <x:v>91</x:v>
      </x:c>
      <x:c r="C30" s="9" t="s">
        <x:v>60</x:v>
      </x:c>
      <x:c r="D30" s="7">
        <x:v>2600000</x:v>
      </x:c>
      <x:c r="E30" s="7">
        <x:v>650000</x:v>
      </x:c>
      <x:c r="F30" s="7">
        <x:f t="shared" si="6"/>
        <x:v>780000</x:v>
      </x:c>
      <x:c r="G30" s="7">
        <x:f t="shared" si="7"/>
        <x:v>483600</x:v>
      </x:c>
      <x:c r="H30" s="7">
        <x:f t="shared" si="8"/>
        <x:v>3546400</x:v>
      </x:c>
    </x:row>
    <x:row r="31" spans="1:8">
      <x:c r="A31" s="4" t="s">
        <x:v>73</x:v>
      </x:c>
      <x:c r="B31" s="9" t="s">
        <x:v>91</x:v>
      </x:c>
      <x:c r="C31" s="9" t="s">
        <x:v>45</x:v>
      </x:c>
      <x:c r="D31" s="7">
        <x:v>2200000</x:v>
      </x:c>
      <x:c r="E31" s="7">
        <x:v>450000</x:v>
      </x:c>
      <x:c r="F31" s="7">
        <x:f t="shared" si="6"/>
        <x:v>660000</x:v>
      </x:c>
      <x:c r="G31" s="7">
        <x:f t="shared" si="7"/>
        <x:v>397200</x:v>
      </x:c>
      <x:c r="H31" s="7">
        <x:f t="shared" si="8"/>
        <x:v>2912800</x:v>
      </x:c>
    </x:row>
    <x:row r="32" spans="1:8">
      <x:c r="A32" s="4" t="s">
        <x:v>96</x:v>
      </x:c>
      <x:c r="B32" s="9" t="s">
        <x:v>91</x:v>
      </x:c>
      <x:c r="C32" s="9" t="s">
        <x:v>64</x:v>
      </x:c>
      <x:c r="D32" s="7">
        <x:v>1700000</x:v>
      </x:c>
      <x:c r="E32" s="7">
        <x:v>300000</x:v>
      </x:c>
      <x:c r="F32" s="7">
        <x:f t="shared" si="6"/>
        <x:v>510000</x:v>
      </x:c>
      <x:c r="G32" s="7">
        <x:f t="shared" si="7"/>
        <x:v>301200</x:v>
      </x:c>
      <x:c r="H32" s="7">
        <x:f t="shared" si="8"/>
        <x:v>2208800</x:v>
      </x:c>
    </x:row>
    <x:row r="33" spans="1:8">
      <x:c r="A33" s="4" t="s">
        <x:v>95</x:v>
      </x:c>
      <x:c r="B33" s="9" t="s">
        <x:v>39</x:v>
      </x:c>
      <x:c r="C33" s="9" t="s">
        <x:v>60</x:v>
      </x:c>
      <x:c r="D33" s="7">
        <x:v>2500000</x:v>
      </x:c>
      <x:c r="E33" s="7">
        <x:v>650000</x:v>
      </x:c>
      <x:c r="F33" s="7">
        <x:f t="shared" si="6"/>
        <x:v>750000</x:v>
      </x:c>
      <x:c r="G33" s="7">
        <x:f t="shared" si="7"/>
        <x:v>468000</x:v>
      </x:c>
      <x:c r="H33" s="7">
        <x:f t="shared" si="8"/>
        <x:v>3432000</x:v>
      </x:c>
    </x:row>
    <x:row r="34" spans="1:8">
      <x:c r="A34" s="4" t="s">
        <x:v>72</x:v>
      </x:c>
      <x:c r="B34" s="9" t="s">
        <x:v>39</x:v>
      </x:c>
      <x:c r="C34" s="9" t="s">
        <x:v>45</x:v>
      </x:c>
      <x:c r="D34" s="7">
        <x:v>2300000</x:v>
      </x:c>
      <x:c r="E34" s="7">
        <x:v>450000</x:v>
      </x:c>
      <x:c r="F34" s="7">
        <x:f t="shared" si="6"/>
        <x:v>690000</x:v>
      </x:c>
      <x:c r="G34" s="7">
        <x:f t="shared" si="7"/>
        <x:v>412800</x:v>
      </x:c>
      <x:c r="H34" s="7">
        <x:f t="shared" si="8"/>
        <x:v>3027200</x:v>
      </x:c>
    </x:row>
    <x:row r="35" spans="1:8">
      <x:c r="A35" s="4" t="s">
        <x:v>66</x:v>
      </x:c>
      <x:c r="B35" s="9" t="s">
        <x:v>39</x:v>
      </x:c>
      <x:c r="C35" s="9" t="s">
        <x:v>64</x:v>
      </x:c>
      <x:c r="D35" s="7">
        <x:v>1800000</x:v>
      </x:c>
      <x:c r="E35" s="7">
        <x:v>300000</x:v>
      </x:c>
      <x:c r="F35" s="7">
        <x:f t="shared" si="6"/>
        <x:v>540000</x:v>
      </x:c>
      <x:c r="G35" s="7">
        <x:f t="shared" si="7"/>
        <x:v>316800</x:v>
      </x:c>
      <x:c r="H35" s="7">
        <x:f t="shared" si="8"/>
        <x:v>2323200</x:v>
      </x:c>
    </x:row>
  </x:sheetData>
  <x:mergeCells count="4">
    <x:mergeCell ref="A1:H1"/>
    <x:mergeCell ref="A13:H13"/>
    <x:mergeCell ref="A25:H25"/>
    <x:mergeCell ref="J1:O1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7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8"/>
  <x:dimension ref="A1:F11"/>
  <x:sheetViews>
    <x:sheetView topLeftCell="A1" zoomScaleNormal="100" zoomScaleSheetLayoutView="75" workbookViewId="0">
      <x:selection activeCell="F9" activeCellId="0" sqref="F9:F9"/>
    </x:sheetView>
  </x:sheetViews>
  <x:sheetFormatPr defaultColWidth="9" defaultRowHeight="16.39999999999999857891"/>
  <x:cols>
    <x:col min="1" max="1" width="9.25" bestFit="1" customWidth="1"/>
    <x:col min="2" max="6" width="9" customWidth="1"/>
  </x:cols>
  <x:sheetData>
    <x:row r="1" spans="1:6" ht="20.64999999999999857891">
      <x:c r="A1" s="24" t="s">
        <x:v>141</x:v>
      </x:c>
      <x:c r="B1" s="24"/>
      <x:c r="C1" s="24"/>
      <x:c r="D1" s="24"/>
      <x:c r="E1" s="24"/>
      <x:c r="F1" s="24"/>
    </x:row>
    <x:row r="2" spans="1:6">
      <x:c r="A2" s="11" t="s">
        <x:v>80</x:v>
      </x:c>
      <x:c r="B2" s="11" t="s">
        <x:v>119</x:v>
      </x:c>
      <x:c r="C2" s="11" t="s">
        <x:v>113</x:v>
      </x:c>
      <x:c r="D2" s="11" t="s">
        <x:v>100</x:v>
      </x:c>
      <x:c r="E2" s="11" t="s">
        <x:v>117</x:v>
      </x:c>
      <x:c r="F2" s="11" t="s">
        <x:v>99</x:v>
      </x:c>
    </x:row>
    <x:row r="3" spans="1:6">
      <x:c r="A3" s="11" t="s">
        <x:v>110</x:v>
      </x:c>
      <x:c r="B3" s="9" t="s">
        <x:v>120</x:v>
      </x:c>
      <x:c r="C3" s="9">
        <x:v>9</x:v>
      </x:c>
      <x:c r="D3" s="9">
        <x:v>0</x:v>
      </x:c>
      <x:c r="E3" s="9">
        <x:v>11</x:v>
      </x:c>
      <x:c r="F3" s="9"/>
    </x:row>
    <x:row r="4" spans="1:6">
      <x:c r="A4" s="11" t="s">
        <x:v>109</x:v>
      </x:c>
      <x:c r="B4" s="9" t="s">
        <x:v>116</x:v>
      </x:c>
      <x:c r="C4" s="9">
        <x:v>7</x:v>
      </x:c>
      <x:c r="D4" s="9">
        <x:v>1</x:v>
      </x:c>
      <x:c r="E4" s="9">
        <x:v>12</x:v>
      </x:c>
      <x:c r="F4" s="9"/>
    </x:row>
    <x:row r="5" spans="1:6">
      <x:c r="A5" s="11" t="s">
        <x:v>98</x:v>
      </x:c>
      <x:c r="B5" s="9" t="s">
        <x:v>121</x:v>
      </x:c>
      <x:c r="C5" s="9">
        <x:v>5</x:v>
      </x:c>
      <x:c r="D5" s="9">
        <x:v>2</x:v>
      </x:c>
      <x:c r="E5" s="9">
        <x:v>13</x:v>
      </x:c>
      <x:c r="F5" s="9"/>
    </x:row>
    <x:row r="6" spans="1:6">
      <x:c r="A6" s="11" t="s">
        <x:v>168</x:v>
      </x:c>
      <x:c r="B6" s="9" t="s">
        <x:v>111</x:v>
      </x:c>
      <x:c r="C6" s="9">
        <x:v>6</x:v>
      </x:c>
      <x:c r="D6" s="9">
        <x:v>0</x:v>
      </x:c>
      <x:c r="E6" s="9">
        <x:v>14</x:v>
      </x:c>
      <x:c r="F6" s="9"/>
    </x:row>
    <x:row r="7" spans="1:6">
      <x:c r="A7" s="11" t="s">
        <x:v>197</x:v>
      </x:c>
      <x:c r="B7" s="9" t="s">
        <x:v>118</x:v>
      </x:c>
      <x:c r="C7" s="9">
        <x:v>12</x:v>
      </x:c>
      <x:c r="D7" s="9">
        <x:v>1</x:v>
      </x:c>
      <x:c r="E7" s="9">
        <x:v>7</x:v>
      </x:c>
      <x:c r="F7" s="9"/>
    </x:row>
    <x:row r="8" spans="1:6">
      <x:c r="A8" s="11" t="s">
        <x:v>195</x:v>
      </x:c>
      <x:c r="B8" s="9" t="s">
        <x:v>129</x:v>
      </x:c>
      <x:c r="C8" s="9">
        <x:v>11</x:v>
      </x:c>
      <x:c r="D8" s="9">
        <x:v>0</x:v>
      </x:c>
      <x:c r="E8" s="9">
        <x:v>9</x:v>
      </x:c>
      <x:c r="F8" s="9"/>
    </x:row>
    <x:row r="9" spans="1:6">
      <x:c r="A9" s="11" t="s">
        <x:v>152</x:v>
      </x:c>
      <x:c r="B9" s="9" t="s">
        <x:v>115</x:v>
      </x:c>
      <x:c r="C9" s="9">
        <x:v>10</x:v>
      </x:c>
      <x:c r="D9" s="9">
        <x:v>1</x:v>
      </x:c>
      <x:c r="E9" s="9">
        <x:v>9</x:v>
      </x:c>
      <x:c r="F9" s="9"/>
    </x:row>
    <x:row r="10" spans="1:6">
      <x:c r="A10" s="11" t="s">
        <x:v>185</x:v>
      </x:c>
      <x:c r="B10" s="9" t="s">
        <x:v>114</x:v>
      </x:c>
      <x:c r="C10" s="9">
        <x:v>8</x:v>
      </x:c>
      <x:c r="D10" s="9">
        <x:v>2</x:v>
      </x:c>
      <x:c r="E10" s="9">
        <x:v>10</x:v>
      </x:c>
      <x:c r="F10" s="9"/>
    </x:row>
    <x:row r="11" spans="1:6">
      <x:c r="A11" s="11" t="s">
        <x:v>125</x:v>
      </x:c>
      <x:c r="B11" s="9" t="s">
        <x:v>112</x:v>
      </x:c>
      <x:c r="C11" s="9">
        <x:v>9</x:v>
      </x:c>
      <x:c r="D11" s="9">
        <x:v>1</x:v>
      </x:c>
      <x:c r="E11" s="9">
        <x:v>10</x:v>
      </x:c>
      <x:c r="F11" s="9"/>
    </x:row>
  </x:sheetData>
  <x:mergeCells count="1">
    <x:mergeCell ref="A1:F1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8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9"/>
  <x:dimension ref="A1:F8"/>
  <x:sheetViews>
    <x:sheetView topLeftCell="A1" zoomScaleNormal="100" zoomScaleSheetLayoutView="75" workbookViewId="0">
      <x:selection activeCell="H9" activeCellId="0" sqref="H9:H9"/>
    </x:sheetView>
  </x:sheetViews>
  <x:sheetFormatPr defaultColWidth="9" defaultRowHeight="16.39999999999999857891"/>
  <x:cols>
    <x:col min="1" max="1" width="13" bestFit="1" customWidth="1"/>
    <x:col min="3" max="3" width="11.625" bestFit="1" customWidth="1"/>
    <x:col min="5" max="5" width="9.375" bestFit="1" customWidth="1"/>
    <x:col min="6" max="6" width="11.875" bestFit="1" customWidth="1"/>
  </x:cols>
  <x:sheetData>
    <x:row r="1" spans="1:6" ht="20.64999999999999857891">
      <x:c r="A1" s="26" t="s">
        <x:v>4</x:v>
      </x:c>
      <x:c r="B1" s="26"/>
      <x:c r="C1" s="26"/>
      <x:c r="D1" s="26"/>
      <x:c r="E1" s="26"/>
      <x:c r="F1" s="26"/>
    </x:row>
    <x:row r="2" spans="1:6">
      <x:c r="A2" s="4" t="s">
        <x:v>122</x:v>
      </x:c>
      <x:c r="B2" s="4" t="s">
        <x:v>76</x:v>
      </x:c>
      <x:c r="C2" s="4" t="s">
        <x:v>188</x:v>
      </x:c>
      <x:c r="D2" s="4" t="s">
        <x:v>173</x:v>
      </x:c>
      <x:c r="E2" s="4" t="s">
        <x:v>193</x:v>
      </x:c>
      <x:c r="F2" s="4" t="s">
        <x:v>164</x:v>
      </x:c>
    </x:row>
    <x:row r="3" spans="1:6">
      <x:c r="A3" s="4" t="s">
        <x:v>124</x:v>
      </x:c>
      <x:c r="B3" s="4" t="s">
        <x:v>187</x:v>
      </x:c>
      <x:c r="C3" s="4" t="s">
        <x:v>196</x:v>
      </x:c>
      <x:c r="D3" s="12">
        <x:v>162</x:v>
      </x:c>
      <x:c r="E3" s="12">
        <x:v>180000</x:v>
      </x:c>
      <x:c r="F3" s="12">
        <x:f>D3*E3</x:f>
        <x:v>29160000</x:v>
      </x:c>
    </x:row>
    <x:row r="4" spans="1:6">
      <x:c r="A4" s="4" t="s">
        <x:v>172</x:v>
      </x:c>
      <x:c r="B4" s="4" t="s">
        <x:v>166</x:v>
      </x:c>
      <x:c r="C4" s="4" t="s">
        <x:v>190</x:v>
      </x:c>
      <x:c r="D4" s="12">
        <x:v>295</x:v>
      </x:c>
      <x:c r="E4" s="12">
        <x:v>75000</x:v>
      </x:c>
      <x:c r="F4" s="12">
        <x:f t="shared" ref="F4:F8" si="0">D4*E4</x:f>
        <x:v>22125000</x:v>
      </x:c>
    </x:row>
    <x:row r="5" spans="1:6">
      <x:c r="A5" s="4" t="s">
        <x:v>174</x:v>
      </x:c>
      <x:c r="B5" s="4" t="s">
        <x:v>171</x:v>
      </x:c>
      <x:c r="C5" s="4" t="s">
        <x:v>169</x:v>
      </x:c>
      <x:c r="D5" s="12">
        <x:v>178</x:v>
      </x:c>
      <x:c r="E5" s="12">
        <x:v>60000</x:v>
      </x:c>
      <x:c r="F5" s="12">
        <x:f t="shared" si="0"/>
        <x:v>10680000</x:v>
      </x:c>
    </x:row>
    <x:row r="6" spans="1:6">
      <x:c r="A6" s="4" t="s">
        <x:v>186</x:v>
      </x:c>
      <x:c r="B6" s="4" t="s">
        <x:v>177</x:v>
      </x:c>
      <x:c r="C6" s="4" t="s">
        <x:v>170</x:v>
      </x:c>
      <x:c r="D6" s="12">
        <x:v>199</x:v>
      </x:c>
      <x:c r="E6" s="12">
        <x:v>68000</x:v>
      </x:c>
      <x:c r="F6" s="12">
        <x:f t="shared" si="0"/>
        <x:v>13532000</x:v>
      </x:c>
    </x:row>
    <x:row r="7" spans="1:6">
      <x:c r="A7" s="4" t="s">
        <x:v>123</x:v>
      </x:c>
      <x:c r="B7" s="4" t="s">
        <x:v>167</x:v>
      </x:c>
      <x:c r="C7" s="4" t="s">
        <x:v>189</x:v>
      </x:c>
      <x:c r="D7" s="12">
        <x:v>184</x:v>
      </x:c>
      <x:c r="E7" s="12">
        <x:v>42000</x:v>
      </x:c>
      <x:c r="F7" s="12">
        <x:f t="shared" si="0"/>
        <x:v>7728000</x:v>
      </x:c>
    </x:row>
    <x:row r="8" spans="1:6">
      <x:c r="A8" s="4" t="s">
        <x:v>126</x:v>
      </x:c>
      <x:c r="B8" s="4" t="s">
        <x:v>184</x:v>
      </x:c>
      <x:c r="C8" s="4" t="s">
        <x:v>191</x:v>
      </x:c>
      <x:c r="D8" s="12">
        <x:v>169</x:v>
      </x:c>
      <x:c r="E8" s="12">
        <x:v>115000</x:v>
      </x:c>
      <x:c r="F8" s="12">
        <x:f t="shared" si="0"/>
        <x:v>19435000</x:v>
      </x:c>
    </x:row>
  </x:sheetData>
  <x:mergeCells count="1">
    <x:mergeCell ref="A1:F1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ep:TitlesOfParts>
  <ep:TotalTime>75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mondi</cp:lastModifiedBy>
  <cp:revision>4</cp:revision>
  <dcterms:created xsi:type="dcterms:W3CDTF">2013-03-06T07:37:24.000</dcterms:created>
  <dcterms:modified xsi:type="dcterms:W3CDTF">2023-05-22T05:02:47.516</dcterms:modified>
  <cp:version>1200.0100.01</cp:version>
</cp:coreProperties>
</file>