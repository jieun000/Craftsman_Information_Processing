
<file path=[Content_Types].xml><?xml version="1.0" encoding="utf-8"?>
<Types xmlns="http://schemas.openxmlformats.org/package/2006/content-types">
  <Default Extension="rels" ContentType="application/vnd.openxmlformats-package.relationships+xml"/>
  <Default Extension="xls" ContentType="application/vnd.ms-exce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mondi\Downloads\컴활2급실기_5일만에 합격하기_버전2.0\5일만에 합격하기_자료집\3일차\"/>
    </mc:Choice>
  </mc:AlternateContent>
  <x:bookViews>
    <x:workbookView xWindow="0" yWindow="0" windowWidth="21345" windowHeight="8640" firstSheet="3" activeTab="7"/>
  </x:bookViews>
  <x:sheets>
    <x:sheet name="조건부서식1" sheetId="1" r:id="rId4"/>
    <x:sheet name="조건부서식2" sheetId="2" r:id="rId5"/>
    <x:sheet name="조건부서식3" sheetId="3" r:id="rId6"/>
    <x:sheet name="조건부서식4" sheetId="4" r:id="rId7"/>
    <x:sheet name="조건부서식5" sheetId="5" r:id="rId8"/>
    <x:sheet name="조건부서식6" sheetId="6" r:id="rId9"/>
    <x:sheet name="조건부서식7" sheetId="7" r:id="rId10"/>
    <x:sheet name="조건부서식8" sheetId="8" r:id="rId11"/>
  </x:sheets>
  <x:externalReferences>
    <x:externalReference r:id="rId12"/>
  </x:externalReferences>
  <x:definedNames>
    <x:definedName name="_xlnm._FilterDatabase" localSheetId="1" hidden="1">조건부서식2!#REF!</x:definedName>
    <x:definedName name="_xlnm._FilterDatabase" localSheetId="4" hidden="1">조건부서식5!#REF!</x:definedName>
    <x:definedName name="_xlnm.Criteria" localSheetId="4">조건부서식5!#REF!</x:definedName>
    <x:definedName name="_xlnm.Extract" localSheetId="4">조건부서식5!#REF!</x:definedName>
    <x:definedName name="배점">'[1]기본작업-2'!#REF!</x:definedName>
    <x:definedName name="오픈일자" localSheetId="4">#REF!</x:definedName>
    <x:definedName name="오픈일자">#REF!</x:definedName>
    <x:definedName name="학점이" localSheetId="4">#REF!</x:definedName>
    <x:definedName name="학점이">#REF!</x:definedName>
    <x:definedName name="학점표" localSheetId="4">#REF!</x:definedName>
    <x:definedName name="학점표">#REF!</x:definedName>
  </x:definedName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<x:sst xmlns:r="http://schemas.openxmlformats.org/officeDocument/2006/relationships" xmlns:c="http://schemas.openxmlformats.org/drawingml/2006/chart" xmlns:x="http://schemas.openxmlformats.org/spreadsheetml/2006/main" count="328" uniqueCount="206">
  <x:si>
    <x:t>2/4분기 아이스크림 판매 현황</x:t>
  </x:si>
  <x:si>
    <x:t>상공상사 3월분 급여지급명세서</x:t>
  </x:si>
  <x:si>
    <x:t>6K-12578</x:t>
  </x:si>
  <x:si>
    <x:t>8K-23215</x:t>
  </x:si>
  <x:si>
    <x:t>3K-12574</x:t>
  </x:si>
  <x:si>
    <x:t>1K-67684</x:t>
  </x:si>
  <x:si>
    <x:t>2K-12579</x:t>
  </x:si>
  <x:si>
    <x:t>[표1] 기풍의원</x:t>
  </x:si>
  <x:si>
    <x:t>2K-23932</x:t>
  </x:si>
  <x:si>
    <x:t>1K-67115</x:t>
  </x:si>
  <x:si>
    <x:t>1K-27512</x:t>
  </x:si>
  <x:si>
    <x:t>2K-12111</x:t>
  </x:si>
  <x:si>
    <x:t>5K-12215</x:t>
  </x:si>
  <x:si>
    <x:t>1K-59141</x:t>
  </x:si>
  <x:si>
    <x:t>2K-12235</x:t>
  </x:si>
  <x:si>
    <x:t>5K-59955</x:t>
  </x:si>
  <x:si>
    <x:t>7K-67122</x:t>
  </x:si>
  <x:si>
    <x:t>2K-12215</x:t>
  </x:si>
  <x:si>
    <x:t>4K-59227</x:t>
  </x:si>
  <x:si>
    <x:t>컴퓨터활용 성적</x:t>
  </x:si>
  <x:si>
    <x:t>7K-12228</x:t>
  </x:si>
  <x:si>
    <x:t>4K-27659</x:t>
  </x:si>
  <x:si>
    <x:t>SJ01-023</x:t>
  </x:si>
  <x:si>
    <x:t>SJ08-004</x:t>
  </x:si>
  <x:si>
    <x:t>SJ12-012</x:t>
  </x:si>
  <x:si>
    <x:t>SJ10-021</x:t>
  </x:si>
  <x:si>
    <x:t>SJ04-012</x:t>
  </x:si>
  <x:si>
    <x:t>SJ06-019</x:t>
  </x:si>
  <x:si>
    <x:t>SJ13-003</x:t>
  </x:si>
  <x:si>
    <x:t>SJ11-002</x:t>
  </x:si>
  <x:si>
    <x:t>SJ13-007</x:t>
  </x:si>
  <x:si>
    <x:t>SJ09-015</x:t>
  </x:si>
  <x:si>
    <x:t>SJ12-031</x:t>
  </x:si>
  <x:si>
    <x:t>SJ09-001</x:t>
  </x:si>
  <x:si>
    <x:t>상공주식회사 승진시험 결과</x:t>
  </x:si>
  <x:si>
    <x:t>차량 5부제 시행 현황</x:t>
  </x:si>
  <x:si>
    <x:t>정보통신학과 시험 성적 현황</x:t>
  </x:si>
  <x:si>
    <x:t>프로야구 2021~2022</x:t>
  </x:si>
  <x:si>
    <x:t>조민정</x:t>
  </x:si>
  <x:si>
    <x:t>김일택</x:t>
  </x:si>
  <x:si>
    <x:t>번호</x:t>
  </x:si>
  <x:si>
    <x:t>팀</x:t>
  </x:si>
  <x:si>
    <x:t>KT</x:t>
  </x:si>
  <x:si>
    <x:t>KIA</x:t>
  </x:si>
  <x:si>
    <x:t>김말자</x:t>
  </x:si>
  <x:si>
    <x:t>양필수</x:t>
  </x:si>
  <x:si>
    <x:t>보험</x:t>
  </x:si>
  <x:si>
    <x:t>민상철</x:t>
  </x:si>
  <x:si>
    <x:t>NC</x:t>
  </x:si>
  <x:si>
    <x:t>SSG</x:t>
  </x:si>
  <x:si>
    <x:t>충북</x:t>
  </x:si>
  <x:si>
    <x:t>누구바</x:t>
  </x:si>
  <x:si>
    <x:t>이태현</x:t>
  </x:si>
  <x:si>
    <x:t>LG</x:t>
  </x:si>
  <x:si>
    <x:t>이성진</x:t>
  </x:si>
  <x:si>
    <x:t>두산</x:t>
  </x:si>
  <x:si>
    <x:t>임정신</x:t>
  </x:si>
  <x:si>
    <x:t>강원도</x:t>
  </x:si>
  <x:si>
    <x:t>최재현</x:t>
  </x:si>
  <x:si>
    <x:t>환자명</x:t>
  </x:si>
  <x:si>
    <x:t>성희민</x:t>
  </x:si>
  <x:si>
    <x:t>강일진</x:t>
  </x:si>
  <x:si>
    <x:t>양경진</x:t>
  </x:si>
  <x:si>
    <x:t>김호영</x:t>
  </x:si>
  <x:si>
    <x:t>유인선</x:t>
  </x:si>
  <x:si>
    <x:t>한정기</x:t>
  </x:si>
  <x:si>
    <x:t>이숙경</x:t>
  </x:si>
  <x:si>
    <x:t>강용민</x:t>
  </x:si>
  <x:si>
    <x:t>일반</x:t>
  </x:si>
  <x:si>
    <x:t>임수경</x:t>
  </x:si>
  <x:si>
    <x:t>김은지</x:t>
  </x:si>
  <x:si>
    <x:t>이종희</x:t>
  </x:si>
  <x:si>
    <x:t>최서현</x:t>
  </x:si>
  <x:si>
    <x:t>나일형</x:t>
  </x:si>
  <x:si>
    <x:t>김세인</x:t>
  </x:si>
  <x:si>
    <x:t>부장</x:t>
  </x:si>
  <x:si>
    <x:t>박병재</x:t>
  </x:si>
  <x:si>
    <x:t>삼성</x:t>
  </x:si>
  <x:si>
    <x:t>이름</x:t>
  </x:si>
  <x:si>
    <x:t>키움</x:t>
  </x:si>
  <x:si>
    <x:t>홍주희</x:t>
  </x:si>
  <x:si>
    <x:t>박준희</x:t>
  </x:si>
  <x:si>
    <x:t>이다정</x:t>
  </x:si>
  <x:si>
    <x:t>한화</x:t>
  </x:si>
  <x:si>
    <x:t>임천규</x:t>
  </x:si>
  <x:si>
    <x:t>임태헌</x:t>
  </x:si>
  <x:si>
    <x:t>사번</x:t>
  </x:si>
  <x:si>
    <x:t>김대훈</x:t>
  </x:si>
  <x:si>
    <x:t>윤경문</x:t>
  </x:si>
  <x:si>
    <x:t>직위</x:t>
  </x:si>
  <x:si>
    <x:t>학번</x:t>
  </x:si>
  <x:si>
    <x:t>상여금</x:t>
  </x:si>
  <x:si>
    <x:t>김지수</x:t>
  </x:si>
  <x:si>
    <x:t>중간</x:t>
  </x:si>
  <x:si>
    <x:t>제수당</x:t>
  </x:si>
  <x:si>
    <x:t>김송희</x:t>
  </x:si>
  <x:si>
    <x:t>총급여</x:t>
  </x:si>
  <x:si>
    <x:t>민제필</x:t>
  </x:si>
  <x:si>
    <x:t>박하늘</x:t>
  </x:si>
  <x:si>
    <x:t>롯데</x:t>
  </x:si>
  <x:si>
    <x:t>합계</x:t>
  </x:si>
  <x:si>
    <x:t>기말</x:t>
  </x:si>
  <x:si>
    <x:t>박민준</x:t>
  </x:si>
  <x:si>
    <x:t>주임</x:t>
  </x:si>
  <x:si>
    <x:t>추양선</x:t>
  </x:si>
  <x:si>
    <x:t>박청국</x:t>
  </x:si>
  <x:si>
    <x:t>이정선</x:t>
  </x:si>
  <x:si>
    <x:t>제선영</x:t>
  </x:si>
  <x:si>
    <x:t>장태현</x:t>
  </x:si>
  <x:si>
    <x:t>김나리</x:t>
  </x:si>
  <x:si>
    <x:t>피종현</x:t>
  </x:si>
  <x:si>
    <x:t>최세연</x:t>
  </x:si>
  <x:si>
    <x:t>김평순</x:t>
  </x:si>
  <x:si>
    <x:t>사원명</x:t>
  </x:si>
  <x:si>
    <x:t>부서명</x:t>
  </x:si>
  <x:si>
    <x:t>근태</x:t>
  </x:si>
  <x:si>
    <x:t>필기</x:t>
  </x:si>
  <x:si>
    <x:t>실적</x:t>
  </x:si>
  <x:si>
    <x:t>고성희</x:t>
  </x:si>
  <x:si>
    <x:t>조광희</x:t>
  </x:si>
  <x:si>
    <x:t>대리</x:t>
  </x:si>
  <x:si>
    <x:t>사원</x:t>
  </x:si>
  <x:si>
    <x:t>박성현</x:t>
  </x:si>
  <x:si>
    <x:t>기본급</x:t>
  </x:si>
  <x:si>
    <x:t>총점</x:t>
  </x:si>
  <x:si>
    <x:t>이준열</x:t>
  </x:si>
  <x:si>
    <x:t>강성훈</x:t>
  </x:si>
  <x:si>
    <x:t>정우성</x:t>
  </x:si>
  <x:si>
    <x:t>류승엽</x:t>
  </x:si>
  <x:si>
    <x:t>한정재</x:t>
  </x:si>
  <x:si>
    <x:t>김태연</x:t>
  </x:si>
  <x:si>
    <x:t>최연아</x:t>
  </x:si>
  <x:si>
    <x:t>고진영</x:t>
  </x:si>
  <x:si>
    <x:t>최진역</x:t>
  </x:si>
  <x:si>
    <x:t>실기</x:t>
  </x:si>
  <x:si>
    <x:t>박진경</x:t>
  </x:si>
  <x:si>
    <x:t>유가람</x:t>
  </x:si>
  <x:si>
    <x:t>과장</x:t>
  </x:si>
  <x:si>
    <x:t>이영자</x:t>
  </x:si>
  <x:si>
    <x:t>A반</x:t>
  </x:si>
  <x:si>
    <x:t>김선욱</x:t>
  </x:si>
  <x:si>
    <x:t>B반</x:t>
  </x:si>
  <x:si>
    <x:t>최진경</x:t>
  </x:si>
  <x:si>
    <x:t>최성철</x:t>
  </x:si>
  <x:si>
    <x:t>윤성완</x:t>
  </x:si>
  <x:si>
    <x:t>김가경</x:t>
  </x:si>
  <x:si>
    <x:t>서울</x:t>
  </x:si>
  <x:si>
    <x:t>지역</x:t>
  </x:si>
  <x:si>
    <x:t>김은예</x:t>
  </x:si>
  <x:si>
    <x:t>임상호</x:t>
  </x:si>
  <x:si>
    <x:t>이원영</x:t>
  </x:si>
  <x:si>
    <x:t>O</x:t>
  </x:si>
  <x:si>
    <x:t>황미주</x:t>
  </x:si>
  <x:si>
    <x:t>쉬는날</x:t>
  </x:si>
  <x:si>
    <x:t>평균</x:t>
  </x:si>
  <x:si>
    <x:t>C반</x:t>
  </x:si>
  <x:si>
    <x:t>제품명</x:t>
  </x:si>
  <x:si>
    <x:t>판매량</x:t>
  </x:si>
  <x:si>
    <x:t>성명</x:t>
  </x:si>
  <x:si>
    <x:t>교실</x:t>
  </x:si>
  <x:si>
    <x:t>부산</x:t>
  </x:si>
  <x:si>
    <x:t>기회2팀</x:t>
  </x:si>
  <x:si>
    <x:t>판매가격</x:t>
  </x:si>
  <x:si>
    <x:t>C003</x:t>
  </x:si>
  <x:si>
    <x:t>기획1팀</x:t>
  </x:si>
  <x:si>
    <x:t>영업2팀</x:t>
  </x:si>
  <x:si>
    <x:t>B002</x:t>
  </x:si>
  <x:si>
    <x:t>S001</x:t>
  </x:si>
  <x:si>
    <x:t>빵빠레오</x:t>
  </x:si>
  <x:si>
    <x:t>C002</x:t>
  </x:si>
  <x:si>
    <x:t>수크리바</x:t>
  </x:si>
  <x:si>
    <x:t>S004</x:t>
  </x:si>
  <x:si>
    <x:t>B003</x:t>
  </x:si>
  <x:si>
    <x:t>차량번호</x:t>
  </x:si>
  <x:si>
    <x:t>영업1팀</x:t>
  </x:si>
  <x:si>
    <x:t>실용영어</x:t>
  </x:si>
  <x:si>
    <x:t>프로그래밍</x:t>
  </x:si>
  <x:si>
    <x:t>B001</x:t>
  </x:si>
  <x:si>
    <x:t>C001</x:t>
  </x:si>
  <x:si>
    <x:t>인터넷통신</x:t>
  </x:si>
  <x:si>
    <x:t>G001</x:t>
  </x:si>
  <x:si>
    <x:t>S002</x:t>
  </x:si>
  <x:si>
    <x:t>더위사랑</x:t>
  </x:si>
  <x:si>
    <x:t>판매금액</x:t>
  </x:si>
  <x:si>
    <x:t>S003</x:t>
  </x:si>
  <x:si>
    <x:t>G003</x:t>
  </x:si>
  <x:si>
    <x:t>생산2팀</x:t>
  </x:si>
  <x:si>
    <x:t>대리점코드</x:t>
  </x:si>
  <x:si>
    <x:t>B004</x:t>
  </x:si>
  <x:si>
    <x:t>생산1팀</x:t>
  </x:si>
  <x:si>
    <x:t>정보처리개론</x:t>
  </x:si>
  <x:si>
    <x:t>G002</x:t>
  </x:si>
  <x:si>
    <x:t>C004</x:t>
  </x:si>
  <x:si>
    <x:t>환자분류</x:t>
  </x:si>
  <x:si>
    <x:t>기말(40)</x:t>
  </x:si>
  <x:si>
    <x:t>중간(40)</x:t>
  </x:si>
  <x:si>
    <x:t>출석(20)</x:t>
  </x:si>
  <x:si>
    <x:t>생년월일</x:t>
  </x:si>
  <x:si>
    <x:t>처방전번호</x:t>
  </x:si>
  <x:si>
    <x:t>약제비총액</x:t>
  </x:si>
  <x:si>
    <x:t>G004</x:t>
  </x:si>
  <x:si>
    <x:t>본인부담금</x:t>
  </x:si>
  <x:si>
    <x:t>의료보험</x:t>
  </x:si>
  <x:si>
    <x:t>조제일자</x:t>
  </x:si>
  <x:si>
    <x:r>
      <x:t>2022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1"/>
            <x:color rgb="ff000000"/>
          </x:rPr>
        </mc:Fallback>
      </mc:AlternateContent>
      <x:t>년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Arial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Arial"/>
            <x:sz val="11"/>
            <x:color rgb="ff000000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1"/>
            <x:color rgb="ff000000"/>
          </x:rPr>
        </mc:Fallback>
      </mc:AlternateContent>
      <x:t>승률</x:t>
    </x:r>
  </x:si>
  <x:si>
    <x:r>
      <x:t>2021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1"/>
            <x:color rgb="ff000000"/>
          </x:rPr>
        </mc:Fallback>
      </mc:AlternateContent>
      <x:t>년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Arial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Arial"/>
            <x:sz val="11"/>
            <x:color rgb="ff000000"/>
          </x:rPr>
        </mc:Fallback>
      </mc:AlternateContent>
      <x:t xml:space="preserve"> 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돋움"/>
            <x:sz val="11"/>
            <x:color rgb="ff000000"/>
            <hs:size val="100"/>
            <hs:ratio val="100"/>
            <hs:spacing val="0"/>
            <hs:offset val="0"/>
          </x:rPr>
        </mc:Choice>
        <mc:Fallback>
          <x:rPr>
            <x:rFont val="돋움"/>
            <x:sz val="11"/>
            <x:color rgb="ff000000"/>
          </x:rPr>
        </mc:Fallback>
      </mc:AlternateContent>
      <x:t>승률</x:t>
    </x:r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</x:si>
</x:sst>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numFmts count="1">
    <x:numFmt numFmtId="164" formatCode="0.0%"/>
  </x:numFmts>
  <x:fonts count="27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ffffff"/>
    </x:font>
    <x:font>
      <x:name val="맑은 고딕"/>
      <x:sz val="11"/>
      <x:color rgb="ffff0000"/>
    </x:font>
    <x:font>
      <x:name val="맑은 고딕"/>
      <x:sz val="11"/>
      <x:color rgb="ffff9900"/>
      <x:b val="1"/>
    </x:font>
    <x:font>
      <x:name val="맑은 고딕"/>
      <x:sz val="11"/>
      <x:color rgb="ff800080"/>
    </x:font>
    <mc:AlternateContent xmlns:mc="http://schemas.openxmlformats.org/markup-compatibility/2006">
      <mc:Choice xmlns:hs="http://schemas.haansoft.com/office/spreadsheet/8.0" Requires="hs">
        <x:font hs:extension="1">
          <x:name val="돋움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9933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9933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808080"/>
          <x:i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808080"/>
          <x:i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ffff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ffff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ff99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ff99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333399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333399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5"/>
          <x:color rgb="ff003366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5"/>
          <x:color rgb="ff003366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3"/>
          <x:color rgb="ff003366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3"/>
          <x:color rgb="ff003366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3366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3366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8"/>
          <x:color rgb="ff003366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8"/>
          <x:color rgb="ff003366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8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8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333333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333333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Arial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Arial"/>
          <x:sz val="11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Arial"/>
          <x:sz val="11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6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6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4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4"/>
          <x:color rgb="ff000000"/>
          <x:b val="1"/>
        </x:font>
      </mc:Fallback>
    </mc:AlternateContent>
  </x:fonts>
  <x:fills count="2">
    <x:fill>
      <x:patternFill patternType="none"/>
    </x:fill>
    <x:fill>
      <x:patternFill patternType="gray125"/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4">
    <x:xf numFmtId="0" fontId="0" fillId="0" borderId="0">
      <x:alignment horizontal="general" vertical="center"/>
    </x:xf>
    <x:xf numFmtId="9" fontId="0" fillId="0" borderId="0" applyFont="1" applyFill="1" applyBorder="1" applyAlignment="1" applyProtection="1">
      <x:alignment horizontal="general" vertical="center"/>
    </x:xf>
    <x:xf numFmtId="41" fontId="0" fillId="0" borderId="0" applyFont="1" applyFill="1" applyBorder="1" applyAlignment="1" applyProtection="1">
      <x:alignment horizontal="general" vertical="center"/>
    </x:xf>
    <x:xf numFmtId="0" fontId="10" fillId="0" borderId="0">
      <x:alignment horizontal="general" vertical="center"/>
    </x:xf>
  </x:cellStyleXfs>
  <x:cellXfs count="24">
    <x:xf numFmtId="0" fontId="0" fillId="0" borderId="0" xfId="0" applyNumberFormat="1">
      <x:alignment horizontal="general" vertical="center"/>
    </x:xf>
    <x:xf numFmtId="0" fontId="15" fillId="0" borderId="0" xfId="0" applyNumberFormat="1" applyFont="1">
      <x:alignment horizontal="general" vertical="center"/>
    </x:xf>
    <x:xf numFmtId="0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x:xf numFmtId="0" fontId="0" fillId="0" borderId="0" xfId="0" applyNumberFormat="1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41" fontId="0" fillId="0" borderId="1" xfId="2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41" fontId="0" fillId="0" borderId="1" xfId="2" applyNumberFormat="1" applyFont="1" applyBorder="1" applyAlignment="1">
          <x:alignment horizontal="center" vertical="center"/>
        </x:xf>
      </mc:Fallback>
    </mc:AlternateContent>
    <x:xf numFmtId="41" fontId="0" fillId="0" borderId="1" xfId="2" applyNumberFormat="1" applyFont="1" applyBorder="1">
      <x:alignment horizontal="general" vertical="center"/>
    </x:xf>
    <x:xf numFmtId="0" fontId="0" fillId="0" borderId="0" xfId="0" applyNumberForma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x:xf numFmtId="41" fontId="0" fillId="0" borderId="1" xfId="2" applyNumberFormat="1" applyFont="1" applyBorder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14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14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3" fillId="0" borderId="1" xfId="0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3" fillId="0" borderId="1" xfId="0" applyNumberFormat="1" applyFont="1" applyBorder="1" applyAlignment="1">
          <x:alignment horizontal="center" vertical="center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164" fontId="23" fillId="0" borderId="1" xfId="1" applyNumberFormat="1" applyFont="1" applyBorder="1" applyAlignment="1" hs:applyExtension="1">
          <x:alignment horizontal="center" vertical="center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164" fontId="23" fillId="0" borderId="1" xfId="1" applyNumberFormat="1" applyFont="1" applyBorder="1" applyAlignment="1">
          <x:alignment horizontal="center" vertical="center" wrapText="1"/>
        </x:xf>
      </mc:Fallback>
    </mc:AlternateContent>
    <x:xf numFmtId="0" fontId="0" fillId="0" borderId="0" xfId="0" applyNumberFormat="1" applyFont="1" applyAlignment="1">
      <x:alignment horizontal="general" vertical="center"/>
    </x:xf>
    <x:xf numFmtId="0" fontId="24" fillId="0" borderId="0" xfId="0" applyNumberFormat="1" applyFont="1" applyAlignment="1">
      <x:alignment horizontal="general" vertical="center" wrapText="1"/>
    </x:xf>
    <x:xf numFmtId="0" fontId="25" fillId="0" borderId="0" xfId="3" applyNumberFormat="1" applyFont="1" applyAlignment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Font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Font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0" xfId="0" applyNumberFormat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NumberFormat="1" applyAlignment="1">
          <x:alignment horizontal="right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15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5" fillId="0" borderId="1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6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6" fillId="0" borderId="0" xfId="0" applyNumberFormat="1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0" applyNumberForma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0" applyNumberForma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25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25" fillId="0" borderId="0" xfId="0" applyNumberFormat="1" applyFont="1" applyAlignment="1">
          <x:alignment horizontal="center" vertical="center"/>
        </x:xf>
      </mc:Fallback>
    </mc:AlternateContent>
  </x:cellXfs>
  <x:cellStyles count="4">
    <x:cellStyle name="표준" xfId="0" builtinId="0"/>
    <x:cellStyle name="백분율" xfId="1" builtinId="5"/>
    <x:cellStyle name="쉼표 [0]" xfId="2" builtinId="6"/>
    <x:cellStyle name="표준 2 2" xfId="3"/>
  </x:cellStyles>
  <x:dxfs count="8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numFmt numFmtId="0" formatCode="General"/>
          <x:fill>
            <x:patternFill>
              <x:bgColor rgb="ffffff00"/>
            </x:patternFill>
          </x:fill>
        </x:dxf>
      </mc:Choice>
      <mc:Fallback>
        <x:dxf>
          <x:font>
            <x:color rgb="ff000000"/>
          </x:font>
          <x:numFmt numFmtId="0" formatCode="General"/>
          <x:fill>
            <x:patternFill>
              <x:bgColor rgb="ffffff00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6182d6"/>
            <x:b val="1"/>
            <hs:useFontSpace val="0"/>
            <hs:size val="0"/>
            <hs:ratio val="0"/>
            <hs:spacing val="0"/>
            <hs:offset val="0"/>
          </x:font>
          <x:numFmt numFmtId="0" formatCode="General"/>
        </x:dxf>
      </mc:Choice>
      <mc:Fallback>
        <x:dxf>
          <x:font>
            <x:color rgb="ff6182d6"/>
            <x:b val="1"/>
          </x:font>
          <x:numFmt numFmtId="0" formatCode="General"/>
        </x:dxf>
      </mc:Fallback>
    </mc:AlternateContent>
    <x:dxf>
      <x:numFmt numFmtId="0" formatCode="General"/>
      <x:fill>
        <x:patternFill>
          <x:bgColor rgb="ffffff00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00"/>
            <x:b val="1"/>
            <hs:useFontSpace val="0"/>
            <hs:size val="0"/>
            <hs:ratio val="0"/>
            <hs:spacing val="0"/>
            <hs:offset val="0"/>
          </x:font>
          <x:numFmt numFmtId="0" formatCode="General"/>
          <x:fill>
            <x:patternFill>
              <x:bgColor rgb="ff6182d6"/>
            </x:patternFill>
          </x:fill>
        </x:dxf>
      </mc:Choice>
      <mc:Fallback>
        <x:dxf>
          <x:font>
            <x:color rgb="ffffff00"/>
            <x:b val="1"/>
          </x:font>
          <x:numFmt numFmtId="0" formatCode="General"/>
          <x:fill>
            <x:patternFill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x:b val="1"/>
            <hs:useFontSpace val="0"/>
            <hs:size val="0"/>
            <hs:ratio val="0"/>
            <hs:spacing val="0"/>
            <hs:offset val="0"/>
          </x:font>
          <x:numFmt numFmtId="0" formatCode="General"/>
        </x:dxf>
      </mc:Choice>
      <mc:Fallback>
        <x:dxf>
          <x:font>
            <x:color rgb="ff000000"/>
            <x:b val="1"/>
          </x:font>
          <x:numFmt numFmtId="0" formatCode="General"/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6182d6"/>
            <x:b val="1"/>
            <x:i val="1"/>
            <hs:useFontSpace val="0"/>
            <hs:size val="0"/>
            <hs:ratio val="0"/>
            <hs:spacing val="0"/>
            <hs:offset val="0"/>
          </x:font>
          <x:numFmt numFmtId="0" formatCode="General"/>
        </x:dxf>
      </mc:Choice>
      <mc:Fallback>
        <x:dxf>
          <x:font>
            <x:color rgb="ff6182d6"/>
            <x:b val="1"/>
            <x:i val="1"/>
          </x:font>
          <x:numFmt numFmtId="0" formatCode="General"/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0000"/>
            <hs:useFontSpace val="0"/>
            <hs:size val="0"/>
            <hs:ratio val="0"/>
            <hs:spacing val="0"/>
            <hs:offset val="0"/>
          </x:font>
          <x:numFmt numFmtId="0" formatCode="General"/>
        </x:dxf>
      </mc:Choice>
      <mc:Fallback>
        <x:dxf>
          <x:font>
            <x:color rgb="ffff0000"/>
          </x:font>
          <x:numFmt numFmtId="0" formatCode="General"/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6182d6"/>
            <x:b val="1"/>
            <hs:useFontSpace val="0"/>
            <hs:size val="0"/>
            <hs:ratio val="0"/>
            <hs:spacing val="0"/>
            <hs:offset val="0"/>
          </x:font>
          <x:numFmt numFmtId="0" formatCode="General"/>
        </x:dxf>
      </mc:Choice>
      <mc:Fallback>
        <x:dxf>
          <x:font>
            <x:color rgb="ff6182d6"/>
            <x:b val="1"/>
          </x:font>
          <x:numFmt numFmtId="0" formatCode="General"/>
        </x:dxf>
      </mc:Fallback>
    </mc:AlternateContent>
  </x:dxfs>
  <x:tableStyles count="0" defaultTableStyle="TableStyleMedium2" defaultPivotStyle="PivotStyleLight16"/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10" Type="http://schemas.openxmlformats.org/officeDocument/2006/relationships/worksheet" Target="worksheets/sheet7.xml"  /><Relationship Id="rId11" Type="http://schemas.openxmlformats.org/officeDocument/2006/relationships/worksheet" Target="worksheets/sheet8.xml"  /><Relationship Id="rId12" Type="http://schemas.openxmlformats.org/officeDocument/2006/relationships/externalLink" Target="externalLinks/externalLink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openxmlformats.org/officeDocument/2006/relationships/worksheet" Target="worksheets/sheet6.xml"  /></Relationships>
</file>

<file path=xl/externalLinks/_rels/externalLink1.xml.rels><?xml version="1.0" encoding="UTF-8" standalone="yes" ?><Relationships xmlns="http://schemas.openxmlformats.org/package/2006/relationships"><Relationship Id="rId1" Type="http://schemas.openxmlformats.org/officeDocument/2006/relationships/externalLinkPath" Target="file:///C:/Users/missi/Documents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 /></Relationships>
</file>

<file path=xl/externalLinks/externalLink1.xml><?xml version="1.0" encoding="utf-8"?>
<x:externalLink xmlns:r="http://schemas.openxmlformats.org/officeDocument/2006/relationships" xmlns:c="http://schemas.openxmlformats.org/drawingml/2006/chart" xmlns:x="http://schemas.openxmlformats.org/spreadsheetml/2006/main">
  <x:externalBook r:id="rId1">
    <x:sheetNames>
      <x:sheetName val="기본작업-1"/>
      <x:sheetName val="기본작업-2"/>
      <x:sheetName val="기본작업-3"/>
      <x:sheetName val="계산작업"/>
      <x:sheetName val="분석작업-1"/>
      <x:sheetName val="분석작업-2"/>
      <x:sheetName val="매크로작업"/>
      <x:sheetName val="차트작업"/>
    </x:sheetNames>
    <x:sheetDataSet>
      <x:sheetData sheetId="0" refreshError="1"/>
      <x:sheetData sheetId="1" refreshError="0"/>
      <x:sheetData sheetId="2" refreshError="1"/>
      <x:sheetData sheetId="3" refreshError="1"/>
      <x:sheetData sheetId="4" refreshError="1"/>
      <x:sheetData sheetId="5" refreshError="1"/>
      <x:sheetData sheetId="6" refreshError="1"/>
      <x:sheetData sheetId="7" refreshError="1"/>
    </x:sheetDataSet>
  </x:externalBook>
</x:externalLink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G18"/>
  <x:sheetViews>
    <x:sheetView topLeftCell="A4" zoomScale="150" zoomScaleNormal="150" zoomScaleSheetLayoutView="75" workbookViewId="0">
      <x:selection activeCell="H6" activeCellId="0" sqref="H6:H6"/>
    </x:sheetView>
  </x:sheetViews>
  <x:sheetFormatPr defaultColWidth="9" defaultRowHeight="16.39999999999999857891"/>
  <x:cols>
    <x:col min="1" max="16384" width="9" style="2"/>
  </x:cols>
  <x:sheetData>
    <x:row r="1" spans="1:7" ht="20.64999999999999857891">
      <x:c r="A1" s="21" t="s">
        <x:v>34</x:v>
      </x:c>
      <x:c r="B1" s="21"/>
      <x:c r="C1" s="21"/>
      <x:c r="D1" s="21"/>
      <x:c r="E1" s="21"/>
      <x:c r="F1" s="21"/>
      <x:c r="G1" s="21"/>
    </x:row>
    <x:row r="3" spans="1:7">
      <x:c r="A3" s="3" t="s">
        <x:v>113</x:v>
      </x:c>
      <x:c r="B3" s="3" t="s">
        <x:v>114</x:v>
      </x:c>
      <x:c r="C3" s="3" t="s">
        <x:v>115</x:v>
      </x:c>
      <x:c r="D3" s="3" t="s">
        <x:v>117</x:v>
      </x:c>
      <x:c r="E3" s="3" t="s">
        <x:v>116</x:v>
      </x:c>
      <x:c r="F3" s="3" t="s">
        <x:v>134</x:v>
      </x:c>
      <x:c r="G3" s="3" t="s">
        <x:v>124</x:v>
      </x:c>
    </x:row>
    <x:row r="4" spans="1:7">
      <x:c r="A4" s="3" t="s">
        <x:v>126</x:v>
      </x:c>
      <x:c r="B4" s="3" t="s">
        <x:v>186</x:v>
      </x:c>
      <x:c r="C4" s="3">
        <x:v>85</x:v>
      </x:c>
      <x:c r="D4" s="3">
        <x:v>82</x:v>
      </x:c>
      <x:c r="E4" s="3">
        <x:v>84</x:v>
      </x:c>
      <x:c r="F4" s="3">
        <x:v>85</x:v>
      </x:c>
      <x:c r="G4" s="8">
        <x:v>336</x:v>
      </x:c>
    </x:row>
    <x:row r="5" spans="1:7">
      <x:c r="A5" s="3" t="s">
        <x:v>118</x:v>
      </x:c>
      <x:c r="B5" s="3" t="s">
        <x:v>174</x:v>
      </x:c>
      <x:c r="C5" s="3">
        <x:v>94</x:v>
      </x:c>
      <x:c r="D5" s="3">
        <x:v>96</x:v>
      </x:c>
      <x:c r="E5" s="3">
        <x:v>95</x:v>
      </x:c>
      <x:c r="F5" s="3">
        <x:v>95</x:v>
      </x:c>
      <x:c r="G5" s="8">
        <x:v>380</x:v>
      </x:c>
    </x:row>
    <x:row r="6" spans="1:7">
      <x:c r="A6" s="3" t="s">
        <x:v>132</x:v>
      </x:c>
      <x:c r="B6" s="3" t="s">
        <x:v>164</x:v>
      </x:c>
      <x:c r="C6" s="3">
        <x:v>86</x:v>
      </x:c>
      <x:c r="D6" s="3">
        <x:v>84</x:v>
      </x:c>
      <x:c r="E6" s="3">
        <x:v>85</x:v>
      </x:c>
      <x:c r="F6" s="3">
        <x:v>86</x:v>
      </x:c>
      <x:c r="G6" s="8">
        <x:v>341</x:v>
      </x:c>
    </x:row>
    <x:row r="7" spans="1:7">
      <x:c r="A7" s="3" t="s">
        <x:v>130</x:v>
      </x:c>
      <x:c r="B7" s="3" t="s">
        <x:v>186</x:v>
      </x:c>
      <x:c r="C7" s="3">
        <x:v>76</x:v>
      </x:c>
      <x:c r="D7" s="3">
        <x:v>75</x:v>
      </x:c>
      <x:c r="E7" s="3">
        <x:v>70</x:v>
      </x:c>
      <x:c r="F7" s="3">
        <x:v>74</x:v>
      </x:c>
      <x:c r="G7" s="8">
        <x:v>295</x:v>
      </x:c>
    </x:row>
    <x:row r="8" spans="1:7">
      <x:c r="A8" s="3" t="s">
        <x:v>128</x:v>
      </x:c>
      <x:c r="B8" s="3" t="s">
        <x:v>189</x:v>
      </x:c>
      <x:c r="C8" s="3">
        <x:v>94</x:v>
      </x:c>
      <x:c r="D8" s="3">
        <x:v>90</x:v>
      </x:c>
      <x:c r="E8" s="3">
        <x:v>92</x:v>
      </x:c>
      <x:c r="F8" s="3">
        <x:v>93</x:v>
      </x:c>
      <x:c r="G8" s="8">
        <x:v>369</x:v>
      </x:c>
    </x:row>
    <x:row r="9" spans="1:7">
      <x:c r="A9" s="3" t="s">
        <x:v>122</x:v>
      </x:c>
      <x:c r="B9" s="3" t="s">
        <x:v>186</x:v>
      </x:c>
      <x:c r="C9" s="3">
        <x:v>79</x:v>
      </x:c>
      <x:c r="D9" s="3">
        <x:v>86</x:v>
      </x:c>
      <x:c r="E9" s="3">
        <x:v>83</x:v>
      </x:c>
      <x:c r="F9" s="3">
        <x:v>81</x:v>
      </x:c>
      <x:c r="G9" s="8">
        <x:v>329</x:v>
      </x:c>
    </x:row>
    <x:row r="10" spans="1:7">
      <x:c r="A10" s="3" t="s">
        <x:v>135</x:v>
      </x:c>
      <x:c r="B10" s="3" t="s">
        <x:v>165</x:v>
      </x:c>
      <x:c r="C10" s="3">
        <x:v>68</x:v>
      </x:c>
      <x:c r="D10" s="3">
        <x:v>69</x:v>
      </x:c>
      <x:c r="E10" s="3">
        <x:v>60</x:v>
      </x:c>
      <x:c r="F10" s="3">
        <x:v>58</x:v>
      </x:c>
      <x:c r="G10" s="8">
        <x:v>255</x:v>
      </x:c>
    </x:row>
    <x:row r="11" spans="1:7">
      <x:c r="A11" s="3" t="s">
        <x:v>136</x:v>
      </x:c>
      <x:c r="B11" s="3" t="s">
        <x:v>174</x:v>
      </x:c>
      <x:c r="C11" s="3">
        <x:v>89</x:v>
      </x:c>
      <x:c r="D11" s="3">
        <x:v>82</x:v>
      </x:c>
      <x:c r="E11" s="3">
        <x:v>86</x:v>
      </x:c>
      <x:c r="F11" s="3">
        <x:v>88</x:v>
      </x:c>
      <x:c r="G11" s="8">
        <x:v>345</x:v>
      </x:c>
    </x:row>
    <x:row r="12" spans="1:7">
      <x:c r="A12" s="3" t="s">
        <x:v>138</x:v>
      </x:c>
      <x:c r="B12" s="3" t="s">
        <x:v>161</x:v>
      </x:c>
      <x:c r="C12" s="3">
        <x:v>77</x:v>
      </x:c>
      <x:c r="D12" s="3">
        <x:v>66</x:v>
      </x:c>
      <x:c r="E12" s="3">
        <x:v>72</x:v>
      </x:c>
      <x:c r="F12" s="3">
        <x:v>78</x:v>
      </x:c>
      <x:c r="G12" s="8">
        <x:v>293</x:v>
      </x:c>
    </x:row>
    <x:row r="13" spans="1:7">
      <x:c r="A13" s="3" t="s">
        <x:v>125</x:v>
      </x:c>
      <x:c r="B13" s="3" t="s">
        <x:v>189</x:v>
      </x:c>
      <x:c r="C13" s="3">
        <x:v>97</x:v>
      </x:c>
      <x:c r="D13" s="3">
        <x:v>97</x:v>
      </x:c>
      <x:c r="E13" s="3">
        <x:v>94</x:v>
      </x:c>
      <x:c r="F13" s="3">
        <x:v>96</x:v>
      </x:c>
      <x:c r="G13" s="8">
        <x:v>384</x:v>
      </x:c>
    </x:row>
    <x:row r="14" spans="1:7">
      <x:c r="A14" s="3" t="s">
        <x:v>127</x:v>
      </x:c>
      <x:c r="B14" s="3" t="s">
        <x:v>161</x:v>
      </x:c>
      <x:c r="C14" s="3">
        <x:v>80</x:v>
      </x:c>
      <x:c r="D14" s="3">
        <x:v>68</x:v>
      </x:c>
      <x:c r="E14" s="3">
        <x:v>65</x:v>
      </x:c>
      <x:c r="F14" s="3">
        <x:v>81</x:v>
      </x:c>
      <x:c r="G14" s="8">
        <x:v>294</x:v>
      </x:c>
    </x:row>
    <x:row r="15" spans="1:7">
      <x:c r="A15" s="3" t="s">
        <x:v>119</x:v>
      </x:c>
      <x:c r="B15" s="3" t="s">
        <x:v>164</x:v>
      </x:c>
      <x:c r="C15" s="3">
        <x:v>75</x:v>
      </x:c>
      <x:c r="D15" s="3">
        <x:v>70</x:v>
      </x:c>
      <x:c r="E15" s="3">
        <x:v>71</x:v>
      </x:c>
      <x:c r="F15" s="3">
        <x:v>79</x:v>
      </x:c>
      <x:c r="G15" s="8">
        <x:v>295</x:v>
      </x:c>
    </x:row>
    <x:row r="16" spans="1:7">
      <x:c r="A16" s="3" t="s">
        <x:v>131</x:v>
      </x:c>
      <x:c r="B16" s="3" t="s">
        <x:v>165</x:v>
      </x:c>
      <x:c r="C16" s="3">
        <x:v>86</x:v>
      </x:c>
      <x:c r="D16" s="3">
        <x:v>84</x:v>
      </x:c>
      <x:c r="E16" s="3">
        <x:v>85</x:v>
      </x:c>
      <x:c r="F16" s="3">
        <x:v>86</x:v>
      </x:c>
      <x:c r="G16" s="8">
        <x:v>341</x:v>
      </x:c>
    </x:row>
    <x:row r="17" spans="1:7">
      <x:c r="A17" s="3" t="s">
        <x:v>133</x:v>
      </x:c>
      <x:c r="B17" s="3" t="s">
        <x:v>161</x:v>
      </x:c>
      <x:c r="C17" s="3">
        <x:v>68</x:v>
      </x:c>
      <x:c r="D17" s="3">
        <x:v>70</x:v>
      </x:c>
      <x:c r="E17" s="3">
        <x:v>69</x:v>
      </x:c>
      <x:c r="F17" s="3">
        <x:v>69</x:v>
      </x:c>
      <x:c r="G17" s="8">
        <x:v>276</x:v>
      </x:c>
    </x:row>
    <x:row r="18" spans="1:7">
      <x:c r="A18" s="3" t="s">
        <x:v>129</x:v>
      </x:c>
      <x:c r="B18" s="3" t="s">
        <x:v>174</x:v>
      </x:c>
      <x:c r="C18" s="3">
        <x:v>93</x:v>
      </x:c>
      <x:c r="D18" s="3">
        <x:v>96</x:v>
      </x:c>
      <x:c r="E18" s="3">
        <x:v>95</x:v>
      </x:c>
      <x:c r="F18" s="3">
        <x:v>94</x:v>
      </x:c>
      <x:c r="G18" s="8">
        <x:v>378</x:v>
      </x:c>
    </x:row>
  </x:sheetData>
  <x:mergeCells count="1">
    <x:mergeCell ref="A1:G1"/>
  </x:mergeCells>
  <x:conditionalFormatting sqref="B4:B18">
    <x:cfRule type="expression" dxfId="0" priority="2">
      <x:formula>NOT(ISERROR(SEARCH("영업",B4)))</x:formula>
    </x:cfRule>
  </x:conditionalFormatting>
  <x:conditionalFormatting sqref="G4:G18">
    <x:cfRule type="expression" dxfId="1" priority="1">
      <x:formula>LARGE(($G$4:$G$18),MIN(2,COUNT($G$4:$G$18)))&lt;=G4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A1:K16"/>
  <x:sheetViews>
    <x:sheetView topLeftCell="A1" zoomScale="150" zoomScaleNormal="150" zoomScaleSheetLayoutView="75" workbookViewId="0">
      <x:selection activeCell="E5" activeCellId="0" sqref="E5:E5"/>
    </x:sheetView>
  </x:sheetViews>
  <x:sheetFormatPr defaultColWidth="9" defaultRowHeight="16.39999999999999857891"/>
  <x:cols>
    <x:col min="1" max="1" width="9" style="7"/>
    <x:col min="2" max="11" width="5.625" style="7" customWidth="1"/>
    <x:col min="12" max="16384" width="9" style="7"/>
  </x:cols>
  <x:sheetData>
    <x:row r="1" spans="1:11" ht="20.64999999999999857891">
      <x:c r="A1" s="21" t="s">
        <x:v>35</x:v>
      </x:c>
      <x:c r="B1" s="21"/>
      <x:c r="C1" s="21"/>
      <x:c r="D1" s="21"/>
      <x:c r="E1" s="21"/>
      <x:c r="F1" s="21"/>
      <x:c r="G1" s="21"/>
      <x:c r="H1" s="21"/>
      <x:c r="I1" s="21"/>
      <x:c r="J1" s="21"/>
      <x:c r="K1" s="21"/>
    </x:row>
    <x:row r="3" spans="1:11">
      <x:c r="A3" s="22" t="s">
        <x:v>173</x:v>
      </x:c>
      <x:c r="B3" s="22" t="s">
        <x:v>153</x:v>
      </x:c>
      <x:c r="C3" s="22"/>
      <x:c r="D3" s="22"/>
      <x:c r="E3" s="22"/>
      <x:c r="F3" s="22"/>
      <x:c r="G3" s="22"/>
      <x:c r="H3" s="22"/>
      <x:c r="I3" s="22"/>
      <x:c r="J3" s="22"/>
      <x:c r="K3" s="22"/>
    </x:row>
    <x:row r="4" spans="1:11">
      <x:c r="A4" s="22"/>
      <x:c r="B4" s="3">
        <x:v>0</x:v>
      </x:c>
      <x:c r="C4" s="3">
        <x:v>1</x:v>
      </x:c>
      <x:c r="D4" s="3">
        <x:v>2</x:v>
      </x:c>
      <x:c r="E4" s="3">
        <x:v>3</x:v>
      </x:c>
      <x:c r="F4" s="3">
        <x:v>4</x:v>
      </x:c>
      <x:c r="G4" s="3">
        <x:v>5</x:v>
      </x:c>
      <x:c r="H4" s="3">
        <x:v>6</x:v>
      </x:c>
      <x:c r="I4" s="3">
        <x:v>7</x:v>
      </x:c>
      <x:c r="J4" s="3">
        <x:v>8</x:v>
      </x:c>
      <x:c r="K4" s="3">
        <x:v>9</x:v>
      </x:c>
    </x:row>
    <x:row r="5" spans="1:11">
      <x:c r="A5" s="3">
        <x:v>7570</x:v>
      </x:c>
      <x:c r="B5" s="3" t="s">
        <x:v>151</x:v>
      </x:c>
      <x:c r="C5" s="3"/>
      <x:c r="D5" s="3" t="s">
        <x:v>151</x:v>
      </x:c>
      <x:c r="E5" s="3"/>
      <x:c r="F5" s="3" t="s">
        <x:v>151</x:v>
      </x:c>
      <x:c r="G5" s="3"/>
      <x:c r="H5" s="3" t="s">
        <x:v>151</x:v>
      </x:c>
      <x:c r="I5" s="3"/>
      <x:c r="J5" s="3" t="s">
        <x:v>151</x:v>
      </x:c>
      <x:c r="K5" s="3"/>
    </x:row>
    <x:row r="6" spans="1:11">
      <x:c r="A6" s="3">
        <x:v>4889</x:v>
      </x:c>
      <x:c r="B6" s="3"/>
      <x:c r="C6" s="3" t="s">
        <x:v>151</x:v>
      </x:c>
      <x:c r="D6" s="3"/>
      <x:c r="E6" s="3" t="s">
        <x:v>151</x:v>
      </x:c>
      <x:c r="F6" s="3"/>
      <x:c r="G6" s="3" t="s">
        <x:v>151</x:v>
      </x:c>
      <x:c r="H6" s="3"/>
      <x:c r="I6" s="3" t="s">
        <x:v>151</x:v>
      </x:c>
      <x:c r="J6" s="3"/>
      <x:c r="K6" s="3" t="s">
        <x:v>151</x:v>
      </x:c>
    </x:row>
    <x:row r="7" spans="1:11">
      <x:c r="A7" s="3">
        <x:v>5076</x:v>
      </x:c>
      <x:c r="B7" s="3" t="s">
        <x:v>151</x:v>
      </x:c>
      <x:c r="C7" s="3"/>
      <x:c r="D7" s="3" t="s">
        <x:v>151</x:v>
      </x:c>
      <x:c r="E7" s="3"/>
      <x:c r="F7" s="3" t="s">
        <x:v>151</x:v>
      </x:c>
      <x:c r="G7" s="3"/>
      <x:c r="H7" s="3" t="s">
        <x:v>151</x:v>
      </x:c>
      <x:c r="I7" s="3"/>
      <x:c r="J7" s="3" t="s">
        <x:v>151</x:v>
      </x:c>
      <x:c r="K7" s="3"/>
    </x:row>
    <x:row r="8" spans="1:11">
      <x:c r="A8" s="3">
        <x:v>7257</x:v>
      </x:c>
      <x:c r="B8" s="3"/>
      <x:c r="C8" s="3" t="s">
        <x:v>151</x:v>
      </x:c>
      <x:c r="D8" s="3"/>
      <x:c r="E8" s="3" t="s">
        <x:v>151</x:v>
      </x:c>
      <x:c r="F8" s="3"/>
      <x:c r="G8" s="3" t="s">
        <x:v>151</x:v>
      </x:c>
      <x:c r="H8" s="3"/>
      <x:c r="I8" s="3" t="s">
        <x:v>151</x:v>
      </x:c>
      <x:c r="J8" s="3"/>
      <x:c r="K8" s="3" t="s">
        <x:v>151</x:v>
      </x:c>
    </x:row>
    <x:row r="9" spans="1:11">
      <x:c r="A9" s="3">
        <x:v>8222</x:v>
      </x:c>
      <x:c r="B9" s="3" t="s">
        <x:v>151</x:v>
      </x:c>
      <x:c r="C9" s="3"/>
      <x:c r="D9" s="3" t="s">
        <x:v>151</x:v>
      </x:c>
      <x:c r="E9" s="3"/>
      <x:c r="F9" s="3" t="s">
        <x:v>151</x:v>
      </x:c>
      <x:c r="G9" s="3"/>
      <x:c r="H9" s="3" t="s">
        <x:v>151</x:v>
      </x:c>
      <x:c r="I9" s="3"/>
      <x:c r="J9" s="3" t="s">
        <x:v>151</x:v>
      </x:c>
      <x:c r="K9" s="3"/>
    </x:row>
    <x:row r="10" spans="1:11">
      <x:c r="A10" s="3">
        <x:v>2008</x:v>
      </x:c>
      <x:c r="B10" s="3" t="s">
        <x:v>151</x:v>
      </x:c>
      <x:c r="C10" s="3"/>
      <x:c r="D10" s="3" t="s">
        <x:v>151</x:v>
      </x:c>
      <x:c r="E10" s="3"/>
      <x:c r="F10" s="3" t="s">
        <x:v>151</x:v>
      </x:c>
      <x:c r="G10" s="3"/>
      <x:c r="H10" s="3" t="s">
        <x:v>151</x:v>
      </x:c>
      <x:c r="I10" s="3"/>
      <x:c r="J10" s="3" t="s">
        <x:v>151</x:v>
      </x:c>
      <x:c r="K10" s="3"/>
    </x:row>
    <x:row r="11" spans="1:11">
      <x:c r="A11" s="3">
        <x:v>9033</x:v>
      </x:c>
      <x:c r="B11" s="3"/>
      <x:c r="C11" s="3" t="s">
        <x:v>151</x:v>
      </x:c>
      <x:c r="D11" s="3"/>
      <x:c r="E11" s="3" t="s">
        <x:v>151</x:v>
      </x:c>
      <x:c r="F11" s="3"/>
      <x:c r="G11" s="3" t="s">
        <x:v>151</x:v>
      </x:c>
      <x:c r="H11" s="3"/>
      <x:c r="I11" s="3" t="s">
        <x:v>151</x:v>
      </x:c>
      <x:c r="J11" s="3"/>
      <x:c r="K11" s="3" t="s">
        <x:v>151</x:v>
      </x:c>
    </x:row>
    <x:row r="12" spans="1:11">
      <x:c r="A12" s="3">
        <x:v>5574</x:v>
      </x:c>
      <x:c r="B12" s="3" t="s">
        <x:v>151</x:v>
      </x:c>
      <x:c r="C12" s="3"/>
      <x:c r="D12" s="3" t="s">
        <x:v>151</x:v>
      </x:c>
      <x:c r="E12" s="3"/>
      <x:c r="F12" s="3" t="s">
        <x:v>151</x:v>
      </x:c>
      <x:c r="G12" s="3"/>
      <x:c r="H12" s="3" t="s">
        <x:v>151</x:v>
      </x:c>
      <x:c r="I12" s="3"/>
      <x:c r="J12" s="3" t="s">
        <x:v>151</x:v>
      </x:c>
      <x:c r="K12" s="3"/>
    </x:row>
    <x:row r="13" spans="1:11">
      <x:c r="A13" s="3">
        <x:v>2917</x:v>
      </x:c>
      <x:c r="B13" s="3"/>
      <x:c r="C13" s="3" t="s">
        <x:v>151</x:v>
      </x:c>
      <x:c r="D13" s="3"/>
      <x:c r="E13" s="3" t="s">
        <x:v>151</x:v>
      </x:c>
      <x:c r="F13" s="3"/>
      <x:c r="G13" s="3" t="s">
        <x:v>151</x:v>
      </x:c>
      <x:c r="H13" s="3"/>
      <x:c r="I13" s="3" t="s">
        <x:v>151</x:v>
      </x:c>
      <x:c r="J13" s="3"/>
      <x:c r="K13" s="3" t="s">
        <x:v>151</x:v>
      </x:c>
    </x:row>
    <x:row r="14" spans="1:11">
      <x:c r="A14" s="3">
        <x:v>3763</x:v>
      </x:c>
      <x:c r="B14" s="3"/>
      <x:c r="C14" s="3" t="s">
        <x:v>151</x:v>
      </x:c>
      <x:c r="D14" s="3"/>
      <x:c r="E14" s="3" t="s">
        <x:v>151</x:v>
      </x:c>
      <x:c r="F14" s="3"/>
      <x:c r="G14" s="3" t="s">
        <x:v>151</x:v>
      </x:c>
      <x:c r="H14" s="3"/>
      <x:c r="I14" s="3" t="s">
        <x:v>151</x:v>
      </x:c>
      <x:c r="J14" s="3"/>
      <x:c r="K14" s="3" t="s">
        <x:v>151</x:v>
      </x:c>
    </x:row>
    <x:row r="15" spans="1:11">
      <x:c r="A15" s="3">
        <x:v>9452</x:v>
      </x:c>
      <x:c r="B15" s="3" t="s">
        <x:v>151</x:v>
      </x:c>
      <x:c r="C15" s="3"/>
      <x:c r="D15" s="3" t="s">
        <x:v>151</x:v>
      </x:c>
      <x:c r="E15" s="3"/>
      <x:c r="F15" s="3" t="s">
        <x:v>151</x:v>
      </x:c>
      <x:c r="G15" s="3"/>
      <x:c r="H15" s="3" t="s">
        <x:v>151</x:v>
      </x:c>
      <x:c r="I15" s="3"/>
      <x:c r="J15" s="3" t="s">
        <x:v>151</x:v>
      </x:c>
      <x:c r="K15" s="3"/>
    </x:row>
    <x:row r="16" spans="1:11">
      <x:c r="A16" s="3">
        <x:v>5005</x:v>
      </x:c>
      <x:c r="B16" s="3"/>
      <x:c r="C16" s="3" t="s">
        <x:v>151</x:v>
      </x:c>
      <x:c r="D16" s="3"/>
      <x:c r="E16" s="3" t="s">
        <x:v>151</x:v>
      </x:c>
      <x:c r="F16" s="3"/>
      <x:c r="G16" s="3" t="s">
        <x:v>151</x:v>
      </x:c>
      <x:c r="H16" s="3"/>
      <x:c r="I16" s="3" t="s">
        <x:v>151</x:v>
      </x:c>
      <x:c r="J16" s="3"/>
      <x:c r="K16" s="3" t="s">
        <x:v>151</x:v>
      </x:c>
    </x:row>
  </x:sheetData>
  <x:mergeCells count="3">
    <x:mergeCell ref="A1:K1"/>
    <x:mergeCell ref="A3:A4"/>
    <x:mergeCell ref="B3:K3"/>
  </x:mergeCells>
  <x:conditionalFormatting sqref="A5:K16">
    <x:cfRule type="expression" dxfId="2" priority="1">
      <x:formula>MOD($A5,2)=0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H12"/>
  <x:sheetViews>
    <x:sheetView topLeftCell="A1" zoomScale="150" zoomScaleNormal="150" zoomScaleSheetLayoutView="75" workbookViewId="0">
      <x:selection activeCell="I2" activeCellId="0" sqref="I2:I2"/>
    </x:sheetView>
  </x:sheetViews>
  <x:sheetFormatPr defaultColWidth="9" defaultRowHeight="16.39999999999999857891"/>
  <x:cols>
    <x:col min="1" max="3" width="9" style="7"/>
    <x:col min="4" max="4" width="13" style="7" bestFit="1" customWidth="1"/>
    <x:col min="5" max="6" width="11" style="7" bestFit="1" customWidth="1"/>
    <x:col min="7" max="16384" width="9" style="7"/>
  </x:cols>
  <x:sheetData>
    <x:row r="1" spans="1:8" ht="23.5">
      <x:c r="A1" s="23" t="s">
        <x:v>36</x:v>
      </x:c>
      <x:c r="B1" s="23"/>
      <x:c r="C1" s="23"/>
      <x:c r="D1" s="23"/>
      <x:c r="E1" s="23"/>
      <x:c r="F1" s="23"/>
      <x:c r="G1" s="23"/>
      <x:c r="H1" s="23"/>
    </x:row>
    <x:row r="3" spans="1:8">
      <x:c r="A3" s="3" t="s">
        <x:v>159</x:v>
      </x:c>
      <x:c r="B3" s="3" t="s">
        <x:v>158</x:v>
      </x:c>
      <x:c r="C3" s="3" t="s">
        <x:v>175</x:v>
      </x:c>
      <x:c r="D3" s="3" t="s">
        <x:v>190</x:v>
      </x:c>
      <x:c r="E3" s="3" t="s">
        <x:v>179</x:v>
      </x:c>
      <x:c r="F3" s="3" t="s">
        <x:v>176</x:v>
      </x:c>
      <x:c r="G3" s="3" t="s">
        <x:v>124</x:v>
      </x:c>
      <x:c r="H3" s="3" t="s">
        <x:v>154</x:v>
      </x:c>
    </x:row>
    <x:row r="4" spans="1:8">
      <x:c r="A4" s="3" t="s">
        <x:v>139</x:v>
      </x:c>
      <x:c r="B4" s="3" t="s">
        <x:v>140</x:v>
      </x:c>
      <x:c r="C4" s="3">
        <x:v>92</x:v>
      </x:c>
      <x:c r="D4" s="3">
        <x:v>88</x:v>
      </x:c>
      <x:c r="E4" s="3">
        <x:v>87</x:v>
      </x:c>
      <x:c r="F4" s="3">
        <x:v>96</x:v>
      </x:c>
      <x:c r="G4" s="3">
        <x:f>SUM(C4:F4)</x:f>
        <x:v>363</x:v>
      </x:c>
      <x:c r="H4" s="3">
        <x:f>AVERAGE(C4:F4)</x:f>
        <x:v>90.75</x:v>
      </x:c>
    </x:row>
    <x:row r="5" spans="1:8">
      <x:c r="A5" s="3" t="s">
        <x:v>141</x:v>
      </x:c>
      <x:c r="B5" s="3" t="s">
        <x:v>149</x:v>
      </x:c>
      <x:c r="C5" s="3">
        <x:v>96</x:v>
      </x:c>
      <x:c r="D5" s="3">
        <x:v>77</x:v>
      </x:c>
      <x:c r="E5" s="3">
        <x:v>45</x:v>
      </x:c>
      <x:c r="F5" s="3">
        <x:v>98</x:v>
      </x:c>
      <x:c r="G5" s="3">
        <x:f t="shared" ref="G5:G12" si="0">SUM(C5:F5)</x:f>
        <x:v>316</x:v>
      </x:c>
      <x:c r="H5" s="3">
        <x:f t="shared" ref="H5:H12" si="1">AVERAGE(C5:F5)</x:f>
        <x:v>79</x:v>
      </x:c>
    </x:row>
    <x:row r="6" spans="1:8">
      <x:c r="A6" s="3" t="s">
        <x:v>139</x:v>
      </x:c>
      <x:c r="B6" s="3" t="s">
        <x:v>142</x:v>
      </x:c>
      <x:c r="C6" s="3">
        <x:v>84</x:v>
      </x:c>
      <x:c r="D6" s="3">
        <x:v>96</x:v>
      </x:c>
      <x:c r="E6" s="3">
        <x:v>87</x:v>
      </x:c>
      <x:c r="F6" s="3">
        <x:v>86</x:v>
      </x:c>
      <x:c r="G6" s="3">
        <x:f t="shared" si="0"/>
        <x:v>353</x:v>
      </x:c>
      <x:c r="H6" s="3">
        <x:f t="shared" si="1"/>
        <x:v>88.25</x:v>
      </x:c>
    </x:row>
    <x:row r="7" spans="1:8">
      <x:c r="A7" s="3" t="s">
        <x:v>141</x:v>
      </x:c>
      <x:c r="B7" s="3" t="s">
        <x:v>152</x:v>
      </x:c>
      <x:c r="C7" s="3">
        <x:v>98</x:v>
      </x:c>
      <x:c r="D7" s="3">
        <x:v>94</x:v>
      </x:c>
      <x:c r="E7" s="3">
        <x:v>100</x:v>
      </x:c>
      <x:c r="F7" s="3">
        <x:v>97</x:v>
      </x:c>
      <x:c r="G7" s="3">
        <x:f t="shared" si="0"/>
        <x:v>389</x:v>
      </x:c>
      <x:c r="H7" s="3">
        <x:f t="shared" si="1"/>
        <x:v>97.25</x:v>
      </x:c>
    </x:row>
    <x:row r="8" spans="1:8">
      <x:c r="A8" s="3" t="s">
        <x:v>155</x:v>
      </x:c>
      <x:c r="B8" s="3" t="s">
        <x:v>145</x:v>
      </x:c>
      <x:c r="C8" s="3">
        <x:v>74</x:v>
      </x:c>
      <x:c r="D8" s="3">
        <x:v>98</x:v>
      </x:c>
      <x:c r="E8" s="3">
        <x:v>66</x:v>
      </x:c>
      <x:c r="F8" s="3">
        <x:v>68</x:v>
      </x:c>
      <x:c r="G8" s="3">
        <x:f t="shared" si="0"/>
        <x:v>306</x:v>
      </x:c>
      <x:c r="H8" s="3">
        <x:f t="shared" si="1"/>
        <x:v>76.5</x:v>
      </x:c>
    </x:row>
    <x:row r="9" spans="1:8">
      <x:c r="A9" s="3" t="s">
        <x:v>139</x:v>
      </x:c>
      <x:c r="B9" s="3" t="s">
        <x:v>150</x:v>
      </x:c>
      <x:c r="C9" s="3">
        <x:v>58</x:v>
      </x:c>
      <x:c r="D9" s="3">
        <x:v>67</x:v>
      </x:c>
      <x:c r="E9" s="3">
        <x:v>59</x:v>
      </x:c>
      <x:c r="F9" s="3">
        <x:v>78</x:v>
      </x:c>
      <x:c r="G9" s="3">
        <x:f t="shared" si="0"/>
        <x:v>262</x:v>
      </x:c>
      <x:c r="H9" s="3">
        <x:f t="shared" si="1"/>
        <x:v>65.5</x:v>
      </x:c>
    </x:row>
    <x:row r="10" spans="1:8">
      <x:c r="A10" s="3" t="s">
        <x:v>155</x:v>
      </x:c>
      <x:c r="B10" s="3" t="s">
        <x:v>143</x:v>
      </x:c>
      <x:c r="C10" s="3">
        <x:v>80</x:v>
      </x:c>
      <x:c r="D10" s="3">
        <x:v>89</x:v>
      </x:c>
      <x:c r="E10" s="3">
        <x:v>92</x:v>
      </x:c>
      <x:c r="F10" s="3">
        <x:v>88</x:v>
      </x:c>
      <x:c r="G10" s="3">
        <x:f t="shared" si="0"/>
        <x:v>349</x:v>
      </x:c>
      <x:c r="H10" s="3">
        <x:f t="shared" si="1"/>
        <x:v>87.25</x:v>
      </x:c>
    </x:row>
    <x:row r="11" spans="1:8">
      <x:c r="A11" s="3" t="s">
        <x:v>139</x:v>
      </x:c>
      <x:c r="B11" s="3" t="s">
        <x:v>144</x:v>
      </x:c>
      <x:c r="C11" s="3">
        <x:v>98</x:v>
      </x:c>
      <x:c r="D11" s="3">
        <x:v>80</x:v>
      </x:c>
      <x:c r="E11" s="3">
        <x:v>78</x:v>
      </x:c>
      <x:c r="F11" s="3">
        <x:v>97</x:v>
      </x:c>
      <x:c r="G11" s="3">
        <x:f t="shared" si="0"/>
        <x:v>353</x:v>
      </x:c>
      <x:c r="H11" s="3">
        <x:f t="shared" si="1"/>
        <x:v>88.25</x:v>
      </x:c>
    </x:row>
    <x:row r="12" spans="1:8">
      <x:c r="A12" s="3" t="s">
        <x:v>139</x:v>
      </x:c>
      <x:c r="B12" s="3" t="s">
        <x:v>148</x:v>
      </x:c>
      <x:c r="C12" s="3">
        <x:v>74</x:v>
      </x:c>
      <x:c r="D12" s="3">
        <x:v>68</x:v>
      </x:c>
      <x:c r="E12" s="3">
        <x:v>89</x:v>
      </x:c>
      <x:c r="F12" s="3">
        <x:v>54</x:v>
      </x:c>
      <x:c r="G12" s="3">
        <x:f t="shared" si="0"/>
        <x:v>285</x:v>
      </x:c>
      <x:c r="H12" s="3">
        <x:f t="shared" si="1"/>
        <x:v>71.25</x:v>
      </x:c>
    </x:row>
  </x:sheetData>
  <x:mergeCells count="1">
    <x:mergeCell ref="A1:H1"/>
  </x:mergeCells>
  <x:conditionalFormatting sqref="A4:H12">
    <x:cfRule type="expression" dxfId="2" priority="1">
      <x:formula>$A4&lt;&gt;"A반"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0"/>
  <x:dimension ref="A1:F18"/>
  <x:sheetViews>
    <x:sheetView topLeftCell="A1" zoomScale="150" zoomScaleNormal="150" zoomScaleSheetLayoutView="75" workbookViewId="0">
      <x:selection activeCell="A3" activeCellId="0" sqref="A3:F18"/>
    </x:sheetView>
  </x:sheetViews>
  <x:sheetFormatPr defaultColWidth="9" defaultRowHeight="16.39999999999999857891"/>
  <x:cols>
    <x:col min="1" max="1" width="9" style="7" customWidth="1"/>
    <x:col min="2" max="2" width="11" style="7" bestFit="1" customWidth="1"/>
    <x:col min="3" max="4" width="9" style="7" customWidth="1"/>
    <x:col min="5" max="5" width="10.125" style="7" customWidth="1"/>
    <x:col min="6" max="6" width="14.0625" style="7" customWidth="1"/>
    <x:col min="7" max="16384" width="9" style="7"/>
  </x:cols>
  <x:sheetData>
    <x:row r="1" spans="1:6" ht="23.5">
      <x:c r="A1" s="23" t="s">
        <x:v>0</x:v>
      </x:c>
      <x:c r="B1" s="23"/>
      <x:c r="C1" s="23"/>
      <x:c r="D1" s="23"/>
      <x:c r="E1" s="23"/>
      <x:c r="F1" s="23"/>
    </x:row>
    <x:row r="2" spans="1:6">
      <x:c r="A2" s="8" t="s">
        <x:v>147</x:v>
      </x:c>
      <x:c r="B2" s="8" t="s">
        <x:v>187</x:v>
      </x:c>
      <x:c r="C2" s="8" t="s">
        <x:v>156</x:v>
      </x:c>
      <x:c r="D2" s="8" t="s">
        <x:v>162</x:v>
      </x:c>
      <x:c r="E2" s="8" t="s">
        <x:v>157</x:v>
      </x:c>
      <x:c r="F2" s="8" t="s">
        <x:v>183</x:v>
      </x:c>
    </x:row>
    <x:row r="3" spans="1:6">
      <x:c r="A3" s="8" t="s">
        <x:v>146</x:v>
      </x:c>
      <x:c r="B3" s="8" t="s">
        <x:v>167</x:v>
      </x:c>
      <x:c r="C3" s="8" t="s">
        <x:v>170</x:v>
      </x:c>
      <x:c r="D3" s="9">
        <x:v>1000</x:v>
      </x:c>
      <x:c r="E3" s="9">
        <x:v>554100</x:v>
      </x:c>
      <x:c r="F3" s="9">
        <x:f>D3*E3</x:f>
        <x:v>554100000</x:v>
      </x:c>
    </x:row>
    <x:row r="4" spans="1:6">
      <x:c r="A4" s="8" t="s">
        <x:v>160</x:v>
      </x:c>
      <x:c r="B4" s="8" t="s">
        <x:v>177</x:v>
      </x:c>
      <x:c r="C4" s="8" t="s">
        <x:v>168</x:v>
      </x:c>
      <x:c r="D4" s="9">
        <x:v>1500</x:v>
      </x:c>
      <x:c r="E4" s="9">
        <x:v>452600</x:v>
      </x:c>
      <x:c r="F4" s="9">
        <x:f t="shared" ref="F4:F18" si="0">D4*E4</x:f>
        <x:v>678900000</x:v>
      </x:c>
    </x:row>
    <x:row r="5" spans="1:6">
      <x:c r="A5" s="8" t="s">
        <x:v>50</x:v>
      </x:c>
      <x:c r="B5" s="8" t="s">
        <x:v>178</x:v>
      </x:c>
      <x:c r="C5" s="8" t="s">
        <x:v>168</x:v>
      </x:c>
      <x:c r="D5" s="9">
        <x:v>1500</x:v>
      </x:c>
      <x:c r="E5" s="9">
        <x:v>519800</x:v>
      </x:c>
      <x:c r="F5" s="9">
        <x:f t="shared" si="0"/>
        <x:v>779700000</x:v>
      </x:c>
    </x:row>
    <x:row r="6" spans="1:6">
      <x:c r="A6" s="8" t="s">
        <x:v>57</x:v>
      </x:c>
      <x:c r="B6" s="8" t="s">
        <x:v>180</x:v>
      </x:c>
      <x:c r="C6" s="8" t="s">
        <x:v>51</x:v>
      </x:c>
      <x:c r="D6" s="9">
        <x:v>800</x:v>
      </x:c>
      <x:c r="E6" s="9">
        <x:v>398500</x:v>
      </x:c>
      <x:c r="F6" s="9">
        <x:f t="shared" si="0"/>
        <x:v>318800000</x:v>
      </x:c>
    </x:row>
    <x:row r="7" spans="1:6">
      <x:c r="A7" s="8" t="s">
        <x:v>146</x:v>
      </x:c>
      <x:c r="B7" s="8" t="s">
        <x:v>181</x:v>
      </x:c>
      <x:c r="C7" s="8" t="s">
        <x:v>182</x:v>
      </x:c>
      <x:c r="D7" s="9">
        <x:v>1500</x:v>
      </x:c>
      <x:c r="E7" s="9">
        <x:v>631500</x:v>
      </x:c>
      <x:c r="F7" s="9">
        <x:f t="shared" si="0"/>
        <x:v>947250000</x:v>
      </x:c>
    </x:row>
    <x:row r="8" spans="1:6">
      <x:c r="A8" s="8" t="s">
        <x:v>50</x:v>
      </x:c>
      <x:c r="B8" s="8" t="s">
        <x:v>169</x:v>
      </x:c>
      <x:c r="C8" s="8" t="s">
        <x:v>170</x:v>
      </x:c>
      <x:c r="D8" s="9">
        <x:v>1000</x:v>
      </x:c>
      <x:c r="E8" s="9">
        <x:v>468500</x:v>
      </x:c>
      <x:c r="F8" s="9">
        <x:f t="shared" si="0"/>
        <x:v>468500000</x:v>
      </x:c>
    </x:row>
    <x:row r="9" spans="1:6">
      <x:c r="A9" s="8" t="s">
        <x:v>146</x:v>
      </x:c>
      <x:c r="B9" s="8" t="s">
        <x:v>184</x:v>
      </x:c>
      <x:c r="C9" s="8" t="s">
        <x:v>51</x:v>
      </x:c>
      <x:c r="D9" s="9">
        <x:v>800</x:v>
      </x:c>
      <x:c r="E9" s="9">
        <x:v>613500</x:v>
      </x:c>
      <x:c r="F9" s="9">
        <x:f t="shared" si="0"/>
        <x:v>490800000</x:v>
      </x:c>
    </x:row>
    <x:row r="10" spans="1:6">
      <x:c r="A10" s="8" t="s">
        <x:v>146</x:v>
      </x:c>
      <x:c r="B10" s="8" t="s">
        <x:v>171</x:v>
      </x:c>
      <x:c r="C10" s="8" t="s">
        <x:v>168</x:v>
      </x:c>
      <x:c r="D10" s="9">
        <x:v>1500</x:v>
      </x:c>
      <x:c r="E10" s="9">
        <x:v>475800</x:v>
      </x:c>
      <x:c r="F10" s="9">
        <x:f t="shared" si="0"/>
        <x:v>713700000</x:v>
      </x:c>
    </x:row>
    <x:row r="11" spans="1:6">
      <x:c r="A11" s="8" t="s">
        <x:v>57</x:v>
      </x:c>
      <x:c r="B11" s="8" t="s">
        <x:v>191</x:v>
      </x:c>
      <x:c r="C11" s="8" t="s">
        <x:v>182</x:v>
      </x:c>
      <x:c r="D11" s="9">
        <x:v>1500</x:v>
      </x:c>
      <x:c r="E11" s="9">
        <x:v>438700</x:v>
      </x:c>
      <x:c r="F11" s="9">
        <x:f t="shared" si="0"/>
        <x:v>658050000</x:v>
      </x:c>
    </x:row>
    <x:row r="12" spans="1:6">
      <x:c r="A12" s="8" t="s">
        <x:v>160</x:v>
      </x:c>
      <x:c r="B12" s="8" t="s">
        <x:v>166</x:v>
      </x:c>
      <x:c r="C12" s="8" t="s">
        <x:v>182</x:v>
      </x:c>
      <x:c r="D12" s="9">
        <x:v>1500</x:v>
      </x:c>
      <x:c r="E12" s="9">
        <x:v>632000</x:v>
      </x:c>
      <x:c r="F12" s="9">
        <x:f t="shared" si="0"/>
        <x:v>948000000</x:v>
      </x:c>
    </x:row>
    <x:row r="13" spans="1:6">
      <x:c r="A13" s="8" t="s">
        <x:v>50</x:v>
      </x:c>
      <x:c r="B13" s="8" t="s">
        <x:v>163</x:v>
      </x:c>
      <x:c r="C13" s="8" t="s">
        <x:v>51</x:v>
      </x:c>
      <x:c r="D13" s="9">
        <x:v>800</x:v>
      </x:c>
      <x:c r="E13" s="9">
        <x:v>425800</x:v>
      </x:c>
      <x:c r="F13" s="9">
        <x:f t="shared" si="0"/>
        <x:v>340640000</x:v>
      </x:c>
    </x:row>
    <x:row r="14" spans="1:6">
      <x:c r="A14" s="8" t="s">
        <x:v>160</x:v>
      </x:c>
      <x:c r="B14" s="8" t="s">
        <x:v>172</x:v>
      </x:c>
      <x:c r="C14" s="8" t="s">
        <x:v>170</x:v>
      </x:c>
      <x:c r="D14" s="9">
        <x:v>1000</x:v>
      </x:c>
      <x:c r="E14" s="9">
        <x:v>572000</x:v>
      </x:c>
      <x:c r="F14" s="9">
        <x:f t="shared" si="0"/>
        <x:v>572000000</x:v>
      </x:c>
    </x:row>
    <x:row r="15" spans="1:6">
      <x:c r="A15" s="8" t="s">
        <x:v>57</x:v>
      </x:c>
      <x:c r="B15" s="8" t="s">
        <x:v>185</x:v>
      </x:c>
      <x:c r="C15" s="8" t="s">
        <x:v>170</x:v>
      </x:c>
      <x:c r="D15" s="9">
        <x:v>1000</x:v>
      </x:c>
      <x:c r="E15" s="9">
        <x:v>357900</x:v>
      </x:c>
      <x:c r="F15" s="9">
        <x:f t="shared" si="0"/>
        <x:v>357900000</x:v>
      </x:c>
    </x:row>
    <x:row r="16" spans="1:6">
      <x:c r="A16" s="8" t="s">
        <x:v>160</x:v>
      </x:c>
      <x:c r="B16" s="8" t="s">
        <x:v>188</x:v>
      </x:c>
      <x:c r="C16" s="8" t="s">
        <x:v>51</x:v>
      </x:c>
      <x:c r="D16" s="9">
        <x:v>800</x:v>
      </x:c>
      <x:c r="E16" s="9">
        <x:v>540000</x:v>
      </x:c>
      <x:c r="F16" s="9">
        <x:f t="shared" si="0"/>
        <x:v>432000000</x:v>
      </x:c>
    </x:row>
    <x:row r="17" spans="1:6">
      <x:c r="A17" s="8" t="s">
        <x:v>50</x:v>
      </x:c>
      <x:c r="B17" s="8" t="s">
        <x:v>192</x:v>
      </x:c>
      <x:c r="C17" s="8" t="s">
        <x:v>182</x:v>
      </x:c>
      <x:c r="D17" s="9">
        <x:v>1500</x:v>
      </x:c>
      <x:c r="E17" s="9">
        <x:v>524800</x:v>
      </x:c>
      <x:c r="F17" s="9">
        <x:f t="shared" si="0"/>
        <x:v>787200000</x:v>
      </x:c>
    </x:row>
    <x:row r="18" spans="1:6">
      <x:c r="A18" s="8" t="s">
        <x:v>57</x:v>
      </x:c>
      <x:c r="B18" s="8" t="s">
        <x:v>200</x:v>
      </x:c>
      <x:c r="C18" s="8" t="s">
        <x:v>168</x:v>
      </x:c>
      <x:c r="D18" s="9">
        <x:v>1500</x:v>
      </x:c>
      <x:c r="E18" s="9">
        <x:v>426800</x:v>
      </x:c>
      <x:c r="F18" s="9">
        <x:f t="shared" si="0"/>
        <x:v>640200000</x:v>
      </x:c>
    </x:row>
  </x:sheetData>
  <x:mergeCells count="1">
    <x:mergeCell ref="A1:F1"/>
  </x:mergeCells>
  <x:conditionalFormatting sqref="A3:F18">
    <x:cfRule type="expression" dxfId="3" priority="1">
      <x:formula>$F3&gt;=AVERAGE($F$3:$F$18)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6"/>
  <x:dimension ref="A1:G20"/>
  <x:sheetViews>
    <x:sheetView topLeftCell="A1" zoomScaleNormal="100" zoomScaleSheetLayoutView="75" workbookViewId="0">
      <x:selection activeCell="G3" activeCellId="0" sqref="G3:G20"/>
    </x:sheetView>
  </x:sheetViews>
  <x:sheetFormatPr defaultColWidth="9" defaultRowHeight="16.39999999999999857891"/>
  <x:cols>
    <x:col min="1" max="1" width="11.125" style="7" customWidth="1"/>
    <x:col min="2" max="2" width="12.5" style="7" bestFit="1" customWidth="1"/>
    <x:col min="3" max="3" width="9.75" style="7" customWidth="1"/>
    <x:col min="4" max="4" width="11" style="7" bestFit="1" customWidth="1"/>
    <x:col min="5" max="5" width="12.5" style="7" bestFit="1" customWidth="1"/>
    <x:col min="6" max="7" width="11" style="7" bestFit="1" customWidth="1"/>
    <x:col min="8" max="16384" width="9" style="7"/>
  </x:cols>
  <x:sheetData>
    <x:row r="1" spans="1:1">
      <x:c r="A1" s="7" t="s">
        <x:v>7</x:v>
      </x:c>
    </x:row>
    <x:row r="2" spans="1:7">
      <x:c r="A2" s="3" t="s">
        <x:v>59</x:v>
      </x:c>
      <x:c r="B2" s="3" t="s">
        <x:v>197</x:v>
      </x:c>
      <x:c r="C2" s="3" t="s">
        <x:v>193</x:v>
      </x:c>
      <x:c r="D2" s="3" t="s">
        <x:v>198</x:v>
      </x:c>
      <x:c r="E2" s="3" t="s">
        <x:v>203</x:v>
      </x:c>
      <x:c r="F2" s="3" t="s">
        <x:v>199</x:v>
      </x:c>
      <x:c r="G2" s="3" t="s">
        <x:v>201</x:v>
      </x:c>
    </x:row>
    <x:row r="3" spans="1:7">
      <x:c r="A3" s="10" t="s">
        <x:v>44</x:v>
      </x:c>
      <x:c r="B3" s="10">
        <x:v>15044</x:v>
      </x:c>
      <x:c r="C3" s="3" t="s">
        <x:v>46</x:v>
      </x:c>
      <x:c r="D3" s="3" t="s">
        <x:v>3</x:v>
      </x:c>
      <x:c r="E3" s="10">
        <x:v>41748</x:v>
      </x:c>
      <x:c r="F3" s="5">
        <x:v>7560</x:v>
      </x:c>
      <x:c r="G3" s="5">
        <x:v>3780</x:v>
      </x:c>
    </x:row>
    <x:row r="4" spans="1:7">
      <x:c r="A4" s="10" t="s">
        <x:v>54</x:v>
      </x:c>
      <x:c r="B4" s="10">
        <x:v>14450</x:v>
      </x:c>
      <x:c r="C4" s="3" t="s">
        <x:v>68</x:v>
      </x:c>
      <x:c r="D4" s="3" t="s">
        <x:v>4</x:v>
      </x:c>
      <x:c r="E4" s="10">
        <x:v>41759</x:v>
      </x:c>
      <x:c r="F4" s="5">
        <x:v>5700</x:v>
      </x:c>
      <x:c r="G4" s="5">
        <x:v>2850</x:v>
      </x:c>
    </x:row>
    <x:row r="5" spans="1:7">
      <x:c r="A5" s="10" t="s">
        <x:v>69</x:v>
      </x:c>
      <x:c r="B5" s="10">
        <x:v>11828</x:v>
      </x:c>
      <x:c r="C5" s="3" t="s">
        <x:v>202</x:v>
      </x:c>
      <x:c r="D5" s="3" t="s">
        <x:v>5</x:v>
      </x:c>
      <x:c r="E5" s="10">
        <x:v>41760</x:v>
      </x:c>
      <x:c r="F5" s="5">
        <x:v>2970</x:v>
      </x:c>
      <x:c r="G5" s="5">
        <x:v>1485</x:v>
      </x:c>
    </x:row>
    <x:row r="6" spans="1:7">
      <x:c r="A6" s="10" t="s">
        <x:v>45</x:v>
      </x:c>
      <x:c r="B6" s="10">
        <x:v>29344</x:v>
      </x:c>
      <x:c r="C6" s="3" t="s">
        <x:v>46</x:v>
      </x:c>
      <x:c r="D6" s="3" t="s">
        <x:v>2</x:v>
      </x:c>
      <x:c r="E6" s="10">
        <x:v>41745</x:v>
      </x:c>
      <x:c r="F6" s="5">
        <x:v>2850</x:v>
      </x:c>
      <x:c r="G6" s="5">
        <x:v>1425</x:v>
      </x:c>
    </x:row>
    <x:row r="7" spans="1:7">
      <x:c r="A7" s="10" t="s">
        <x:v>58</x:v>
      </x:c>
      <x:c r="B7" s="10">
        <x:v>37081</x:v>
      </x:c>
      <x:c r="C7" s="3" t="s">
        <x:v>46</x:v>
      </x:c>
      <x:c r="D7" s="3" t="s">
        <x:v>6</x:v>
      </x:c>
      <x:c r="E7" s="10">
        <x:v>41745</x:v>
      </x:c>
      <x:c r="F7" s="5">
        <x:v>6330</x:v>
      </x:c>
      <x:c r="G7" s="5">
        <x:v>3165</x:v>
      </x:c>
    </x:row>
    <x:row r="8" spans="1:7">
      <x:c r="A8" s="10" t="s">
        <x:v>61</x:v>
      </x:c>
      <x:c r="B8" s="10">
        <x:v>32745</x:v>
      </x:c>
      <x:c r="C8" s="3" t="s">
        <x:v>46</x:v>
      </x:c>
      <x:c r="D8" s="3" t="s">
        <x:v>12</x:v>
      </x:c>
      <x:c r="E8" s="10">
        <x:v>41754</x:v>
      </x:c>
      <x:c r="F8" s="5">
        <x:v>3600</x:v>
      </x:c>
      <x:c r="G8" s="5">
        <x:v>1800</x:v>
      </x:c>
    </x:row>
    <x:row r="9" spans="1:7">
      <x:c r="A9" s="10" t="s">
        <x:v>60</x:v>
      </x:c>
      <x:c r="B9" s="10">
        <x:v>26388</x:v>
      </x:c>
      <x:c r="C9" s="3" t="s">
        <x:v>46</x:v>
      </x:c>
      <x:c r="D9" s="3" t="s">
        <x:v>17</x:v>
      </x:c>
      <x:c r="E9" s="10">
        <x:v>41755</x:v>
      </x:c>
      <x:c r="F9" s="5">
        <x:v>19280</x:v>
      </x:c>
      <x:c r="G9" s="5">
        <x:v>5784</x:v>
      </x:c>
    </x:row>
    <x:row r="10" spans="1:7">
      <x:c r="A10" s="10" t="s">
        <x:v>56</x:v>
      </x:c>
      <x:c r="B10" s="10">
        <x:v>14569</x:v>
      </x:c>
      <x:c r="C10" s="3" t="s">
        <x:v>202</x:v>
      </x:c>
      <x:c r="D10" s="3" t="s">
        <x:v>15</x:v>
      </x:c>
      <x:c r="E10" s="10">
        <x:v>41752</x:v>
      </x:c>
      <x:c r="F10" s="5">
        <x:v>5100</x:v>
      </x:c>
      <x:c r="G10" s="5">
        <x:v>2550</x:v>
      </x:c>
    </x:row>
    <x:row r="11" spans="1:7">
      <x:c r="A11" s="10" t="s">
        <x:v>62</x:v>
      </x:c>
      <x:c r="B11" s="10">
        <x:v>39374</x:v>
      </x:c>
      <x:c r="C11" s="3" t="s">
        <x:v>46</x:v>
      </x:c>
      <x:c r="D11" s="3" t="s">
        <x:v>16</x:v>
      </x:c>
      <x:c r="E11" s="10">
        <x:v>41757</x:v>
      </x:c>
      <x:c r="F11" s="5">
        <x:v>2700</x:v>
      </x:c>
      <x:c r="G11" s="5">
        <x:v>1350</x:v>
      </x:c>
    </x:row>
    <x:row r="12" spans="1:7">
      <x:c r="A12" s="10" t="s">
        <x:v>38</x:v>
      </x:c>
      <x:c r="B12" s="10">
        <x:v>37018</x:v>
      </x:c>
      <x:c r="C12" s="3" t="s">
        <x:v>68</x:v>
      </x:c>
      <x:c r="D12" s="3" t="s">
        <x:v>13</x:v>
      </x:c>
      <x:c r="E12" s="10">
        <x:v>41755</x:v>
      </x:c>
      <x:c r="F12" s="5">
        <x:v>11880</x:v>
      </x:c>
      <x:c r="G12" s="5">
        <x:v>3564</x:v>
      </x:c>
    </x:row>
    <x:row r="13" spans="1:7">
      <x:c r="A13" s="10" t="s">
        <x:v>52</x:v>
      </x:c>
      <x:c r="B13" s="10">
        <x:v>24531</x:v>
      </x:c>
      <x:c r="C13" s="3" t="s">
        <x:v>46</x:v>
      </x:c>
      <x:c r="D13" s="3" t="s">
        <x:v>9</x:v>
      </x:c>
      <x:c r="E13" s="10">
        <x:v>41755</x:v>
      </x:c>
      <x:c r="F13" s="5">
        <x:v>8850</x:v>
      </x:c>
      <x:c r="G13" s="5">
        <x:v>4425</x:v>
      </x:c>
    </x:row>
    <x:row r="14" spans="1:7">
      <x:c r="A14" s="10" t="s">
        <x:v>39</x:v>
      </x:c>
      <x:c r="B14" s="10">
        <x:v>28305</x:v>
      </x:c>
      <x:c r="C14" s="3" t="s">
        <x:v>46</x:v>
      </x:c>
      <x:c r="D14" s="3" t="s">
        <x:v>11</x:v>
      </x:c>
      <x:c r="E14" s="10">
        <x:v>41757</x:v>
      </x:c>
      <x:c r="F14" s="5">
        <x:v>4050</x:v>
      </x:c>
      <x:c r="G14" s="5">
        <x:v>2025</x:v>
      </x:c>
    </x:row>
    <x:row r="15" spans="1:7">
      <x:c r="A15" s="10" t="s">
        <x:v>67</x:v>
      </x:c>
      <x:c r="B15" s="10">
        <x:v>11661</x:v>
      </x:c>
      <x:c r="C15" s="3" t="s">
        <x:v>202</x:v>
      </x:c>
      <x:c r="D15" s="3" t="s">
        <x:v>14</x:v>
      </x:c>
      <x:c r="E15" s="10">
        <x:v>41758</x:v>
      </x:c>
      <x:c r="F15" s="5">
        <x:v>33660</x:v>
      </x:c>
      <x:c r="G15" s="5">
        <x:v>3366</x:v>
      </x:c>
    </x:row>
    <x:row r="16" spans="1:7">
      <x:c r="A16" s="10" t="s">
        <x:v>63</x:v>
      </x:c>
      <x:c r="B16" s="10">
        <x:v>37300</x:v>
      </x:c>
      <x:c r="C16" s="3" t="s">
        <x:v>202</x:v>
      </x:c>
      <x:c r="D16" s="3" t="s">
        <x:v>18</x:v>
      </x:c>
      <x:c r="E16" s="10">
        <x:v>41759</x:v>
      </x:c>
      <x:c r="F16" s="5">
        <x:v>29970</x:v>
      </x:c>
      <x:c r="G16" s="5">
        <x:v>8991</x:v>
      </x:c>
    </x:row>
    <x:row r="17" spans="1:7">
      <x:c r="A17" s="10" t="s">
        <x:v>64</x:v>
      </x:c>
      <x:c r="B17" s="10">
        <x:v>35058</x:v>
      </x:c>
      <x:c r="C17" s="3" t="s">
        <x:v>68</x:v>
      </x:c>
      <x:c r="D17" s="3" t="s">
        <x:v>8</x:v>
      </x:c>
      <x:c r="E17" s="10">
        <x:v>41759</x:v>
      </x:c>
      <x:c r="F17" s="5">
        <x:v>11400</x:v>
      </x:c>
      <x:c r="G17" s="5">
        <x:v>3420</x:v>
      </x:c>
    </x:row>
    <x:row r="18" spans="1:7">
      <x:c r="A18" s="10" t="s">
        <x:v>65</x:v>
      </x:c>
      <x:c r="B18" s="10">
        <x:v>25653</x:v>
      </x:c>
      <x:c r="C18" s="3" t="s">
        <x:v>46</x:v>
      </x:c>
      <x:c r="D18" s="3" t="s">
        <x:v>10</x:v>
      </x:c>
      <x:c r="E18" s="10">
        <x:v>41760</x:v>
      </x:c>
      <x:c r="F18" s="5">
        <x:v>1350</x:v>
      </x:c>
      <x:c r="G18" s="5">
        <x:v>675</x:v>
      </x:c>
    </x:row>
    <x:row r="19" spans="1:7">
      <x:c r="A19" s="10" t="s">
        <x:v>47</x:v>
      </x:c>
      <x:c r="B19" s="10">
        <x:v>12305</x:v>
      </x:c>
      <x:c r="C19" s="3" t="s">
        <x:v>202</x:v>
      </x:c>
      <x:c r="D19" s="3" t="s">
        <x:v>20</x:v>
      </x:c>
      <x:c r="E19" s="10">
        <x:v>41760</x:v>
      </x:c>
      <x:c r="F19" s="5">
        <x:v>2700</x:v>
      </x:c>
      <x:c r="G19" s="5">
        <x:v>1350</x:v>
      </x:c>
    </x:row>
    <x:row r="20" spans="1:7">
      <x:c r="A20" s="10" t="s">
        <x:v>66</x:v>
      </x:c>
      <x:c r="B20" s="10">
        <x:v>38119</x:v>
      </x:c>
      <x:c r="C20" s="3" t="s">
        <x:v>68</x:v>
      </x:c>
      <x:c r="D20" s="3" t="s">
        <x:v>21</x:v>
      </x:c>
      <x:c r="E20" s="10">
        <x:v>41759</x:v>
      </x:c>
      <x:c r="F20" s="5">
        <x:v>1980</x:v>
      </x:c>
      <x:c r="G20" s="5">
        <x:v>990</x:v>
      </x:c>
    </x:row>
  </x:sheetData>
  <x:conditionalFormatting sqref="G3:G20">
    <x:cfRule type="expression" dxfId="4" priority="1">
      <x:formula>LARGE(($G$3:$G$20),MIN(2,COUNT($G$3:$G$20)))&lt;=G3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6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7"/>
  <x:dimension ref="A1:D14"/>
  <x:sheetViews>
    <x:sheetView topLeftCell="A1" zoomScaleNormal="100" zoomScaleSheetLayoutView="75" workbookViewId="0">
      <x:selection activeCell="E2" activeCellId="0" sqref="E2:E2"/>
    </x:sheetView>
  </x:sheetViews>
  <x:sheetFormatPr defaultColWidth="9" defaultRowHeight="16.39999999999999857891"/>
  <x:cols>
    <x:col min="1" max="2" width="9" style="7"/>
    <x:col min="3" max="3" width="10.6875" style="7" customWidth="1"/>
    <x:col min="4" max="4" width="11.6875" style="7" customWidth="1"/>
    <x:col min="5" max="16384" width="9" style="7"/>
  </x:cols>
  <x:sheetData>
    <x:row r="1" spans="1:1">
      <x:c r="A1" s="1" t="s">
        <x:v>37</x:v>
      </x:c>
    </x:row>
    <x:row r="2" spans="2:4">
      <x:c r="B2" s="11"/>
      <x:c r="C2" s="11"/>
      <x:c r="D2" s="11"/>
    </x:row>
    <x:row r="3" spans="1:4">
      <x:c r="A3" s="3" t="s">
        <x:v>40</x:v>
      </x:c>
      <x:c r="B3" s="12" t="s">
        <x:v>41</x:v>
      </x:c>
      <x:c r="C3" s="12" t="s">
        <x:v>205</x:v>
      </x:c>
      <x:c r="D3" s="12" t="s">
        <x:v>204</x:v>
      </x:c>
    </x:row>
    <x:row r="4" spans="1:4">
      <x:c r="A4" s="3">
        <x:v>1</x:v>
      </x:c>
      <x:c r="B4" s="13" t="s">
        <x:v>43</x:v>
      </x:c>
      <x:c r="C4" s="14">
        <x:v>0.433</x:v>
      </x:c>
      <x:c r="D4" s="14">
        <x:v>0.48999999999999999</x:v>
      </x:c>
    </x:row>
    <x:row r="5" spans="1:4">
      <x:c r="A5" s="3">
        <x:v>2</x:v>
      </x:c>
      <x:c r="B5" s="13" t="s">
        <x:v>42</x:v>
      </x:c>
      <x:c r="C5" s="14">
        <x:v>0.56299999999999994</x:v>
      </x:c>
      <x:c r="D5" s="14">
        <x:v>0.56299999999999994</x:v>
      </x:c>
    </x:row>
    <x:row r="6" spans="1:4">
      <x:c r="A6" s="3">
        <x:v>3</x:v>
      </x:c>
      <x:c r="B6" s="13" t="s">
        <x:v>53</x:v>
      </x:c>
      <x:c r="C6" s="14">
        <x:v>0.55400000000000005</x:v>
      </x:c>
      <x:c r="D6" s="14">
        <x:v>0.61299999999999999</x:v>
      </x:c>
    </x:row>
    <x:row r="7" spans="1:4">
      <x:c r="A7" s="3">
        <x:v>4</x:v>
      </x:c>
      <x:c r="B7" s="13" t="s">
        <x:v>48</x:v>
      </x:c>
      <x:c r="C7" s="14">
        <x:v>0.496</x:v>
      </x:c>
      <x:c r="D7" s="14">
        <x:v>0.47499999999999998</x:v>
      </x:c>
    </x:row>
    <x:row r="8" spans="1:4">
      <x:c r="A8" s="3">
        <x:v>5</x:v>
      </x:c>
      <x:c r="B8" s="13" t="s">
        <x:v>49</x:v>
      </x:c>
      <x:c r="C8" s="14">
        <x:v>0.50800000000000001</x:v>
      </x:c>
      <x:c r="D8" s="14">
        <x:v>0.629</x:v>
      </x:c>
    </x:row>
    <x:row r="9" spans="1:4">
      <x:c r="A9" s="3">
        <x:v>6</x:v>
      </x:c>
      <x:c r="B9" s="13" t="s">
        <x:v>55</x:v>
      </x:c>
      <x:c r="C9" s="14">
        <x:v>0.52200000000000002</x:v>
      </x:c>
      <x:c r="D9" s="14">
        <x:v>0.42299999999999999</x:v>
      </x:c>
    </x:row>
    <x:row r="10" spans="1:4">
      <x:c r="A10" s="3">
        <x:v>7</x:v>
      </x:c>
      <x:c r="B10" s="13" t="s">
        <x:v>99</x:v>
      </x:c>
      <x:c r="C10" s="14">
        <x:v>0.47799999999999998</x:v>
      </x:c>
      <x:c r="D10" s="14">
        <x:v>0.45700000000000002</x:v>
      </x:c>
    </x:row>
    <x:row r="11" spans="1:4">
      <x:c r="A11" s="3">
        <x:v>8</x:v>
      </x:c>
      <x:c r="B11" s="13" t="s">
        <x:v>77</x:v>
      </x:c>
      <x:c r="C11" s="14">
        <x:v>0.56299999999999994</x:v>
      </x:c>
      <x:c r="D11" s="14">
        <x:v>0.46500000000000002</x:v>
      </x:c>
    </x:row>
    <x:row r="12" spans="1:4">
      <x:c r="A12" s="3">
        <x:v>9</x:v>
      </x:c>
      <x:c r="B12" s="13" t="s">
        <x:v>79</x:v>
      </x:c>
      <x:c r="C12" s="14">
        <x:v>0.51100000000000001</x:v>
      </x:c>
      <x:c r="D12" s="14">
        <x:v>0.56299999999999994</x:v>
      </x:c>
    </x:row>
    <x:row r="13" spans="1:4">
      <x:c r="A13" s="3">
        <x:v>10</x:v>
      </x:c>
      <x:c r="B13" s="13" t="s">
        <x:v>83</x:v>
      </x:c>
      <x:c r="C13" s="14">
        <x:v>0.371</x:v>
      </x:c>
      <x:c r="D13" s="14">
        <x:v>0.32400000000000001</x:v>
      </x:c>
    </x:row>
    <x:row r="14" spans="2:3">
      <x:c r="B14" s="15"/>
      <x:c r="C14" s="16"/>
    </x:row>
  </x:sheetData>
  <x:conditionalFormatting sqref="A4:D13">
    <x:cfRule type="expression" dxfId="5" priority="1">
      <x:formula>AND($C4&gt;=50%,$D4&gt;=50%)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1" fitToHeight="1" orientation="portrait" usePrinterDefaults="1" blackAndWhite="0" draft="0" useFirstPageNumber="0" horizontalDpi="600" verticalDpi="600" copies="1"/>
</x:worksheet>
</file>

<file path=xl/worksheets/sheet7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A1:I18"/>
  <x:sheetViews>
    <x:sheetView topLeftCell="A1" zoomScaleNormal="100" zoomScaleSheetLayoutView="75" workbookViewId="0">
      <x:selection activeCell="I3" activeCellId="0" sqref="I3:I3"/>
    </x:sheetView>
  </x:sheetViews>
  <x:sheetFormatPr defaultColWidth="9" defaultRowHeight="16.39999999999999857891"/>
  <x:cols>
    <x:col min="1" max="1" width="12.875" style="7" customWidth="1"/>
    <x:col min="2" max="8" width="9.75" style="7" customWidth="1"/>
    <x:col min="9" max="16384" width="9" style="7"/>
  </x:cols>
  <x:sheetData>
    <x:row r="1" spans="1:9" ht="23.5">
      <x:c r="A1" s="17" t="s">
        <x:v>19</x:v>
      </x:c>
      <x:c r="B1" s="17"/>
      <x:c r="C1" s="17"/>
      <x:c r="D1" s="17"/>
      <x:c r="E1" s="17"/>
      <x:c r="F1" s="17"/>
      <x:c r="G1" s="17"/>
      <x:c r="H1" s="17"/>
      <x:c r="I1" s="17"/>
    </x:row>
    <x:row r="2" spans="1:5">
      <x:c r="A2" s="4"/>
      <x:c r="B2" s="4"/>
      <x:c r="C2" s="4"/>
      <x:c r="D2" s="18"/>
      <x:c r="E2" s="19"/>
    </x:row>
    <x:row r="3" spans="1:8">
      <x:c r="A3" s="20" t="s">
        <x:v>90</x:v>
      </x:c>
      <x:c r="B3" s="20" t="s">
        <x:v>78</x:v>
      </x:c>
      <x:c r="C3" s="20" t="s">
        <x:v>93</x:v>
      </x:c>
      <x:c r="D3" s="20" t="s">
        <x:v>195</x:v>
      </x:c>
      <x:c r="E3" s="20" t="s">
        <x:v>101</x:v>
      </x:c>
      <x:c r="F3" s="20" t="s">
        <x:v>194</x:v>
      </x:c>
      <x:c r="G3" s="20" t="s">
        <x:v>196</x:v>
      </x:c>
      <x:c r="H3" s="20" t="s">
        <x:v>100</x:v>
      </x:c>
    </x:row>
    <x:row r="4" spans="1:8" ht="16.5" customHeight="1">
      <x:c r="A4" s="3">
        <x:v>201713056</x:v>
      </x:c>
      <x:c r="B4" s="3" t="s">
        <x:v>87</x:v>
      </x:c>
      <x:c r="C4" s="5">
        <x:v>25</x:v>
      </x:c>
      <x:c r="D4" s="5">
        <x:f t="shared" ref="D4:D18" si="0">50+C4/2</x:f>
        <x:v>62.5</x:v>
      </x:c>
      <x:c r="E4" s="5">
        <x:v>15</x:v>
      </x:c>
      <x:c r="F4" s="5">
        <x:f t="shared" ref="F4:F18" si="1">50+E4/2</x:f>
        <x:v>57.5</x:v>
      </x:c>
      <x:c r="G4" s="5">
        <x:v>18</x:v>
      </x:c>
      <x:c r="H4" s="5">
        <x:f t="shared" ref="H4:H18" si="2">(D4+F4)*0.4+G4</x:f>
        <x:v>66</x:v>
      </x:c>
    </x:row>
    <x:row r="5" spans="1:8" ht="16.5" customHeight="1">
      <x:c r="A5" s="3">
        <x:v>201809060</x:v>
      </x:c>
      <x:c r="B5" s="3" t="s">
        <x:v>74</x:v>
      </x:c>
      <x:c r="C5" s="5">
        <x:v>67.5</x:v>
      </x:c>
      <x:c r="D5" s="5">
        <x:f t="shared" si="0"/>
        <x:v>83.75</x:v>
      </x:c>
      <x:c r="E5" s="5">
        <x:v>10</x:v>
      </x:c>
      <x:c r="F5" s="5">
        <x:f t="shared" si="1"/>
        <x:v>55</x:v>
      </x:c>
      <x:c r="G5" s="5">
        <x:v>16</x:v>
      </x:c>
      <x:c r="H5" s="5">
        <x:f t="shared" si="2"/>
        <x:v>71.5</x:v>
      </x:c>
    </x:row>
    <x:row r="6" spans="1:8">
      <x:c r="A6" s="3">
        <x:v>201621010</x:v>
      </x:c>
      <x:c r="B6" s="3" t="s">
        <x:v>95</x:v>
      </x:c>
      <x:c r="C6" s="5">
        <x:v>37.5</x:v>
      </x:c>
      <x:c r="D6" s="5">
        <x:f t="shared" si="0"/>
        <x:v>68.75</x:v>
      </x:c>
      <x:c r="E6" s="5">
        <x:v>8</x:v>
      </x:c>
      <x:c r="F6" s="5">
        <x:f t="shared" si="1"/>
        <x:v>54</x:v>
      </x:c>
      <x:c r="G6" s="5">
        <x:v>18</x:v>
      </x:c>
      <x:c r="H6" s="5">
        <x:f t="shared" si="2"/>
        <x:v>67.099999999999994</x:v>
      </x:c>
    </x:row>
    <x:row r="7" spans="1:8">
      <x:c r="A7" s="3">
        <x:v>201618036</x:v>
      </x:c>
      <x:c r="B7" s="3" t="s">
        <x:v>70</x:v>
      </x:c>
      <x:c r="C7" s="5">
        <x:v>30</x:v>
      </x:c>
      <x:c r="D7" s="5">
        <x:f t="shared" si="0"/>
        <x:v>65</x:v>
      </x:c>
      <x:c r="E7" s="5">
        <x:v>30</x:v>
      </x:c>
      <x:c r="F7" s="5">
        <x:f t="shared" si="1"/>
        <x:v>65</x:v>
      </x:c>
      <x:c r="G7" s="5">
        <x:v>20</x:v>
      </x:c>
      <x:c r="H7" s="5">
        <x:f t="shared" si="2"/>
        <x:v>72</x:v>
      </x:c>
    </x:row>
    <x:row r="8" spans="1:8">
      <x:c r="A8" s="3">
        <x:v>201915093</x:v>
      </x:c>
      <x:c r="B8" s="3" t="s">
        <x:v>92</x:v>
      </x:c>
      <x:c r="C8" s="5">
        <x:v>87.5</x:v>
      </x:c>
      <x:c r="D8" s="5">
        <x:f t="shared" si="0"/>
        <x:v>93.75</x:v>
      </x:c>
      <x:c r="E8" s="5">
        <x:v>90</x:v>
      </x:c>
      <x:c r="F8" s="5">
        <x:f t="shared" si="1"/>
        <x:v>95</x:v>
      </x:c>
      <x:c r="G8" s="5">
        <x:v>20</x:v>
      </x:c>
      <x:c r="H8" s="5">
        <x:f t="shared" si="2"/>
        <x:v>95.5</x:v>
      </x:c>
    </x:row>
    <x:row r="9" spans="1:8">
      <x:c r="A9" s="3">
        <x:v>201714036</x:v>
      </x:c>
      <x:c r="B9" s="3" t="s">
        <x:v>76</x:v>
      </x:c>
      <x:c r="C9" s="5">
        <x:v>43.75</x:v>
      </x:c>
      <x:c r="D9" s="5">
        <x:f t="shared" si="0"/>
        <x:v>71.875</x:v>
      </x:c>
      <x:c r="E9" s="5">
        <x:v>5</x:v>
      </x:c>
      <x:c r="F9" s="5">
        <x:f t="shared" si="1"/>
        <x:v>52.5</x:v>
      </x:c>
      <x:c r="G9" s="5">
        <x:v>18</x:v>
      </x:c>
      <x:c r="H9" s="5">
        <x:f t="shared" si="2"/>
        <x:v>67.75</x:v>
      </x:c>
    </x:row>
    <x:row r="10" spans="1:8">
      <x:c r="A10" s="3">
        <x:v>201830056</x:v>
      </x:c>
      <x:c r="B10" s="3" t="s">
        <x:v>81</x:v>
      </x:c>
      <x:c r="C10" s="5">
        <x:v>42.5</x:v>
      </x:c>
      <x:c r="D10" s="5">
        <x:f t="shared" si="0"/>
        <x:v>71.25</x:v>
      </x:c>
      <x:c r="E10" s="5">
        <x:v>20</x:v>
      </x:c>
      <x:c r="F10" s="5">
        <x:f t="shared" si="1"/>
        <x:v>60</x:v>
      </x:c>
      <x:c r="G10" s="5">
        <x:v>16</x:v>
      </x:c>
      <x:c r="H10" s="5">
        <x:f t="shared" si="2"/>
        <x:v>68.5</x:v>
      </x:c>
    </x:row>
    <x:row r="11" spans="1:8">
      <x:c r="A11" s="3">
        <x:v>201809025</x:v>
      </x:c>
      <x:c r="B11" s="3" t="s">
        <x:v>98</x:v>
      </x:c>
      <x:c r="C11" s="5">
        <x:v>25</x:v>
      </x:c>
      <x:c r="D11" s="5">
        <x:f t="shared" si="0"/>
        <x:v>62.5</x:v>
      </x:c>
      <x:c r="E11" s="5">
        <x:v>20</x:v>
      </x:c>
      <x:c r="F11" s="5">
        <x:f t="shared" si="1"/>
        <x:v>60</x:v>
      </x:c>
      <x:c r="G11" s="5">
        <x:v>16</x:v>
      </x:c>
      <x:c r="H11" s="5">
        <x:f t="shared" si="2"/>
        <x:v>65</x:v>
      </x:c>
    </x:row>
    <x:row r="12" spans="1:8">
      <x:c r="A12" s="3">
        <x:v>201906050</x:v>
      </x:c>
      <x:c r="B12" s="3" t="s">
        <x:v>88</x:v>
      </x:c>
      <x:c r="C12" s="5">
        <x:v>87.5</x:v>
      </x:c>
      <x:c r="D12" s="5">
        <x:f t="shared" si="0"/>
        <x:v>93.75</x:v>
      </x:c>
      <x:c r="E12" s="5">
        <x:v>50</x:v>
      </x:c>
      <x:c r="F12" s="5">
        <x:f t="shared" si="1"/>
        <x:v>75</x:v>
      </x:c>
      <x:c r="G12" s="5">
        <x:v>16</x:v>
      </x:c>
      <x:c r="H12" s="5">
        <x:f t="shared" si="2"/>
        <x:v>83.5</x:v>
      </x:c>
    </x:row>
    <x:row r="13" spans="1:8">
      <x:c r="A13" s="3">
        <x:v>201618046</x:v>
      </x:c>
      <x:c r="B13" s="3" t="s">
        <x:v>82</x:v>
      </x:c>
      <x:c r="C13" s="5">
        <x:v>88</x:v>
      </x:c>
      <x:c r="D13" s="5">
        <x:f t="shared" si="0"/>
        <x:v>94</x:v>
      </x:c>
      <x:c r="E13" s="5">
        <x:v>80</x:v>
      </x:c>
      <x:c r="F13" s="5">
        <x:f t="shared" si="1"/>
        <x:v>90</x:v>
      </x:c>
      <x:c r="G13" s="5">
        <x:v>20</x:v>
      </x:c>
      <x:c r="H13" s="5">
        <x:f t="shared" si="2"/>
        <x:v>93.600000000000009</x:v>
      </x:c>
    </x:row>
    <x:row r="14" spans="1:8">
      <x:c r="A14" s="3">
        <x:v>201915058</x:v>
      </x:c>
      <x:c r="B14" s="3" t="s">
        <x:v>71</x:v>
      </x:c>
      <x:c r="C14" s="5">
        <x:v>0</x:v>
      </x:c>
      <x:c r="D14" s="5">
        <x:f t="shared" si="0"/>
        <x:v>50</x:v>
      </x:c>
      <x:c r="E14" s="5">
        <x:v>10</x:v>
      </x:c>
      <x:c r="F14" s="5">
        <x:f t="shared" si="1"/>
        <x:v>55</x:v>
      </x:c>
      <x:c r="G14" s="5">
        <x:v>18</x:v>
      </x:c>
      <x:c r="H14" s="5">
        <x:f t="shared" si="2"/>
        <x:v>60</x:v>
      </x:c>
    </x:row>
    <x:row r="15" spans="1:8">
      <x:c r="A15" s="3">
        <x:v>201915087</x:v>
      </x:c>
      <x:c r="B15" s="3" t="s">
        <x:v>84</x:v>
      </x:c>
      <x:c r="C15" s="5">
        <x:v>50</x:v>
      </x:c>
      <x:c r="D15" s="5">
        <x:f t="shared" si="0"/>
        <x:v>75</x:v>
      </x:c>
      <x:c r="E15" s="5">
        <x:v>40</x:v>
      </x:c>
      <x:c r="F15" s="5">
        <x:f t="shared" si="1"/>
        <x:v>70</x:v>
      </x:c>
      <x:c r="G15" s="5">
        <x:v>20</x:v>
      </x:c>
      <x:c r="H15" s="5">
        <x:f t="shared" si="2"/>
        <x:v>78</x:v>
      </x:c>
    </x:row>
    <x:row r="16" spans="1:8">
      <x:c r="A16" s="3">
        <x:v>201702075</x:v>
      </x:c>
      <x:c r="B16" s="3" t="s">
        <x:v>85</x:v>
      </x:c>
      <x:c r="C16" s="5">
        <x:v>20</x:v>
      </x:c>
      <x:c r="D16" s="5">
        <x:f t="shared" si="0"/>
        <x:v>60</x:v>
      </x:c>
      <x:c r="E16" s="5">
        <x:v>15</x:v>
      </x:c>
      <x:c r="F16" s="5">
        <x:f t="shared" si="1"/>
        <x:v>57.5</x:v>
      </x:c>
      <x:c r="G16" s="5">
        <x:v>20</x:v>
      </x:c>
      <x:c r="H16" s="5">
        <x:f t="shared" si="2"/>
        <x:v>67</x:v>
      </x:c>
    </x:row>
    <x:row r="17" spans="1:8">
      <x:c r="A17" s="3">
        <x:v>201915065</x:v>
      </x:c>
      <x:c r="B17" s="3" t="s">
        <x:v>72</x:v>
      </x:c>
      <x:c r="C17" s="5">
        <x:v>50</x:v>
      </x:c>
      <x:c r="D17" s="5">
        <x:f t="shared" si="0"/>
        <x:v>75</x:v>
      </x:c>
      <x:c r="E17" s="5">
        <x:v>40</x:v>
      </x:c>
      <x:c r="F17" s="5">
        <x:f t="shared" si="1"/>
        <x:v>70</x:v>
      </x:c>
      <x:c r="G17" s="5">
        <x:v>20</x:v>
      </x:c>
      <x:c r="H17" s="5">
        <x:f t="shared" si="2"/>
        <x:v>78</x:v>
      </x:c>
    </x:row>
    <x:row r="18" spans="1:8">
      <x:c r="A18" s="3">
        <x:v>201820030</x:v>
      </x:c>
      <x:c r="B18" s="3" t="s">
        <x:v>80</x:v>
      </x:c>
      <x:c r="C18" s="5">
        <x:v>34.375</x:v>
      </x:c>
      <x:c r="D18" s="5">
        <x:f t="shared" si="0"/>
        <x:v>67.1875</x:v>
      </x:c>
      <x:c r="E18" s="5">
        <x:v>10</x:v>
      </x:c>
      <x:c r="F18" s="5">
        <x:f t="shared" si="1"/>
        <x:v>55</x:v>
      </x:c>
      <x:c r="G18" s="5">
        <x:v>16</x:v>
      </x:c>
      <x:c r="H18" s="5">
        <x:f t="shared" si="2"/>
        <x:v>64.875</x:v>
      </x:c>
    </x:row>
  </x:sheetData>
  <x:conditionalFormatting sqref="A4:H18">
    <x:cfRule type="expression" dxfId="6" priority="1">
      <x:formula>LEFT($A4,4)="2019"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xl/worksheets/sheet8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G15"/>
  <x:sheetViews>
    <x:sheetView tabSelected="1" topLeftCell="A1" zoomScale="150" zoomScaleNormal="150" zoomScaleSheetLayoutView="75" workbookViewId="0">
      <x:selection activeCell="H3" activeCellId="0" sqref="H3:H3"/>
    </x:sheetView>
  </x:sheetViews>
  <x:sheetFormatPr defaultColWidth="9" defaultRowHeight="16.39999999999999857891"/>
  <x:cols>
    <x:col min="1" max="7" width="11.625" style="7" customWidth="1"/>
    <x:col min="8" max="16384" width="9" style="7"/>
  </x:cols>
  <x:sheetData>
    <x:row r="1" spans="1:1">
      <x:c r="A1" s="7" t="s">
        <x:v>1</x:v>
      </x:c>
    </x:row>
    <x:row r="3" spans="1:7">
      <x:c r="A3" s="20" t="s">
        <x:v>86</x:v>
      </x:c>
      <x:c r="B3" s="20" t="s">
        <x:v>158</x:v>
      </x:c>
      <x:c r="C3" s="20" t="s">
        <x:v>89</x:v>
      </x:c>
      <x:c r="D3" s="20" t="s">
        <x:v>123</x:v>
      </x:c>
      <x:c r="E3" s="20" t="s">
        <x:v>94</x:v>
      </x:c>
      <x:c r="F3" s="20" t="s">
        <x:v>91</x:v>
      </x:c>
      <x:c r="G3" s="20" t="s">
        <x:v>96</x:v>
      </x:c>
    </x:row>
    <x:row r="4" spans="1:7">
      <x:c r="A4" s="3" t="s">
        <x:v>22</x:v>
      </x:c>
      <x:c r="B4" s="3" t="s">
        <x:v>97</x:v>
      </x:c>
      <x:c r="C4" s="3" t="s">
        <x:v>75</x:v>
      </x:c>
      <x:c r="D4" s="6">
        <x:v>4273000</x:v>
      </x:c>
      <x:c r="E4" s="6">
        <x:v>882000</x:v>
      </x:c>
      <x:c r="F4" s="6">
        <x:f>D4*0.25</x:f>
        <x:v>1068250</x:v>
      </x:c>
      <x:c r="G4" s="6">
        <x:f>SUM(D4:F4)</x:f>
        <x:v>6223250</x:v>
      </x:c>
    </x:row>
    <x:row r="5" spans="1:7">
      <x:c r="A5" s="3" t="s">
        <x:v>26</x:v>
      </x:c>
      <x:c r="B5" s="3" t="s">
        <x:v>73</x:v>
      </x:c>
      <x:c r="C5" s="3" t="s">
        <x:v>137</x:v>
      </x:c>
      <x:c r="D5" s="6">
        <x:v>3697000</x:v>
      </x:c>
      <x:c r="E5" s="6">
        <x:v>724000</x:v>
      </x:c>
      <x:c r="F5" s="6">
        <x:f t="shared" ref="F5:F15" si="0">D5*0.25</x:f>
        <x:v>924250</x:v>
      </x:c>
      <x:c r="G5" s="6">
        <x:f t="shared" ref="G5:G15" si="1">SUM(D5:F5)</x:f>
        <x:v>5345250</x:v>
      </x:c>
    </x:row>
    <x:row r="6" spans="1:7">
      <x:c r="A6" s="3" t="s">
        <x:v>29</x:v>
      </x:c>
      <x:c r="B6" s="3" t="s">
        <x:v>107</x:v>
      </x:c>
      <x:c r="C6" s="3" t="s">
        <x:v>103</x:v>
      </x:c>
      <x:c r="D6" s="6">
        <x:v>2856000</x:v>
      </x:c>
      <x:c r="E6" s="6">
        <x:v>430000</x:v>
      </x:c>
      <x:c r="F6" s="6">
        <x:f t="shared" si="0"/>
        <x:v>714000</x:v>
      </x:c>
      <x:c r="G6" s="6">
        <x:f t="shared" si="1"/>
        <x:v>4000000</x:v>
      </x:c>
    </x:row>
    <x:row r="7" spans="1:7">
      <x:c r="A7" s="3" t="s">
        <x:v>25</x:v>
      </x:c>
      <x:c r="B7" s="3" t="s">
        <x:v>102</x:v>
      </x:c>
      <x:c r="C7" s="3" t="s">
        <x:v>120</x:v>
      </x:c>
      <x:c r="D7" s="6">
        <x:v>3047000</x:v>
      </x:c>
      <x:c r="E7" s="6">
        <x:v>524000</x:v>
      </x:c>
      <x:c r="F7" s="6">
        <x:f t="shared" si="0"/>
        <x:v>761750</x:v>
      </x:c>
      <x:c r="G7" s="6">
        <x:f t="shared" si="1"/>
        <x:v>4332750</x:v>
      </x:c>
    </x:row>
    <x:row r="8" spans="1:7">
      <x:c r="A8" s="3" t="s">
        <x:v>31</x:v>
      </x:c>
      <x:c r="B8" s="3" t="s">
        <x:v>111</x:v>
      </x:c>
      <x:c r="C8" s="3" t="s">
        <x:v>120</x:v>
      </x:c>
      <x:c r="D8" s="6">
        <x:v>3140000</x:v>
      </x:c>
      <x:c r="E8" s="6">
        <x:v>480000</x:v>
      </x:c>
      <x:c r="F8" s="6">
        <x:f t="shared" si="0"/>
        <x:v>785000</x:v>
      </x:c>
      <x:c r="G8" s="6">
        <x:f t="shared" si="1"/>
        <x:v>4405000</x:v>
      </x:c>
    </x:row>
    <x:row r="9" spans="1:7">
      <x:c r="A9" s="3" t="s">
        <x:v>30</x:v>
      </x:c>
      <x:c r="B9" s="3" t="s">
        <x:v>108</x:v>
      </x:c>
      <x:c r="C9" s="3" t="s">
        <x:v>121</x:v>
      </x:c>
      <x:c r="D9" s="6">
        <x:v>2510000</x:v>
      </x:c>
      <x:c r="E9" s="6">
        <x:v>320000</x:v>
      </x:c>
      <x:c r="F9" s="6">
        <x:f t="shared" si="0"/>
        <x:v>627500</x:v>
      </x:c>
      <x:c r="G9" s="6">
        <x:f t="shared" si="1"/>
        <x:v>3457500</x:v>
      </x:c>
    </x:row>
    <x:row r="10" spans="1:7">
      <x:c r="A10" s="3" t="s">
        <x:v>27</x:v>
      </x:c>
      <x:c r="B10" s="3" t="s">
        <x:v>104</x:v>
      </x:c>
      <x:c r="C10" s="3" t="s">
        <x:v>137</x:v>
      </x:c>
      <x:c r="D10" s="6">
        <x:v>3506000</x:v>
      </x:c>
      <x:c r="E10" s="6">
        <x:v>542000</x:v>
      </x:c>
      <x:c r="F10" s="6">
        <x:f t="shared" si="0"/>
        <x:v>876500</x:v>
      </x:c>
      <x:c r="G10" s="6">
        <x:f t="shared" si="1"/>
        <x:v>4924500</x:v>
      </x:c>
    </x:row>
    <x:row r="11" spans="1:7">
      <x:c r="A11" s="3" t="s">
        <x:v>23</x:v>
      </x:c>
      <x:c r="B11" s="3" t="s">
        <x:v>110</x:v>
      </x:c>
      <x:c r="C11" s="3" t="s">
        <x:v>120</x:v>
      </x:c>
      <x:c r="D11" s="6">
        <x:v>3200000</x:v>
      </x:c>
      <x:c r="E11" s="6">
        <x:v>360000</x:v>
      </x:c>
      <x:c r="F11" s="6">
        <x:f t="shared" si="0"/>
        <x:v>800000</x:v>
      </x:c>
      <x:c r="G11" s="6">
        <x:f t="shared" si="1"/>
        <x:v>4360000</x:v>
      </x:c>
    </x:row>
    <x:row r="12" spans="1:7">
      <x:c r="A12" s="3" t="s">
        <x:v>32</x:v>
      </x:c>
      <x:c r="B12" s="3" t="s">
        <x:v>109</x:v>
      </x:c>
      <x:c r="C12" s="3" t="s">
        <x:v>103</x:v>
      </x:c>
      <x:c r="D12" s="6">
        <x:v>2734000</x:v>
      </x:c>
      <x:c r="E12" s="6">
        <x:v>324000</x:v>
      </x:c>
      <x:c r="F12" s="6">
        <x:f t="shared" si="0"/>
        <x:v>683500</x:v>
      </x:c>
      <x:c r="G12" s="6">
        <x:f t="shared" si="1"/>
        <x:v>3741500</x:v>
      </x:c>
    </x:row>
    <x:row r="13" spans="1:7">
      <x:c r="A13" s="3" t="s">
        <x:v>24</x:v>
      </x:c>
      <x:c r="B13" s="3" t="s">
        <x:v>106</x:v>
      </x:c>
      <x:c r="C13" s="3" t="s">
        <x:v>121</x:v>
      </x:c>
      <x:c r="D13" s="6">
        <x:v>2473000</x:v>
      </x:c>
      <x:c r="E13" s="6">
        <x:v>268000</x:v>
      </x:c>
      <x:c r="F13" s="6">
        <x:f t="shared" si="0"/>
        <x:v>618250</x:v>
      </x:c>
      <x:c r="G13" s="6">
        <x:f t="shared" si="1"/>
        <x:v>3359250</x:v>
      </x:c>
    </x:row>
    <x:row r="14" spans="1:7">
      <x:c r="A14" s="3" t="s">
        <x:v>28</x:v>
      </x:c>
      <x:c r="B14" s="3" t="s">
        <x:v>105</x:v>
      </x:c>
      <x:c r="C14" s="3" t="s">
        <x:v>103</x:v>
      </x:c>
      <x:c r="D14" s="6">
        <x:v>2810000</x:v>
      </x:c>
      <x:c r="E14" s="6">
        <x:v>302000</x:v>
      </x:c>
      <x:c r="F14" s="6">
        <x:f t="shared" si="0"/>
        <x:v>702500</x:v>
      </x:c>
      <x:c r="G14" s="6">
        <x:f t="shared" si="1"/>
        <x:v>3814500</x:v>
      </x:c>
    </x:row>
    <x:row r="15" spans="1:7">
      <x:c r="A15" s="3" t="s">
        <x:v>33</x:v>
      </x:c>
      <x:c r="B15" s="3" t="s">
        <x:v>112</x:v>
      </x:c>
      <x:c r="C15" s="3" t="s">
        <x:v>120</x:v>
      </x:c>
      <x:c r="D15" s="6">
        <x:v>2980000</x:v>
      </x:c>
      <x:c r="E15" s="6">
        <x:v>347000</x:v>
      </x:c>
      <x:c r="F15" s="6">
        <x:f t="shared" si="0"/>
        <x:v>745000</x:v>
      </x:c>
      <x:c r="G15" s="6">
        <x:f t="shared" si="1"/>
        <x:v>4072000</x:v>
      </x:c>
    </x:row>
  </x:sheetData>
  <x:conditionalFormatting sqref="A4:G15">
    <x:cfRule type="expression" dxfId="7" priority="1">
      <x:formula>AND($C4="주임",$G4&lt;4000000)</x:formula>
    </x:cfRule>
  </x:conditionalFormatting>
  <x:pageMargins left="0.69999998807907104492" right="0.69999998807907104492" top="0.75" bottom="0.75" header="0.30000001192092895508" footer="0.30000001192092895508"/>
  <x:pageSetup paperSize="9" scale="100" firstPageNumber="1" fitToWidth="0" fitToHeight="0" orientation="portrait" usePrinterDefaults="1" blackAndWhite="0" draft="0" useFirstPageNumber="0" horizontalDpi="0" verticalDpi="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8" baseType="lpstr">
      <vt:lpstr>조건부서식1</vt:lpstr>
      <vt:lpstr>조건부서식2</vt:lpstr>
      <vt:lpstr>조건부서식3</vt:lpstr>
      <vt:lpstr>조건부서식4</vt:lpstr>
      <vt:lpstr>조건부서식5</vt:lpstr>
      <vt:lpstr>조건부서식6</vt:lpstr>
      <vt:lpstr>조건부서식7</vt:lpstr>
      <vt:lpstr>조건부서식8</vt:lpstr>
    </vt:vector>
  </ep:TitlesOfParts>
  <ep:TotalTime>34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mondi</cp:lastModifiedBy>
  <cp:revision>4</cp:revision>
  <cp:lastPrinted>2019-02-15T08:20:55.000</cp:lastPrinted>
  <dcterms:created xsi:type="dcterms:W3CDTF">2019-02-15T01:59:13.000</dcterms:created>
  <dcterms:modified xsi:type="dcterms:W3CDTF">2023-05-21T06:15:20.658</dcterms:modified>
  <cp:version>1200.0100.01</cp:version>
</cp:coreProperties>
</file>