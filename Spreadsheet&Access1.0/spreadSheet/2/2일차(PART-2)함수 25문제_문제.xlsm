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mondi\Downloads\컴활2급실기_5일만에 합격하기_버전2.0\5일만에 합격하기_자료집\2일차\"/>
    </mc:Choice>
  </mc:AlternateContent>
  <x:bookViews>
    <x:workbookView xWindow="0" yWindow="0" windowWidth="21345" windowHeight="9960" tabRatio="844" activeTab="4"/>
  </x:bookViews>
  <x:sheets>
    <x:sheet name="계산작업1" sheetId="1" r:id="rId4"/>
    <x:sheet name="계산작업2" sheetId="2" r:id="rId5"/>
    <x:sheet name="계산작업3" sheetId="3" r:id="rId6"/>
    <x:sheet name="계산작업4" sheetId="4" r:id="rId7"/>
    <x:sheet name="계산작업5" sheetId="5" r:id="rId8"/>
  </x:sheets>
  <x:definedNames>
    <x:definedName name="배점">#REF!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<x:sst xmlns:r="http://schemas.openxmlformats.org/officeDocument/2006/relationships" xmlns:c="http://schemas.openxmlformats.org/drawingml/2006/chart" xmlns:x="http://schemas.openxmlformats.org/spreadsheetml/2006/main" count="770" uniqueCount="475">
  <x:si>
    <x:t>휴일접수</x:t>
  </x:si>
  <x:si>
    <x:t>평일접수</x:t>
  </x:si>
  <x:si>
    <x:t>차석</x:t>
  </x:si>
  <x:si>
    <x:t/>
  </x:si>
  <x:si>
    <x:t>수석</x:t>
  </x:si>
  <x:si>
    <x:t>적자</x:t>
  </x:si>
  <x:si>
    <x:t>dolphinlove</x:t>
  </x:si>
  <x:si>
    <x:t>yiwonki0179</x:t>
  </x:si>
  <x:si>
    <x:t>crocodile0802</x:t>
  </x:si>
  <x:si>
    <x:t>angelgiraffe</x:t>
  </x:si>
  <x:si>
    <x:t>supersonnylove</x:t>
  </x:si>
  <x:si>
    <x:t>yiwonki</x:t>
  </x:si>
  <x:si>
    <x:t>mission</x:t>
  </x:si>
  <x:si>
    <x:t>2/4분기 아이스크림 판매 현황</x:t>
  </x:si>
  <x:si>
    <x:t>KBO리그 순위(20.10.15)</x:t>
  </x:si>
  <x:si>
    <x:t>지역이 '강원도'인 판매금액의 평균</x:t>
  </x:si>
  <x:si>
    <x:t>보통</x:t>
  </x:si>
  <x:si>
    <x:t>주의</x:t>
  </x:si>
  <x:si>
    <x:t>나쁨</x:t>
  </x:si>
  <x:si>
    <x:t>missioncc</x:t>
  </x:si>
  <x:si>
    <x:t>crodcdiledundy</x:t>
  </x:si>
  <x:si>
    <x:t>수학, 물리 모두 70점 이상이면서 평균점수가 평균 이상인 개수</x:t>
  </x:si>
  <x:si>
    <x:t>이봉숙</x:t>
  </x:si>
  <x:si>
    <x:t>출발지</x:t>
  </x:si>
  <x:si>
    <x:t>곽봉규</x:t>
  </x:si>
  <x:si>
    <x:t>도착지</x:t>
  </x:si>
  <x:si>
    <x:t>곽영애</x:t>
  </x:si>
  <x:si>
    <x:t>부서</x:t>
  </x:si>
  <x:si>
    <x:t>팀명</x:t>
  </x:si>
  <x:si>
    <x:t>직위</x:t>
  </x:si>
  <x:si>
    <x:t>생산팀</x:t>
  </x:si>
  <x:si>
    <x:t>신은희</x:t>
  </x:si>
  <x:si>
    <x:t>사원명</x:t>
  </x:si>
  <x:si>
    <x:t>과장</x:t>
  </x:si>
  <x:si>
    <x:t>박미숙</x:t>
  </x:si>
  <x:si>
    <x:t>김우영</x:t>
  </x:si>
  <x:si>
    <x:t>김상덕</x:t>
  </x:si>
  <x:si>
    <x:t>김동철</x:t>
  </x:si>
  <x:si>
    <x:t>곽복규</x:t>
  </x:si>
  <x:si>
    <x:t>조병철</x:t>
  </x:si>
  <x:si>
    <x:t>김금선</x:t>
  </x:si>
  <x:si>
    <x:t>사원</x:t>
  </x:si>
  <x:si>
    <x:t>이름</x:t>
  </x:si>
  <x:si>
    <x:t>점수</x:t>
  </x:si>
  <x:si>
    <x:t>엑셀</x:t>
  </x:si>
  <x:si>
    <x:t>워드</x:t>
  </x:si>
  <x:si>
    <x:t>평가</x:t>
  </x:si>
  <x:si>
    <x:t>결과</x:t>
  </x:si>
  <x:si>
    <x:t>원주</x:t>
  </x:si>
  <x:si>
    <x:t>부산</x:t>
  </x:si>
  <x:si>
    <x:t>서울</x:t>
  </x:si>
  <x:si>
    <x:t>대전</x:t>
  </x:si>
  <x:si>
    <x:t>성명</x:t>
  </x:si>
  <x:si>
    <x:t>이미희</x:t>
  </x:si>
  <x:si>
    <x:t>지역</x:t>
  </x:si>
  <x:si>
    <x:t>강릉</x:t>
  </x:si>
  <x:si>
    <x:t>평균</x:t>
  </x:si>
  <x:si>
    <x:t>학교</x:t>
  </x:si>
  <x:si>
    <x:t>등급</x:t>
  </x:si>
  <x:si>
    <x:t>순위</x:t>
  </x:si>
  <x:si>
    <x:t>춘천</x:t>
  </x:si>
  <x:si>
    <x:t>경주</x:t>
  </x:si>
  <x:si>
    <x:t>성별</x:t>
  </x:si>
  <x:si>
    <x:t>여</x:t>
  </x:si>
  <x:si>
    <x:t>김익래</x:t>
  </x:si>
  <x:si>
    <x:t>남</x:t>
  </x:si>
  <x:si>
    <x:t>대리</x:t>
  </x:si>
  <x:si>
    <x:t>판매량</x:t>
  </x:si>
  <x:si>
    <x:t>부장</x:t>
  </x:si>
  <x:si>
    <x:t>14(22)</x:t>
  </x:si>
  <x:si>
    <x:t>19(1)</x:t>
  </x:si>
  <x:si>
    <x:t>9(4)</x:t>
  </x:si>
  <x:si>
    <x:t>17(24)</x:t>
  </x:si>
  <x:si>
    <x:t>13(20)</x:t>
  </x:si>
  <x:si>
    <x:t>13(1)</x:t>
  </x:si>
  <x:si>
    <x:t>파워포인트</x:t>
  </x:si>
  <x:si>
    <x:t>[표1]</x:t>
  </x:si>
  <x:si>
    <x:t>14(37)</x:t>
  </x:si>
  <x:si>
    <x:t>접수번호</x:t>
  </x:si>
  <x:si>
    <x:t>사원번호</x:t>
  </x:si>
  <x:si>
    <x:t>판매금액</x:t>
  </x:si>
  <x:si>
    <x:t>등록번호</x:t>
  </x:si>
  <x:si>
    <x:t>[표5]</x:t>
  </x:si>
  <x:si>
    <x:t>[표3]</x:t>
  </x:si>
  <x:si>
    <x:t>[표4]</x:t>
  </x:si>
  <x:si>
    <x:t>[표2]</x:t>
  </x:si>
  <x:si>
    <x:t>KT[Wiz]</x:t>
  </x:si>
  <x:si>
    <x:t>lionking123</x:t>
  </x:si>
  <x:si>
    <x:t>정시</x:t>
  </x:si>
  <x:si>
    <x:t>NC[Dinos]</x:t>
  </x:si>
  <x:si>
    <x:t>루비</x:t>
  </x:si>
  <x:si>
    <x:t>실버</x:t>
  </x:si>
  <x:si>
    <x:t>골드</x:t>
  </x:si>
  <x:si>
    <x:t>수시</x:t>
  </x:si>
  <x:si>
    <x:t>다이아몬드</x:t>
  </x:si>
  <x:si>
    <x:t>살라</x:t>
  </x:si>
  <x:si>
    <x:t>Sk</x:t>
  </x:si>
  <x:si>
    <x:t>르윈</x:t>
  </x:si>
  <x:si>
    <x:t>lg</x:t>
  </x:si>
  <x:si>
    <x:t>선수</x:t>
  </x:si>
  <x:si>
    <x:t>에버튼</x:t>
  </x:si>
  <x:si>
    <x:t>바디</x:t>
  </x:si>
  <x:si>
    <x:t>레스터</x:t>
  </x:si>
  <x:si>
    <x:t>kia</x:t>
  </x:si>
  <x:si>
    <x:t>토트넘</x:t>
  </x:si>
  <x:si>
    <x:t>손흥민</x:t>
  </x:si>
  <x:si>
    <x:t>도움</x:t>
  </x:si>
  <x:si>
    <x:t>득점</x:t>
  </x:si>
  <x:si>
    <x:t>윌슨</x:t>
  </x:si>
  <x:si>
    <x:t>첼시</x:t>
  </x:si>
  <x:si>
    <x:t>전형</x:t>
  </x:si>
  <x:si>
    <x:t>아스널</x:t>
  </x:si>
  <x:si>
    <x:t>무파이</x:t>
  </x:si>
  <x:si>
    <x:t>학과</x:t>
  </x:si>
  <x:si>
    <x:t>응시일</x:t>
  </x:si>
  <x:si>
    <x:t>리버플</x:t>
  </x:si>
  <x:si>
    <x:t>뉴캐슬</x:t>
  </x:si>
  <x:si>
    <x:t>이상</x:t>
  </x:si>
  <x:si>
    <x:t>원주시</x:t>
  </x:si>
  <x:si>
    <x:t>학번</x:t>
  </x:si>
  <x:si>
    <x:t>면적</x:t>
  </x:si>
  <x:si>
    <x:t>강릉시</x:t>
  </x:si>
  <x:si>
    <x:t>수학</x:t>
  </x:si>
  <x:si>
    <x:t>수수료</x:t>
  </x:si>
  <x:si>
    <x:t>지소은</x:t>
  </x:si>
  <x:si>
    <x:t>우명관</x:t>
  </x:si>
  <x:si>
    <x:t>김지현</x:t>
  </x:si>
  <x:si>
    <x:t>홍천군</x:t>
  </x:si>
  <x:si>
    <x:t>화천군</x:t>
  </x:si>
  <x:si>
    <x:t>아이디</x:t>
  </x:si>
  <x:si>
    <x:t>조은희</x:t>
  </x:si>
  <x:si>
    <x:t>홍재근</x:t>
  </x:si>
  <x:si>
    <x:t>홍정남</x:t>
  </x:si>
  <x:si>
    <x:t>할인량</x:t>
  </x:si>
  <x:si>
    <x:t>전공</x:t>
  </x:si>
  <x:si>
    <x:t>인제군</x:t>
  </x:si>
  <x:si>
    <x:t>장현진</x:t>
  </x:si>
  <x:si>
    <x:t>양구군</x:t>
  </x:si>
  <x:si>
    <x:t>철원군</x:t>
  </x:si>
  <x:si>
    <x:t>정다빈</x:t>
  </x:si>
  <x:si>
    <x:t>교양</x:t>
  </x:si>
  <x:si>
    <x:t>춘천시</x:t>
  </x:si>
  <x:si>
    <x:t>김만기</x:t>
  </x:si>
  <x:si>
    <x:t>정재미</x:t>
  </x:si>
  <x:si>
    <x:t>건물</x:t>
  </x:si>
  <x:si>
    <x:t>물리</x:t>
  </x:si>
  <x:si>
    <x:t>전선우</x:t>
  </x:si>
  <x:si>
    <x:t>장성혁</x:t>
  </x:si>
  <x:si>
    <x:t>할인율</x:t>
  </x:si>
  <x:si>
    <x:t>사무실</x:t>
  </x:si>
  <x:si>
    <x:t>반</x:t>
  </x:si>
  <x:si>
    <x:t>잎새반</x:t>
  </x:si>
  <x:si>
    <x:t>층수</x:t>
  </x:si>
  <x:si>
    <x:t>효자동</x:t>
  </x:si>
  <x:si>
    <x:t>온의동</x:t>
  </x:si>
  <x:si>
    <x:t>소양동</x:t>
  </x:si>
  <x:si>
    <x:t>지수값</x:t>
  </x:si>
  <x:si>
    <x:t>생산부</x:t>
  </x:si>
  <x:si>
    <x:t>강선아</x:t>
  </x:si>
  <x:si>
    <x:t>남자</x:t>
  </x:si>
  <x:si>
    <x:t>크기</x:t>
  </x:si>
  <x:si>
    <x:t>동호수</x:t>
  </x:si>
  <x:si>
    <x:t>오존</x:t>
  </x:si>
  <x:si>
    <x:t>이재형</x:t>
  </x:si>
  <x:si>
    <x:t>최한솔</x:t>
  </x:si>
  <x:si>
    <x:t>영업부</x:t>
  </x:si>
  <x:si>
    <x:t>홍천</x:t>
  </x:si>
  <x:si>
    <x:t>도시명</x:t>
  </x:si>
  <x:si>
    <x:t>백진화</x:t>
  </x:si>
  <x:si>
    <x:t>김진용</x:t>
  </x:si>
  <x:si>
    <x:t>열매반</x:t>
  </x:si>
  <x:si>
    <x:t>여자</x:t>
  </x:si>
  <x:si>
    <x:t>이메일</x:t>
  </x:si>
  <x:si>
    <x:t>후평동</x:t>
  </x:si>
  <x:si>
    <x:t>수취인</x:t>
  </x:si>
  <x:si>
    <x:t>고찬향</x:t>
  </x:si>
  <x:si>
    <x:t>퇴계동</x:t>
  </x:si>
  <x:si>
    <x:t>월세</x:t>
  </x:si>
  <x:si>
    <x:t>사우동</x:t>
  </x:si>
  <x:si>
    <x:t>석사동</x:t>
  </x:si>
  <x:si>
    <x:t>수익</x:t>
  </x:si>
  <x:si>
    <x:t>전수림</x:t>
  </x:si>
  <x:si>
    <x:t>김재문</x:t>
  </x:si>
  <x:si>
    <x:t>윤경인</x:t>
  </x:si>
  <x:si>
    <x:t>김득수</x:t>
  </x:si>
  <x:si>
    <x:t>총점</x:t>
  </x:si>
  <x:si>
    <x:t>C반</x:t>
  </x:si>
  <x:si>
    <x:t>장주형</x:t>
  </x:si>
  <x:si>
    <x:t>최규호</x:t>
  </x:si>
  <x:si>
    <x:t>학교명</x:t>
  </x:si>
  <x:si>
    <x:t>학년</x:t>
  </x:si>
  <x:si>
    <x:t>양희태</x:t>
  </x:si>
  <x:si>
    <x:t>서준희</x:t>
  </x:si>
  <x:si>
    <x:t>장현웅</x:t>
  </x:si>
  <x:si>
    <x:t>강희원</x:t>
  </x:si>
  <x:si>
    <x:t>김소형</x:t>
  </x:si>
  <x:si>
    <x:t>양헌모</x:t>
  </x:si>
  <x:si>
    <x:t>윤천기</x:t>
  </x:si>
  <x:si>
    <x:t>정달옥</x:t>
  </x:si>
  <x:si>
    <x:t>김창연</x:t>
  </x:si>
  <x:si>
    <x:t>양승혜</x:t>
  </x:si>
  <x:si>
    <x:t>부서명</x:t>
  </x:si>
  <x:si>
    <x:t>기본급</x:t>
  </x:si>
  <x:si>
    <x:t>김형배</x:t>
  </x:si>
  <x:si>
    <x:t>장태양</x:t>
  </x:si>
  <x:si>
    <x:t>공형규</x:t>
  </x:si>
  <x:si>
    <x:t>권대호</x:t>
  </x:si>
  <x:si>
    <x:t>김연주</x:t>
  </x:si>
  <x:si>
    <x:t>윤휘진</x:t>
  </x:si>
  <x:si>
    <x:t>호봉</x:t>
  </x:si>
  <x:si>
    <x:t>홍보부</x:t>
  </x:si>
  <x:si>
    <x:t>A반</x:t>
  </x:si>
  <x:si>
    <x:t>B반</x:t>
  </x:si>
  <x:si>
    <x:t>함상모</x:t>
  </x:si>
  <x:si>
    <x:t>독해</x:t>
  </x:si>
  <x:si>
    <x:t>총개수</x:t>
  </x:si>
  <x:si>
    <x:t>바나나</x:t>
  </x:si>
  <x:si>
    <x:t>우석중</x:t>
  </x:si>
  <x:si>
    <x:t>평균차</x:t>
  </x:si>
  <x:si>
    <x:t>감</x:t>
  </x:si>
  <x:si>
    <x:t>참외</x:t>
  </x:si>
  <x:si>
    <x:t>출고일</x:t>
  </x:si>
  <x:si>
    <x:t>강원중</x:t>
  </x:si>
  <x:si>
    <x:t>2학년</x:t>
  </x:si>
  <x:si>
    <x:t>배</x:t>
  </x:si>
  <x:si>
    <x:t>강심장</x:t>
  </x:si>
  <x:si>
    <x:t>안심해</x:t>
  </x:si>
  <x:si>
    <x:t>청취</x:t>
  </x:si>
  <x:si>
    <x:t>춘천중</x:t>
  </x:si>
  <x:si>
    <x:t>노고리</x:t>
  </x:si>
  <x:si>
    <x:t>허영심</x:t>
  </x:si>
  <x:si>
    <x:t>후평중</x:t>
  </x:si>
  <x:si>
    <x:t>3학년</x:t>
  </x:si>
  <x:si>
    <x:t>대룡중</x:t>
  </x:si>
  <x:si>
    <x:t>수박</x:t>
  </x:si>
  <x:si>
    <x:t>김은혜</x:t>
  </x:si>
  <x:si>
    <x:t>사과</x:t>
  </x:si>
  <x:si>
    <x:t>귤</x:t>
  </x:si>
  <x:si>
    <x:t>자두</x:t>
  </x:si>
  <x:si>
    <x:t>신성한</x:t>
  </x:si>
  <x:si>
    <x:t>제품명</x:t>
  </x:si>
  <x:si>
    <x:t>이리오</x:t>
  </x:si>
  <x:si>
    <x:t>과일명</x:t>
  </x:si>
  <x:si>
    <x:t>김민지</x:t>
  </x:si>
  <x:si>
    <x:t>영업팀</x:t>
  </x:si>
  <x:si>
    <x:t>배달비</x:t>
  </x:si>
  <x:si>
    <x:t>이건우</x:t>
  </x:si>
  <x:si>
    <x:t>박소현</x:t>
  </x:si>
  <x:si>
    <x:t>박채현</x:t>
  </x:si>
  <x:si>
    <x:t>신도율</x:t>
  </x:si>
  <x:si>
    <x:t>이건빈</x:t>
  </x:si>
  <x:si>
    <x:t>DB-002</x:t>
  </x:si>
  <x:si>
    <x:t>DB-004</x:t>
  </x:si>
  <x:si>
    <x:t>[배달비]</x:t>
  </x:si>
  <x:si>
    <x:t>DB-001</x:t>
  </x:si>
  <x:si>
    <x:t>DB-005</x:t>
  </x:si>
  <x:si>
    <x:t>DB-007</x:t>
  </x:si>
  <x:si>
    <x:t>DB-003</x:t>
  </x:si>
  <x:si>
    <x:t>DB-006</x:t>
  </x:si>
  <x:si>
    <x:t>DB-008</x:t>
  </x:si>
  <x:si>
    <x:t>DB-009</x:t>
  </x:si>
  <x:si>
    <x:t>DB-010</x:t>
  </x:si>
  <x:si>
    <x:t>응시번호</x:t>
  </x:si>
  <x:si>
    <x:t>평균점수</x:t>
  </x:si>
  <x:si>
    <x:t>승진점수</x:t>
  </x:si>
  <x:si>
    <x:t>전화번호</x:t>
  </x:si>
  <x:si>
    <x:t>GP-002</x:t>
  </x:si>
  <x:si>
    <x:t>GP-001</x:t>
  </x:si>
  <x:si>
    <x:t>GP-005</x:t>
  </x:si>
  <x:si>
    <x:t>GP-007</x:t>
  </x:si>
  <x:si>
    <x:t>GP-003</x:t>
  </x:si>
  <x:si>
    <x:t>GP-006</x:t>
  </x:si>
  <x:si>
    <x:t>GP-008</x:t>
  </x:si>
  <x:si>
    <x:t>GP-004</x:t>
  </x:si>
  <x:si>
    <x:t>GP-009</x:t>
  </x:si>
  <x:si>
    <x:t>GP-010</x:t>
  </x:si>
  <x:si>
    <x:t>몫(나머지)</x:t>
  </x:si>
  <x:si>
    <x:t>다단계 판매</x:t>
  </x:si>
  <x:si>
    <x:t>KP-008</x:t>
  </x:si>
  <x:si>
    <x:t>KP-003</x:t>
  </x:si>
  <x:si>
    <x:t>KP-007</x:t>
  </x:si>
  <x:si>
    <x:t>전월차전기량</x:t>
  </x:si>
  <x:si>
    <x:t>KP-004</x:t>
  </x:si>
  <x:si>
    <x:t>입사코드</x:t>
  </x:si>
  <x:si>
    <x:t>KP-002</x:t>
  </x:si>
  <x:si>
    <x:t>주문지역</x:t>
  </x:si>
  <x:si>
    <x:t>KP-005</x:t>
  </x:si>
  <x:si>
    <x:t>KP-006</x:t>
  </x:si>
  <x:si>
    <x:t>반별 점수</x:t>
  </x:si>
  <x:si>
    <x:t>3월전기량</x:t>
  </x:si>
  <x:si>
    <x:t>초미세먼지</x:t>
  </x:si>
  <x:si>
    <x:t>오염물질</x:t>
  </x:si>
  <x:si>
    <x:t>오늘 날짜</x:t>
  </x:si>
  <x:si>
    <x:t>엑셀점수평균</x:t>
  </x:si>
  <x:si>
    <x:t>상자당개수</x:t>
  </x:si>
  <x:si>
    <x:t>남춘천중</x:t>
  </x:si>
  <x:si>
    <x:t>미세먼지</x:t>
  </x:si>
  <x:si>
    <x:t>2월전기량</x:t>
  </x:si>
  <x:si>
    <x:t>[반별평균표]</x:t>
  </x:si>
  <x:si>
    <x:t>근속년수</x:t>
  </x:si>
  <x:si>
    <x:t>[할인율표]</x:t>
  </x:si>
  <x:si>
    <x:t>판매총액</x:t>
  </x:si>
  <x:si>
    <x:t>KP-001</x:t>
  </x:si>
  <x:si>
    <x:t>판매가격</x:t>
  </x:si>
  <x:si>
    <x:t>heros</x:t>
  </x:si>
  <x:si>
    <x:t>tigers</x:t>
  </x:si>
  <x:si>
    <x:t>lions</x:t>
  </x:si>
  <x:si>
    <x:t>회원코드</x:t>
  </x:si>
  <x:si>
    <x:t>접수형태</x:t>
  </x:si>
  <x:si>
    <x:t>CE53</x:t>
  </x:si>
  <x:si>
    <x:t>수크리바</x:t>
  </x:si>
  <x:si>
    <x:t>고객번호</x:t>
  </x:si>
  <x:si>
    <x:t>빵빠레오</x:t>
  </x:si>
  <x:si>
    <x:t>dinos</x:t>
  </x:si>
  <x:si>
    <x:t>twins</x:t>
  </x:si>
  <x:si>
    <x:t>lotte</x:t>
  </x:si>
  <x:si>
    <x:t>기업[팀명]</x:t>
  </x:si>
  <x:si>
    <x:t>giants</x:t>
  </x:si>
  <x:si>
    <x:t>YS09</x:t>
  </x:si>
  <x:si>
    <x:t>bears</x:t>
  </x:si>
  <x:si>
    <x:t>samsung</x:t>
  </x:si>
  <x:si>
    <x:t>콘도 접수일</x:t>
  </x:si>
  <x:si>
    <x:t>SJ47</x:t>
  </x:si>
  <x:si>
    <x:t>MK81</x:t>
  </x:si>
  <x:si>
    <x:t>ES11</x:t>
  </x:si>
  <x:si>
    <x:t>AR49</x:t>
  </x:si>
  <x:si>
    <x:t>JI80</x:t>
  </x:si>
  <x:si>
    <x:t>실수령액</x:t>
  </x:si>
  <x:si>
    <x:t>판매개수</x:t>
  </x:si>
  <x:si>
    <x:t>더위사랑</x:t>
  </x:si>
  <x:si>
    <x:t>NG02</x:t>
  </x:si>
  <x:si>
    <x:t>doosan</x:t>
  </x:si>
  <x:si>
    <x:t>kiwoom</x:t>
  </x:si>
  <x:si>
    <x:t>애스턴 빌라</x:t>
  </x:si>
  <x:si>
    <x:t>조르지뉴</x:t>
  </x:si>
  <x:si>
    <x:t>wyberns</x:t>
  </x:si>
  <x:si>
    <x:t>기풍대학교</x:t>
  </x:si>
  <x:si>
    <x:t>가야대학교</x:t>
  </x:si>
  <x:si>
    <x:t>부여대학교</x:t>
  </x:si>
  <x:si>
    <x:t>독도대학교</x:t>
  </x:si>
  <x:si>
    <x:t>&gt;=90</x:t>
  </x:si>
  <x:si>
    <x:t>컴퓨터공학</x:t>
  </x:si>
  <x:si>
    <x:t>라카제트</x:t>
  </x:si>
  <x:si>
    <x:t>브라이튼</x:t>
  </x:si>
  <x:si>
    <x:t>고조전대학교</x:t>
  </x:si>
  <x:si>
    <x:t>발해대학교</x:t>
  </x:si>
  <x:si>
    <x:t>그릴리쉬</x:t>
  </x:si>
  <x:si>
    <x:t>소프트웨어공학</x:t>
  </x:si>
  <x:si>
    <x:t>백제대학교</x:t>
  </x:si>
  <x:si>
    <x:t>한국대학교</x:t>
  </x:si>
  <x:si>
    <x:t>103-1107</x:t>
  </x:si>
  <x:si>
    <x:t>103-1105</x:t>
  </x:si>
  <x:si>
    <x:t>103-1104</x:t>
  </x:si>
  <x:si>
    <x:t>103-1101</x:t>
  </x:si>
  <x:si>
    <x:t>103-1102</x:t>
  </x:si>
  <x:si>
    <x:t>103-1103</x:t>
  </x:si>
  <x:si>
    <x:t>103-1106</x:t>
  </x:si>
  <x:si>
    <x:t>011-3698-5214</x:t>
  </x:si>
  <x:si>
    <x:t>011-6269-5549</x:t>
  </x:si>
  <x:si>
    <x:t>011-3774-9902</x:t>
  </x:si>
  <x:si>
    <x:t>010-****-****</x:t>
  </x:si>
  <x:si>
    <x:t>011-3744-9001</x:t>
  </x:si>
  <x:si>
    <x:t>011-2252-0898</x:t>
  </x:si>
  <x:si>
    <x:t>강원도 감자 판매 현황</x:t>
  </x:si>
  <x:si>
    <x:t>011-3214-6549</x:t>
  </x:si>
  <x:si>
    <x:t>011-1234-7894</x:t>
  </x:si>
  <x:si>
    <x:t>011-2563-1489</x:t>
  </x:si>
  <x:si>
    <x:t>춘천지역 중학교 영어 점수</x:t>
  </x:si>
  <x:si>
    <x:t>011-3216-5498</x:t>
  </x:si>
  <x:si>
    <x:t>강북지점의 판매총액의 평균</x:t>
  </x:si>
  <x:si>
    <x:t>011-1478-5236</x:t>
  </x:si>
  <x:si>
    <x:t>yiwonki@gipoong.com</x:t>
  </x:si>
  <x:si>
    <x:t>mission@gipoong.com</x:t>
  </x:si>
  <x:si>
    <x:t>PR-95-S1</x:t>
  </x:si>
  <x:si>
    <x:t>개수(단위:BOX)</x:t>
  </x:si>
  <x:si>
    <x:t>PR-07-S2</x:t>
  </x:si>
  <x:si>
    <x:t>SA-98-P2</x:t>
  </x:si>
  <x:si>
    <x:t>SA-09-P1</x:t>
  </x:si>
  <x:si>
    <x:t>기풍그룹 입사현황</x:t>
  </x:si>
  <x:si>
    <x:t>AC-11-C1</x:t>
  </x:si>
  <x:si>
    <x:t>SA-15-P3</x:t>
  </x:si>
  <x:si>
    <x:t>PR-08-S4</x:t>
  </x:si>
  <x:si>
    <x:t>PR-97-S3</x:t>
  </x:si>
  <x:si>
    <x:t>AC-93-C3</x:t>
  </x:si>
  <x:si>
    <x:t>급여 지급 현황</x:t>
  </x:si>
  <x:si>
    <x:t>AC-13-C2</x:t>
  </x:si>
  <x:si>
    <x:t>과일 출고 현황</x:t>
  </x:si>
  <x:si>
    <x:t>영업사원별 판매현황</x:t>
  </x:si>
  <x:si>
    <x:t>회원 관리 현황</x:t>
  </x:si>
  <x:si>
    <x:t>교내 미술경시대회</x:t>
  </x:si>
  <x:si>
    <x:t>직위별 급여현황</x:t>
  </x:si>
  <x:si>
    <x:t>육해공</x:t>
  </x:si>
  <x:si>
    <x:t>정인간</x:t>
  </x:si>
  <x:si>
    <x:t>방귀남</x:t>
  </x:si>
  <x:si>
    <x:t>구주희</x:t>
  </x:si>
  <x:si>
    <x:t>이재휘</x:t>
  </x:si>
  <x:si>
    <x:t>한산의</x:t>
  </x:si>
  <x:si>
    <x:t>기업</x:t>
  </x:si>
  <x:si>
    <x:t>누구바</x:t>
  </x:si>
  <x:si>
    <x:t>승률</x:t>
  </x:si>
  <x:si>
    <x:t>kt</x:t>
  </x:si>
  <x:si>
    <x:t>nc</x:t>
  </x:si>
  <x:si>
    <x:t>wiz</x:t>
  </x:si>
  <x:si>
    <x:t>한송이</x:t>
  </x:si>
  <x:si>
    <x:t>유희지</x:t>
  </x:si>
  <x:si>
    <x:t>장나주</x:t>
  </x:si>
  <x:si>
    <x:t>하나로</x:t>
  </x:si>
  <x:si>
    <x:t>최영감</x:t>
  </x:si>
  <x:si>
    <x:t>이재신</x:t>
  </x:si>
  <x:si>
    <x:t>이운명</x:t>
  </x:si>
  <x:si>
    <x:t>충북</x:t>
  </x:si>
  <x:si>
    <x:t>이승은</x:t>
  </x:si>
  <x:si>
    <x:t>김성산</x:t>
  </x:si>
  <x:si>
    <x:t>박가이</x:t>
  </x:si>
  <x:si>
    <x:t>한이주</x:t>
  </x:si>
  <x:si>
    <x:t>강오선</x:t>
  </x:si>
  <x:si>
    <x:t>강원도</x:t>
  </x:si>
  <x:si>
    <x:t>전세권</x:t>
  </x:si>
  <x:si>
    <x:t>노숙자</x:t>
  </x:si>
  <x:si>
    <x:t>민진윤</x:t>
  </x:si>
  <x:si>
    <x:t>박윤서</x:t>
  </x:si>
  <x:si>
    <x:t>지점</x:t>
  </x:si>
  <x:si>
    <x:t>신서영</x:t>
  </x:si>
  <x:si>
    <x:t>성우진</x:t>
  </x:si>
  <x:si>
    <x:t>우수아</x:t>
  </x:si>
  <x:si>
    <x:t>김해소</x:t>
  </x:si>
  <x:si>
    <x:t>유성심</x:t>
  </x:si>
  <x:si>
    <x:t>이문혁</x:t>
  </x:si>
  <x:si>
    <x:t>하태선</x:t>
  </x:si>
  <x:si>
    <x:t>최소한</x:t>
  </x:si>
  <x:si>
    <x:t>이수정</x:t>
  </x:si>
  <x:si>
    <x:t>진한석</x:t>
  </x:si>
  <x:si>
    <x:t>김범도</x:t>
  </x:si>
  <x:si>
    <x:t>강북</x:t>
  </x:si>
  <x:si>
    <x:t>설수인</x:t>
  </x:si>
  <x:si>
    <x:t>강예준</x:t>
  </x:si>
  <x:si>
    <x:t>최건우</x:t>
  </x:si>
  <x:si>
    <x:t>김강후</x:t>
  </x:si>
  <x:si>
    <x:t>이민재</x:t>
  </x:si>
  <x:si>
    <x:t>박순심</x:t>
  </x:si>
  <x:si>
    <x:t>강남</x:t>
  </x:si>
  <x:si>
    <x:t>이지우</x:t>
  </x:si>
  <x:si>
    <x:t>김민서</x:t>
  </x:si>
  <x:si>
    <x:t>김희체</x:t>
  </x:si>
  <x:si>
    <x:t>조현우</x:t>
  </x:si>
  <x:si>
    <x:t>기풍이대입응시현황</x:t>
  </x:si>
  <x:si>
    <x:t>흑자</x:t>
  </x:si>
  <x:si>
    <x:t>100000이상 200000미만 월세 비율</x:t>
  </x:si>
  <x:si>
    <x:t>남자의 엑셀 평균과 여자의 엑셀 평균  차</x:t>
  </x:si>
  <x:si>
    <x:t>missioncc@gipoong.com</x:t>
  </x:si>
  <x:si>
    <x:t>yiwonki0179@gipoong.com</x:t>
  </x:si>
  <x:si>
    <x:t>프리미어리그 선수 순위(20.10.15)</x:t>
  </x:si>
  <x:si>
    <x:t>dolphinlove@gipoong.com</x:t>
  </x:si>
  <x:si>
    <x:t>lionking123@gipoong.com</x:t>
  </x:si>
  <x:si>
    <x:t>직위가 '대리'이면서 성별이 '여'인 실수령액 합계</x:t>
  </x:si>
  <x:si>
    <x:t>angelgiraffe@gipoong.com</x:t>
  </x:si>
  <x:si>
    <x:t>supersonnylove@gipoong.com</x:t>
  </x:si>
  <x:si>
    <x:t>crodcdiledundy@gipoong.com</x:t>
  </x:si>
  <x:si>
    <x:t>지역이 춘천이면서 부서가 영업팀인 승진점수의 합계</x:t>
  </x:si>
  <x:si>
    <x:t>직위가 과장인 기본급의 최대값과 최소값의 평균</x:t>
  </x:si>
  <x:si>
    <x:t>crocodile0802@gipoong.com</x:t>
  </x:si>
  <x:si>
    <x:t>3학년중 독해 점수가 90이상인 평균차의 최소값</x:t>
  </x:si>
  <x:si>
    <x:t>3등</x:t>
  </x:si>
  <x:si>
    <x:t>1등</x:t>
  </x:si>
  <x:si>
    <x:t>2등</x:t>
  </x:si>
  <x:si>
    <x:t>KIA[Tigers]</x:t>
  </x:si>
  <x:si>
    <x:t>LG[Twins]</x:t>
  </x:si>
  <x:si>
    <x:t>SK[Wyberns]</x:t>
  </x:si>
  <x:si>
    <x:t>16(11)</x:t>
  </x:si>
  <x:si>
    <x:t>☆</x:t>
  </x:si>
  <x:si>
    <x:t>★</x:t>
  </x:si>
  <x:si>
    <x:t>KIWOOM[Heros]</x:t>
  </x:si>
  <x:si>
    <x:t>SAMSUNG[Lions]</x:t>
  </x:si>
  <x:si>
    <x:t>LOTTE[Giants]</x:t>
  </x:si>
  <x:si>
    <x:t>DOOSAN[Bears]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</x:si>
</x:sst>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numFmts count="9">
    <x:numFmt numFmtId="164" formatCode="0.0"/>
    <x:numFmt numFmtId="165" formatCode="0.00_ "/>
    <x:numFmt numFmtId="166" formatCode="#,##0&quot;w&quot;"/>
    <x:numFmt numFmtId="167" formatCode="#,##0&quot;~&quot;"/>
    <x:numFmt numFmtId="168" formatCode="#,##0_);[Red]\(#,##0\)"/>
    <x:numFmt numFmtId="169" formatCode="0_ "/>
    <x:numFmt numFmtId="170" formatCode="#.##"/>
    <x:numFmt numFmtId="171" formatCode="_-* #,##0.000_-;\-* #,##0.000_-;_-* &quot;-&quot;_-;_-@_-"/>
    <x:numFmt numFmtId="172" formatCode="0.##"/>
  </x:numFmts>
  <x:fonts count="12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돋움"/>
      <x:sz val="11"/>
      <x:color rgb="ff000000"/>
    </x:font>
    <mc:AlternateContent xmlns:mc="http://schemas.openxmlformats.org/markup-compatibility/2006">
      <mc:Choice xmlns:hs="http://schemas.haansoft.com/office/spreadsheet/8.0" Requires="hs">
        <x:font hs:extension="1">
          <x:name val="Arial"/>
          <x:sz val="10"/>
          <x:color rgb="ff000000"/>
          <hs:size val="100"/>
          <hs:ratio val="100"/>
          <hs:spacing val="0"/>
          <hs:offset val="0"/>
        </x:font>
      </mc:Choice>
      <mc:Fallback>
        <x:font>
          <x:name val="Arial"/>
          <x:sz val="10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Arial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Arial"/>
          <x:sz val="9"/>
          <x:color rgb="ff000000"/>
        </x:font>
      </mc:Fallback>
    </mc:AlternateContent>
    <x:font>
      <x:name val="맑은 고딕"/>
      <x:sz val="10"/>
      <x:color rgb="ff000000"/>
    </x:font>
    <x:font>
      <x:name val="맑은 고딕"/>
      <x:sz val="11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</x:font>
      </mc:Fallback>
    </mc:AlternateContent>
  </x:fonts>
  <x:fills count="4">
    <x:fill>
      <x:patternFill patternType="none"/>
    </x:fill>
    <x:fill>
      <x:patternFill patternType="gray125"/>
    </x:fill>
    <x:fill>
      <x:patternFill patternType="solid">
        <x:fgColor rgb="ffffff00"/>
        <x:bgColor indexed="64"/>
      </x:patternFill>
    </x:fill>
    <x:fill>
      <x:patternFill patternType="solid">
        <x:fgColor rgb="fff2f2f2"/>
        <x:bgColor indexed="64"/>
      </x:patternFill>
    </x:fill>
  </x:fills>
  <x:borders count="10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 style="thin">
        <x:color rgb="ffffffff"/>
      </x:left>
      <x:right style="thin">
        <x:color rgb="ffffffff"/>
      </x:right>
      <x:top style="thin">
        <x:color rgb="ffffffff"/>
      </x:top>
      <x:bottom style="thin">
        <x:color rgb="ffffffff"/>
      </x:bottom>
    </x:border>
    <x:border>
      <x:left style="thin">
        <x:color rgb="ffffffff"/>
      </x:left>
      <x:right style="thin">
        <x:color rgb="ffffffff"/>
      </x:right>
      <x:top>
        <x:color auto="1"/>
      </x:top>
      <x:bottom style="thin">
        <x:color rgb="ffffffff"/>
      </x:bottom>
    </x:border>
    <x:border>
      <x:left style="thin">
        <x:color auto="1"/>
      </x:left>
      <x:right style="thin">
        <x:color auto="1"/>
      </x:right>
      <x:top>
        <x:color auto="1"/>
      </x:top>
      <x:bottom>
        <x:color auto="1"/>
      </x:bottom>
    </x:border>
    <x:border>
      <x:left>
        <x:color auto="1"/>
      </x:left>
      <x:right>
        <x:color auto="1"/>
      </x:right>
      <x:top>
        <x:color auto="1"/>
      </x:top>
      <x:bottom style="thin">
        <x:color auto="1"/>
      </x:bottom>
    </x:border>
    <x:border>
      <x:left>
        <x:color auto="1"/>
      </x:left>
      <x:right style="thin">
        <x:color auto="1"/>
      </x:right>
      <x:top>
        <x:color auto="1"/>
      </x:top>
      <x:bottom>
        <x:color auto="1"/>
      </x:bottom>
    </x:border>
    <x:border>
      <x:left style="thin">
        <x:color auto="1"/>
      </x:left>
      <x:right>
        <x:color auto="1"/>
      </x:right>
      <x:top style="thin">
        <x:color auto="1"/>
      </x:top>
      <x:bottom style="thin">
        <x:color auto="1"/>
      </x:bottom>
    </x:border>
    <x:border>
      <x:left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>
        <x:color auto="1"/>
      </x:left>
      <x:right>
        <x:color auto="1"/>
      </x:right>
      <x:top style="thin">
        <x:color auto="1"/>
      </x:top>
      <x:bottom style="thin">
        <x:color auto="1"/>
      </x:bottom>
    </x:border>
  </x:borders>
  <x:cellStyleXfs count="7">
    <x:xf numFmtId="0" fontId="0" fillId="0" borderId="0">
      <x:alignment horizontal="general" vertical="center"/>
    </x:xf>
    <x:xf numFmtId="9" fontId="0" fillId="0" borderId="0" applyFont="1" applyFill="1" applyBorder="1" applyAlignment="1" applyProtection="1">
      <x:alignment horizontal="general" vertical="center"/>
    </x:xf>
    <x:xf numFmtId="41" fontId="0" fillId="0" borderId="0" applyFont="1" applyFill="1" applyBorder="1" applyAlignment="1" applyProtection="1">
      <x:alignment horizontal="general" vertical="center"/>
    </x:xf>
    <x:xf numFmtId="0" fontId="6" fillId="0" borderId="0">
      <x:alignment horizontal="general" vertical="center"/>
    </x:xf>
    <x:xf numFmtId="0" fontId="7" fillId="0" borderId="0">
      <x:alignment horizontal="general" vertical="bottom"/>
    </x:xf>
    <x:xf numFmtId="41" fontId="0" fillId="0" borderId="0">
      <x:alignment horizontal="general" vertical="center"/>
    </x:xf>
    <x:xf numFmtId="0" fontId="6" fillId="0" borderId="0">
      <x:alignment horizontal="general" vertical="bottom"/>
    </x:xf>
  </x:cellStyleXfs>
  <x:cellXfs count="89">
    <x:xf numFmtId="0" fontId="0" fillId="0" borderId="0" xfId="0" applyNumberFormat="1">
      <x:alignment horizontal="general" vertical="center"/>
    </x:xf>
    <x:xf numFmtId="0" fontId="0" fillId="0" borderId="1" xfId="0" applyNumberFormat="1" applyBorder="1">
      <x:alignment horizontal="general" vertical="center"/>
    </x:xf>
    <x:xf numFmtId="41" fontId="0" fillId="0" borderId="1" xfId="2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0" borderId="1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1" xfId="2" applyNumberFormat="1" applyFont="1" applyBorder="1" applyAlignment="1">
          <x:alignment horizontal="center" vertical="center"/>
        </x:xf>
      </mc:Fallback>
    </mc:AlternateContent>
    <x:xf numFmtId="41" fontId="0" fillId="0" borderId="1" xfId="0" applyNumberFormat="1" applyBorder="1">
      <x:alignment horizontal="general" vertical="center"/>
    </x:xf>
    <x:xf numFmtId="0" fontId="0" fillId="0" borderId="0" xfId="0" applyNumberForma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2" xfId="4" applyNumberFormat="1" applyFont="1" applyBorder="1" applyAlignment="1" applyProtection="1" hs:applyExtension="1">
          <x:alignment horizontal="general" vertical="top" wrapText="1" readingOrder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2" xfId="4" applyNumberFormat="1" applyFont="1" applyBorder="1" applyAlignment="1" applyProtection="1">
          <x:alignment horizontal="general" vertical="top" wrapText="1" readingOrder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3" xfId="4" applyNumberFormat="1" applyFont="1" applyBorder="1" applyAlignment="1" applyProtection="1" hs:applyExtension="1">
          <x:alignment horizontal="general" vertical="top" wrapText="1" readingOrder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3" xfId="4" applyNumberFormat="1" applyFont="1" applyBorder="1" applyAlignment="1" applyProtection="1">
          <x:alignment horizontal="general" vertical="top" wrapText="1" readingOrder="1"/>
          <x:protection locked="0"/>
        </x:xf>
      </mc:Fallback>
    </mc:AlternateContent>
    <x:xf numFmtId="0" fontId="9" fillId="0" borderId="0" xfId="0" applyNumberFormat="1" applyFont="1">
      <x:alignment horizontal="general" vertical="center"/>
    </x:xf>
    <x:xf numFmtId="0" fontId="10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66" fontId="0" fillId="0" borderId="1" xfId="0" applyNumberForma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1" xfId="0" applyNumberFormat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0" fillId="0" borderId="1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0" fillId="0" borderId="1" xfId="2" applyNumberFormat="1" applyFont="1" applyBorder="1" applyAlignment="1">
          <x:alignment horizontal="center" vertical="center"/>
        </x:xf>
      </mc:Fallback>
    </mc:AlternateContent>
    <x:xf numFmtId="9" fontId="0" fillId="0" borderId="1" xfId="1" applyNumberFormat="1" applyFont="1" applyBorder="1">
      <x:alignment horizontal="general" vertical="center"/>
    </x:xf>
    <x:xf numFmtId="41" fontId="0" fillId="0" borderId="0" xfId="0" applyNumberForma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4" applyNumberFormat="1" applyFont="1" applyBorder="1" applyAlignment="1" applyProtection="1" hs:applyExtension="1">
          <x:alignment horizontal="center" vertical="top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4" applyNumberFormat="1" applyFont="1" applyBorder="1" applyAlignment="1" applyProtection="1">
          <x:alignment horizontal="center" vertical="top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0" fillId="0" borderId="1" xfId="4" applyNumberFormat="1" applyFont="1" applyBorder="1" applyAlignment="1" applyProtection="1" hs:applyExtension="1">
          <x:alignment horizontal="center" vertical="top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0" fillId="0" borderId="1" xfId="4" applyNumberFormat="1" applyFont="1" applyBorder="1" applyAlignment="1" applyProtection="1">
          <x:alignment horizontal="center" vertical="top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0" fillId="0" borderId="1" xfId="1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0" fillId="0" borderId="1" xfId="1" applyNumberFormat="1" applyFont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right" vertical="center"/>
        </x:xf>
      </mc:Fallback>
    </mc:AlternateContent>
    <x:xf numFmtId="14" fontId="0" fillId="0" borderId="0" xfId="0" applyNumberForma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3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3" borderId="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bottom"/>
        </x:xf>
      </mc:Fallback>
    </mc:AlternateContent>
    <x:xf numFmtId="0" fontId="10" fillId="0" borderId="5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5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5" xfId="0" applyNumberFormat="1" applyBorder="1" applyAlignment="1">
          <x:alignment horizontal="center" vertical="center"/>
        </x:xf>
      </mc:Fallback>
    </mc:AlternateContent>
    <x:xf numFmtId="0" fontId="9" fillId="0" borderId="0" xfId="0" applyNumberFormat="1" applyFont="1">
      <x:alignment horizontal="general" vertical="center"/>
    </x:xf>
    <x:xf numFmtId="41" fontId="0" fillId="0" borderId="1" xfId="2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3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3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3" borderId="1" xfId="3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3" borderId="1" xfId="3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1" xfId="3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1" xfId="3" applyNumberFormat="1" applyFont="1" applyBorder="1" applyAlignment="1">
          <x:alignment horizontal="center" vertical="center"/>
        </x:xf>
      </mc:Fallback>
    </mc:AlternateContent>
    <x:xf numFmtId="0" fontId="0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3" borderId="1" xfId="6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3" borderId="1" xfId="6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6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6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0" fillId="0" borderId="1" xfId="6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0" fillId="0" borderId="1" xfId="6" applyNumberFormat="1" applyFont="1" applyBorder="1" applyAlignment="1">
          <x:alignment horizontal="right" vertical="center"/>
        </x:xf>
      </mc:Fallback>
    </mc:AlternateContent>
    <x:xf numFmtId="169" fontId="0" fillId="0" borderId="1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4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5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5" applyNumberFormat="1" applyFont="1" applyFill="1" applyBorder="1" applyAlignment="1">
          <x:alignment horizontal="center" vertical="center"/>
        </x:xf>
      </mc:Fallback>
    </mc:AlternateContent>
    <x:xf numFmtId="0" fontId="0" fillId="0" borderId="1" xfId="0" applyNumberFormat="1" applyBorder="1">
      <x:alignment horizontal="general" vertical="center"/>
    </x:xf>
    <x:xf numFmtId="0" fontId="10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41" fontId="0" fillId="0" borderId="1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1" xfId="2" applyNumberFormat="1" applyFont="1" applyBorder="1" applyAlignment="1">
          <x:alignment horizontal="center" vertical="center"/>
        </x:xf>
      </mc:Fallback>
    </mc:AlternateContent>
    <x:xf numFmtId="41" fontId="0" fillId="0" borderId="0" xfId="2" applyNumberFormat="1" applyFont="1" applyBorder="1">
      <x:alignment horizontal="general" vertical="center"/>
    </x:xf>
    <x:xf numFmtId="0" fontId="9" fillId="0" borderId="1" xfId="0" applyNumberFormat="1" applyFont="1" applyBorder="1">
      <x:alignment horizontal="general" vertical="center"/>
    </x:xf>
    <x:xf numFmtId="0" fontId="10" fillId="0" borderId="1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3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3" borderId="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ill="1" applyBorder="1" applyAlignment="1">
          <x:alignment horizontal="center" vertical="center"/>
        </x:xf>
      </mc:Fallback>
    </mc:AlternateContent>
    <x:xf numFmtId="41" fontId="0" fillId="0" borderId="1" xfId="2" applyNumberFormat="1" applyFont="1" applyFill="1" applyBorder="1">
      <x:alignment horizontal="general" vertical="center"/>
    </x:xf>
    <x:xf numFmtId="0" fontId="0" fillId="2" borderId="1" xfId="0" applyNumberFormat="1" applyFill="1" applyBorder="1">
      <x:alignment horizontal="general" vertical="center"/>
    </x:xf>
    <x:xf numFmtId="0" fontId="10" fillId="0" borderId="0" xfId="6" applyNumberFormat="1" applyFont="1" applyAlignment="1">
      <x:alignment horizontal="left" vertical="center"/>
    </x:xf>
    <x:xf numFmtId="0" fontId="0" fillId="0" borderId="0" xfId="6" applyNumberFormat="1" applyFont="1" applyAlignment="1">
      <x:alignment horizontal="general" vertical="center"/>
    </x:xf>
    <x:xf numFmtId="0" fontId="0" fillId="0" borderId="0" xfId="6" applyNumberFormat="1" applyFont="1" applyAlignment="1">
      <x:alignment horizontal="left" vertical="center"/>
    </x:xf>
    <x:xf numFmtId="0" fontId="0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4" fontId="0" fillId="0" borderId="1" xfId="6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0" borderId="1" xfId="6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ont="1" applyFill="1" applyBorder="1" applyAlignment="1">
          <x:alignment horizontal="center" vertical="center"/>
        </x:xf>
      </mc:Fallback>
    </mc:AlternateContent>
    <x:xf numFmtId="42" fontId="0" fillId="0" borderId="1" xfId="0" applyNumberFormat="1" applyBorder="1">
      <x:alignment horizontal="general" vertical="center"/>
    </x:xf>
    <x:xf numFmtId="0" fontId="10" fillId="0" borderId="0" xfId="0" applyNumberFormat="1" applyFont="1" applyAlignment="1">
      <x:alignment horizontal="left" vertical="center"/>
    </x:xf>
    <x:xf numFmtId="41" fontId="0" fillId="0" borderId="1" xfId="2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0" fillId="3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3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2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9" fillId="3" borderId="1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9" fillId="3" borderId="1" xfId="4" applyNumberFormat="1" applyFont="1" applyFill="1" applyBorder="1" applyAlignment="1">
          <x:alignment horizontal="center" vertical="center"/>
        </x:xf>
      </mc:Fallback>
    </mc:AlternateContent>
    <x:xf numFmtId="171" fontId="0" fillId="0" borderId="1" xfId="2" applyNumberFormat="1" applyFont="1" applyBorder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0" fontId="9" fillId="0" borderId="1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9" fillId="0" borderId="1" xfId="4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9" fillId="0" borderId="1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9" fillId="0" borderId="1" xfId="4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9" fillId="0" borderId="1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9" fillId="0" borderId="1" xfId="4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9" fillId="0" borderId="4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9" fillId="0" borderId="4" xfId="4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5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5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6" xfId="0" applyNumberFormat="1" applyBorder="1" applyAlignment="1" hs:applyExtension="1">
          <x:alignment horizontal="center" vertical="center" textRotation="255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6" xfId="0" applyNumberFormat="1" applyBorder="1" applyAlignment="1">
          <x:alignment horizontal="center" vertical="center" textRotation="255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2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2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7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7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8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8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ill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ill="1" applyBorder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7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7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9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9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8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8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0" fillId="0" borderId="7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0" fillId="0" borderId="7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0" fillId="0" borderId="9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0" fillId="0" borderId="9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0" fillId="0" borderId="8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0" fillId="0" borderId="8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Fill="1" applyBorder="1" applyAlignment="1">
          <x:alignment horizontal="center" vertical="center"/>
        </x:xf>
      </mc:Fallback>
    </mc:AlternateContent>
  </x:cellXfs>
  <x:cellStyles count="7">
    <x:cellStyle name="표준" xfId="0" builtinId="0"/>
    <x:cellStyle name="백분율" xfId="1" builtinId="5"/>
    <x:cellStyle name="쉼표 [0]" xfId="2" builtinId="6"/>
    <x:cellStyle name="표준 2" xfId="3"/>
    <x:cellStyle name="표준 3" xfId="4"/>
    <x:cellStyle name="쉼표 [0] 3" xfId="5"/>
    <x:cellStyle name="표준_Sheet1" xfId="6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Choice>
      <mc:Fallback>
        <x:dxf>
          <x:font>
            <x:color rgb="ff00000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9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microsoft.com/office/2006/relationships/vbaProject" Target="vbaProject.bin"  /></Relationships>
</file>

<file path=xl/drawings/_rels/drawing22.xml.rels><?xml version="1.0" encoding="UTF-8" standalone="yes" ?><Relationships xmlns="http://schemas.openxmlformats.org/package/2006/relationships"><Relationship Id="rId1" Type="http://schemas.openxmlformats.org/officeDocument/2006/relationships/image" Target="../media/image33.png"  /></Relationships>
</file>

<file path=xl/drawings/_rels/drawing23.xml.rels><?xml version="1.0" encoding="UTF-8" standalone="yes" ?><Relationships xmlns="http://schemas.openxmlformats.org/package/2006/relationships"><Relationship Id="rId1" Type="http://schemas.openxmlformats.org/officeDocument/2006/relationships/image" Target="../media/image34.png"  /><Relationship Id="rId2" Type="http://schemas.openxmlformats.org/officeDocument/2006/relationships/image" Target="../media/image35.png"  /></Relationships>
</file>

<file path=xl/drawings/drawing22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10</xdr:col>
      <xdr:colOff>123824</xdr:colOff>
      <xdr:row>1</xdr:row>
      <xdr:rowOff>57150</xdr:rowOff>
    </xdr:from>
    <xdr:to>
      <xdr:col>18</xdr:col>
      <xdr:colOff>400050</xdr:colOff>
      <xdr:row>14</xdr:row>
      <xdr:rowOff>52451</xdr:rowOff>
    </xdr:to>
    <xdr:pic macro="" fPublished="0">
      <xdr:nvPicPr>
        <xdr:cNvPr id="3" name="그림 2"/>
        <xdr:cNvPicPr>
          <a:picLocks noChangeAspect="1"/>
        </xdr:cNvPicPr>
      </xdr:nvPicPr>
      <xdr:blipFill rotWithShape="1">
        <a:blip r:embed="rId1"/>
        <a:stretch>
          <a:fillRect/>
        </a:stretch>
      </xdr:blipFill>
      <xdr:spPr>
        <a:xfrm>
          <a:off x="15678149" y="533400"/>
          <a:ext cx="11525251" cy="54387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 fLocksWithSheet="1" fPrintsWithSheet="1"/>
  </xdr:twoCellAnchor>
</xdr:wsDr>
</file>

<file path=xl/drawings/drawing23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2</xdr:col>
      <xdr:colOff>23876</xdr:colOff>
      <xdr:row>15</xdr:row>
      <xdr:rowOff>4826</xdr:rowOff>
    </xdr:from>
    <xdr:to>
      <xdr:col>2</xdr:col>
      <xdr:colOff>33401</xdr:colOff>
      <xdr:row>15</xdr:row>
      <xdr:rowOff>9525</xdr:rowOff>
    </xdr:to>
    <xdr:pic macro="" fPublished="0">
      <xdr:nvPicPr>
        <xdr:cNvPr id="4" name="잉크 3"/>
        <xdr:cNvPicPr/>
      </xdr:nvPicPr>
      <xdr:blipFill rotWithShape="1">
        <a:blip r:embed="rId1"/>
        <a:stretch>
          <a:fillRect/>
        </a:stretch>
      </xdr:blipFill>
      <xdr:spPr>
        <a:xfrm>
          <a:off x="3632200" y="6299200"/>
          <a:ext cx="19050" cy="635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6</xdr:col>
      <xdr:colOff>0</xdr:colOff>
      <xdr:row>41</xdr:row>
      <xdr:rowOff>76200</xdr:rowOff>
    </xdr:from>
    <xdr:to>
      <xdr:col>6</xdr:col>
      <xdr:colOff>14351</xdr:colOff>
      <xdr:row>41</xdr:row>
      <xdr:rowOff>85724</xdr:rowOff>
    </xdr:to>
    <xdr:pic macro="" fPublished="0">
      <xdr:nvPicPr>
        <xdr:cNvPr id="2" name="잉크 1"/>
        <xdr:cNvPicPr/>
      </xdr:nvPicPr>
      <xdr:blipFill rotWithShape="1">
        <a:blip r:embed="rId2"/>
        <a:stretch>
          <a:fillRect/>
        </a:stretch>
      </xdr:blipFill>
      <xdr:spPr>
        <a:xfrm>
          <a:off x="10744200" y="17335500"/>
          <a:ext cx="31750" cy="19050"/>
        </a:xfrm>
        <a:prstGeom prst="rect">
          <a:avLst/>
        </a:prstGeom>
      </xdr:spPr>
    </xdr:pic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</a:theme>
</file>

<file path=xl/worksheets/_rels/sheet2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22.xml"  /></Relationships>
</file>

<file path=xl/worksheets/_rels/sheet3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23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N41"/>
  <x:sheetViews>
    <x:sheetView topLeftCell="A22" zoomScaleNormal="100" zoomScaleSheetLayoutView="75" workbookViewId="0">
      <x:selection activeCell="K43" activeCellId="0" sqref="K43:K43"/>
    </x:sheetView>
  </x:sheetViews>
  <x:sheetFormatPr defaultColWidth="9" defaultRowHeight="16.39999999999999857891"/>
  <x:cols>
    <x:col min="1" max="5" width="10.5" customWidth="1"/>
    <x:col min="6" max="6" width="5.25" customWidth="1"/>
    <x:col min="7" max="8" width="10" bestFit="1" customWidth="1"/>
    <x:col min="9" max="9" width="9.875" customWidth="1"/>
    <x:col min="10" max="10" width="11.875" customWidth="1"/>
    <x:col min="11" max="11" width="9.25" customWidth="1"/>
    <x:col min="12" max="12" width="13.75" bestFit="1" customWidth="1"/>
    <x:col min="13" max="13" width="27.25" bestFit="1" customWidth="1"/>
    <x:col min="14" max="14" width="14.125" bestFit="1" customWidth="1"/>
  </x:cols>
  <x:sheetData>
    <x:row r="1" spans="1:1">
      <x:c r="A1" t="s">
        <x:v>76</x:v>
      </x:c>
    </x:row>
    <x:row r="2" spans="1:11">
      <x:c r="A2" s="50" t="s">
        <x:v>78</x:v>
      </x:c>
      <x:c r="B2" s="50" t="s">
        <x:v>23</x:v>
      </x:c>
      <x:c r="C2" s="50" t="s">
        <x:v>25</x:v>
      </x:c>
      <x:c r="D2" s="3" t="s">
        <x:v>245</x:v>
      </x:c>
      <x:c r="G2" t="s">
        <x:v>253</x:v>
      </x:c>
      <x:c r="H2" s="73" t="s">
        <x:v>25</x:v>
      </x:c>
      <x:c r="I2" s="73"/>
      <x:c r="J2" s="73"/>
      <x:c r="K2" s="73"/>
    </x:row>
    <x:row r="3" spans="1:13" ht="16.89999999999999857891" customHeight="1">
      <x:c r="A3" s="4" t="s">
        <x:v>254</x:v>
      </x:c>
      <x:c r="B3" s="4" t="s">
        <x:v>61</x:v>
      </x:c>
      <x:c r="C3" s="4" t="s">
        <x:v>51</x:v>
      </x:c>
      <x:c r="D3" s="2">
        <x:f>IF(C3="부산",VLOOKUP(B3,$G$4:$K$7,MATCH(C3,$H$3:$K$3,0)+1,0)*80%,VLOOKUP(B3,$G$4:$K$7,MATCH(C3,$H$3:$K$3,0)+1,0))</x:f>
        <x:v>5000</x:v>
      </x:c>
      <x:c r="G3" s="4" t="s">
        <x:v>25</x:v>
      </x:c>
      <x:c r="H3" s="50" t="s">
        <x:v>51</x:v>
      </x:c>
      <x:c r="I3" s="50" t="s">
        <x:v>61</x:v>
      </x:c>
      <x:c r="J3" s="50" t="s">
        <x:v>49</x:v>
      </x:c>
      <x:c r="K3" s="50" t="s">
        <x:v>50</x:v>
      </x:c>
      <x:c r="M3">
        <x:f>MATCH("부산",H3:K3,0)</x:f>
        <x:v>3</x:v>
      </x:c>
    </x:row>
    <x:row r="4" spans="1:13">
      <x:c r="A4" s="4" t="s">
        <x:v>251</x:v>
      </x:c>
      <x:c r="B4" s="4" t="s">
        <x:v>51</x:v>
      </x:c>
      <x:c r="C4" s="4" t="s">
        <x:v>49</x:v>
      </x:c>
      <x:c r="D4" s="2">
        <x:f t="shared" ref="D4:D12" si="0">IF(C4="부산",VLOOKUP(B4,$G$4:$K$7,MATCH(C4,$H$3:$K$3,0)+1,0)*80%,VLOOKUP(B4,$G$4:$K$7,MATCH(C4,$H$3:$K$3,0)+1,0))</x:f>
        <x:v>4800</x:v>
      </x:c>
      <x:c r="F4" s="74" t="s">
        <x:v>23</x:v>
      </x:c>
      <x:c r="G4" s="4" t="s">
        <x:v>51</x:v>
      </x:c>
      <x:c r="H4" s="7">
        <x:v>0</x:v>
      </x:c>
      <x:c r="I4" s="8">
        <x:v>5000</x:v>
      </x:c>
      <x:c r="J4" s="8">
        <x:v>6000</x:v>
      </x:c>
      <x:c r="K4" s="8">
        <x:v>10000</x:v>
      </x:c>
      <x:c r="M4">
        <x:f>MATCH("경주",G4:G7,0)</x:f>
        <x:v>2</x:v>
      </x:c>
    </x:row>
    <x:row r="5" spans="1:11">
      <x:c r="A5" s="4" t="s">
        <x:v>257</x:v>
      </x:c>
      <x:c r="B5" s="4" t="s">
        <x:v>61</x:v>
      </x:c>
      <x:c r="C5" s="4" t="s">
        <x:v>50</x:v>
      </x:c>
      <x:c r="D5" s="2">
        <x:f t="shared" si="0"/>
        <x:v>7000</x:v>
      </x:c>
      <x:c r="F5" s="74"/>
      <x:c r="G5" s="4" t="s">
        <x:v>61</x:v>
      </x:c>
      <x:c r="H5" s="8">
        <x:v>5000</x:v>
      </x:c>
      <x:c r="I5" s="8">
        <x:v>0</x:v>
      </x:c>
      <x:c r="J5" s="8">
        <x:v>3000</x:v>
      </x:c>
      <x:c r="K5" s="8">
        <x:v>7000</x:v>
      </x:c>
    </x:row>
    <x:row r="6" spans="1:11">
      <x:c r="A6" s="4" t="s">
        <x:v>252</x:v>
      </x:c>
      <x:c r="B6" s="4" t="s">
        <x:v>51</x:v>
      </x:c>
      <x:c r="C6" s="4" t="s">
        <x:v>61</x:v>
      </x:c>
      <x:c r="D6" s="2">
        <x:f t="shared" si="0"/>
        <x:v>5000</x:v>
      </x:c>
      <x:c r="F6" s="74"/>
      <x:c r="G6" s="4" t="s">
        <x:v>49</x:v>
      </x:c>
      <x:c r="H6" s="8">
        <x:v>6000</x:v>
      </x:c>
      <x:c r="I6" s="8">
        <x:v>3000</x:v>
      </x:c>
      <x:c r="J6" s="8">
        <x:v>0</x:v>
      </x:c>
      <x:c r="K6" s="8">
        <x:v>11000</x:v>
      </x:c>
    </x:row>
    <x:row r="7" spans="1:11">
      <x:c r="A7" s="4" t="s">
        <x:v>255</x:v>
      </x:c>
      <x:c r="B7" s="4" t="s">
        <x:v>51</x:v>
      </x:c>
      <x:c r="C7" s="4" t="s">
        <x:v>49</x:v>
      </x:c>
      <x:c r="D7" s="2">
        <x:f t="shared" si="0"/>
        <x:v>4800</x:v>
      </x:c>
      <x:c r="F7" s="74"/>
      <x:c r="G7" s="4" t="s">
        <x:v>50</x:v>
      </x:c>
      <x:c r="H7" s="8">
        <x:v>10000</x:v>
      </x:c>
      <x:c r="I7" s="8">
        <x:v>7000</x:v>
      </x:c>
      <x:c r="J7" s="8">
        <x:v>11000</x:v>
      </x:c>
      <x:c r="K7" s="8">
        <x:v>0</x:v>
      </x:c>
    </x:row>
    <x:row r="8" spans="1:4">
      <x:c r="A8" s="4" t="s">
        <x:v>258</x:v>
      </x:c>
      <x:c r="B8" s="4" t="s">
        <x:v>49</x:v>
      </x:c>
      <x:c r="C8" s="4" t="s">
        <x:v>51</x:v>
      </x:c>
      <x:c r="D8" s="2">
        <x:f t="shared" si="0"/>
        <x:v>6000</x:v>
      </x:c>
    </x:row>
    <x:row r="9" spans="1:4">
      <x:c r="A9" s="4" t="s">
        <x:v>256</x:v>
      </x:c>
      <x:c r="B9" s="4" t="s">
        <x:v>51</x:v>
      </x:c>
      <x:c r="C9" s="4" t="s">
        <x:v>49</x:v>
      </x:c>
      <x:c r="D9" s="2">
        <x:f t="shared" si="0"/>
        <x:v>4800</x:v>
      </x:c>
    </x:row>
    <x:row r="10" spans="1:4">
      <x:c r="A10" s="4" t="s">
        <x:v>259</x:v>
      </x:c>
      <x:c r="B10" s="4" t="s">
        <x:v>49</x:v>
      </x:c>
      <x:c r="C10" s="4" t="s">
        <x:v>50</x:v>
      </x:c>
      <x:c r="D10" s="2">
        <x:f t="shared" si="0"/>
        <x:v>11000</x:v>
      </x:c>
    </x:row>
    <x:row r="11" spans="1:4">
      <x:c r="A11" s="4" t="s">
        <x:v>260</x:v>
      </x:c>
      <x:c r="B11" s="4" t="s">
        <x:v>51</x:v>
      </x:c>
      <x:c r="C11" s="4" t="s">
        <x:v>61</x:v>
      </x:c>
      <x:c r="D11" s="2">
        <x:f t="shared" si="0"/>
        <x:v>5000</x:v>
      </x:c>
    </x:row>
    <x:row r="12" spans="1:4">
      <x:c r="A12" s="4" t="s">
        <x:v>261</x:v>
      </x:c>
      <x:c r="B12" s="4" t="s">
        <x:v>50</x:v>
      </x:c>
      <x:c r="C12" s="4" t="s">
        <x:v>51</x:v>
      </x:c>
      <x:c r="D12" s="2">
        <x:f t="shared" si="0"/>
        <x:v>10000</x:v>
      </x:c>
    </x:row>
    <x:row r="13" spans="11:11">
      <x:c r="K13" t="s">
        <x:v>83</x:v>
      </x:c>
    </x:row>
    <x:row r="14" spans="1:14">
      <x:c r="A14" s="9" t="s">
        <x:v>85</x:v>
      </x:c>
      <x:c r="K14" s="50" t="s">
        <x:v>42</x:v>
      </x:c>
      <x:c r="L14" s="50" t="s">
        <x:v>265</x:v>
      </x:c>
      <x:c r="M14" s="50" t="s">
        <x:v>172</x:v>
      </x:c>
      <x:c r="N14" s="3" t="s">
        <x:v>129</x:v>
      </x:c>
    </x:row>
    <x:row r="15" spans="1:14">
      <x:c r="A15" s="50" t="s">
        <x:v>79</x:v>
      </x:c>
      <x:c r="B15" s="50" t="s">
        <x:v>32</x:v>
      </x:c>
      <x:c r="C15" s="50" t="s">
        <x:v>54</x:v>
      </x:c>
      <x:c r="D15" s="50" t="s">
        <x:v>27</x:v>
      </x:c>
      <x:c r="E15" s="50" t="s">
        <x:v>264</x:v>
      </x:c>
      <x:c r="K15" s="4" t="s">
        <x:v>36</x:v>
      </x:c>
      <x:c r="L15" s="4" t="s">
        <x:v>366</x:v>
      </x:c>
      <x:c r="M15" t="s">
        <x:v>453</x:v>
      </x:c>
      <x:c r="N15" s="1" t="str">
        <x:f>MID(M15,1,SEARCH("@",M15)-1)</x:f>
        <x:v>lionking123</x:v>
      </x:c>
    </x:row>
    <x:row r="16" spans="1:14">
      <x:c r="A16" s="4">
        <x:v>20191732</x:v>
      </x:c>
      <x:c r="B16" s="4" t="s">
        <x:v>243</x:v>
      </x:c>
      <x:c r="C16" s="4" t="s">
        <x:v>55</x:v>
      </x:c>
      <x:c r="D16" s="4" t="s">
        <x:v>30</x:v>
      </x:c>
      <x:c r="E16" s="4">
        <x:v>42.25</x:v>
      </x:c>
      <x:c r="K16" s="4" t="s">
        <x:v>143</x:v>
      </x:c>
      <x:c r="L16" s="4" t="s">
        <x:v>364</x:v>
      </x:c>
      <x:c r="M16" t="s">
        <x:v>457</x:v>
      </x:c>
      <x:c r="N16" s="1" t="str">
        <x:f t="shared" ref="N16:N24" si="1">MID(M16,1,SEARCH("@",M16)-1)</x:f>
        <x:v>crodcdiledundy</x:v>
      </x:c>
    </x:row>
    <x:row r="17" spans="1:14">
      <x:c r="A17" s="4">
        <x:v>20191733</x:v>
      </x:c>
      <x:c r="B17" s="4" t="s">
        <x:v>247</x:v>
      </x:c>
      <x:c r="C17" s="4" t="s">
        <x:v>48</x:v>
      </x:c>
      <x:c r="D17" s="4" t="s">
        <x:v>244</x:v>
      </x:c>
      <x:c r="E17" s="4">
        <x:v>83.329999999999998</x:v>
      </x:c>
      <x:c r="K17" s="4" t="s">
        <x:v>142</x:v>
      </x:c>
      <x:c r="L17" s="4" t="s">
        <x:v>358</x:v>
      </x:c>
      <x:c r="M17" s="1" t="s">
        <x:v>449</x:v>
      </x:c>
      <x:c r="N17" s="1" t="str">
        <x:f t="shared" si="1"/>
        <x:v>missioncc</x:v>
      </x:c>
    </x:row>
    <x:row r="18" spans="1:14">
      <x:c r="A18" s="4">
        <x:v>20191734</x:v>
      </x:c>
      <x:c r="B18" s="4" t="s">
        <x:v>248</x:v>
      </x:c>
      <x:c r="C18" s="4" t="s">
        <x:v>55</x:v>
      </x:c>
      <x:c r="D18" s="4" t="s">
        <x:v>244</x:v>
      </x:c>
      <x:c r="E18" s="4">
        <x:v>54.119999999999997</x:v>
      </x:c>
      <x:c r="K18" s="4" t="s">
        <x:v>126</x:v>
      </x:c>
      <x:c r="L18" s="4" t="s">
        <x:v>359</x:v>
      </x:c>
      <x:c r="M18" s="1" t="s">
        <x:v>450</x:v>
      </x:c>
      <x:c r="N18" s="1" t="str">
        <x:f t="shared" si="1"/>
        <x:v>yiwonki0179</x:v>
      </x:c>
    </x:row>
    <x:row r="19" spans="1:14">
      <x:c r="A19" s="4">
        <x:v>20191735</x:v>
      </x:c>
      <x:c r="B19" s="4" t="s">
        <x:v>249</x:v>
      </x:c>
      <x:c r="C19" s="4" t="s">
        <x:v>60</x:v>
      </x:c>
      <x:c r="D19" s="4" t="s">
        <x:v>30</x:v>
      </x:c>
      <x:c r="E19" s="4">
        <x:v>56.43</x:v>
      </x:c>
      <x:c r="K19" s="4" t="s">
        <x:v>39</x:v>
      </x:c>
      <x:c r="L19" s="4" t="s">
        <x:v>362</x:v>
      </x:c>
      <x:c r="M19" s="1" t="s">
        <x:v>460</x:v>
      </x:c>
      <x:c r="N19" s="1" t="str">
        <x:f t="shared" si="1"/>
        <x:v>crocodile0802</x:v>
      </x:c>
    </x:row>
    <x:row r="20" spans="1:14">
      <x:c r="A20" s="4">
        <x:v>20191736</x:v>
      </x:c>
      <x:c r="B20" s="4" t="s">
        <x:v>246</x:v>
      </x:c>
      <x:c r="C20" s="4" t="s">
        <x:v>48</x:v>
      </x:c>
      <x:c r="D20" s="4" t="s">
        <x:v>244</x:v>
      </x:c>
      <x:c r="E20" s="4">
        <x:v>67.120000000000005</x:v>
      </x:c>
      <x:c r="K20" s="4" t="s">
        <x:v>147</x:v>
      </x:c>
      <x:c r="L20" s="4" t="s">
        <x:v>361</x:v>
      </x:c>
      <x:c r="M20" s="1" t="s">
        <x:v>455</x:v>
      </x:c>
      <x:c r="N20" s="1" t="str">
        <x:f t="shared" si="1"/>
        <x:v>angelgiraffe</x:v>
      </x:c>
    </x:row>
    <x:row r="21" spans="1:14">
      <x:c r="A21" s="4">
        <x:v>20191737</x:v>
      </x:c>
      <x:c r="B21" s="4" t="s">
        <x:v>250</x:v>
      </x:c>
      <x:c r="C21" s="4" t="s">
        <x:v>48</x:v>
      </x:c>
      <x:c r="D21" s="4" t="s">
        <x:v>244</x:v>
      </x:c>
      <x:c r="E21" s="4">
        <x:v>88.150000000000006</x:v>
      </x:c>
      <x:c r="K21" s="4" t="s">
        <x:v>132</x:v>
      </x:c>
      <x:c r="L21" s="4" t="s">
        <x:v>365</x:v>
      </x:c>
      <x:c r="M21" s="1" t="s">
        <x:v>452</x:v>
      </x:c>
      <x:c r="N21" s="1" t="str">
        <x:f t="shared" si="1"/>
        <x:v>dolphinlove</x:v>
      </x:c>
    </x:row>
    <x:row r="22" spans="1:14">
      <x:c r="A22" s="4">
        <x:v>20191738</x:v>
      </x:c>
      <x:c r="B22" s="4" t="s">
        <x:v>146</x:v>
      </x:c>
      <x:c r="C22" s="4" t="s">
        <x:v>55</x:v>
      </x:c>
      <x:c r="D22" s="4" t="s">
        <x:v>30</x:v>
      </x:c>
      <x:c r="E22" s="4">
        <x:v>91.129999999999995</x:v>
      </x:c>
      <x:c r="G22" s="50" t="s">
        <x:v>54</x:v>
      </x:c>
      <x:c r="H22" s="50" t="s">
        <x:v>27</x:v>
      </x:c>
      <x:c r="K22" s="4" t="s">
        <x:v>136</x:v>
      </x:c>
      <x:c r="L22" s="4" t="s">
        <x:v>357</x:v>
      </x:c>
      <x:c r="M22" s="1" t="s">
        <x:v>456</x:v>
      </x:c>
      <x:c r="N22" s="1" t="str">
        <x:f t="shared" si="1"/>
        <x:v>supersonnylove</x:v>
      </x:c>
    </x:row>
    <x:row r="23" spans="1:14">
      <x:c r="A23" s="4">
        <x:v>20191739</x:v>
      </x:c>
      <x:c r="B23" s="4" t="s">
        <x:v>139</x:v>
      </x:c>
      <x:c r="C23" s="4" t="s">
        <x:v>60</x:v>
      </x:c>
      <x:c r="D23" s="4" t="s">
        <x:v>244</x:v>
      </x:c>
      <x:c r="E23" s="4">
        <x:v>53.530000000000001</x:v>
      </x:c>
      <x:c r="G23" s="4" t="s">
        <x:v>60</x:v>
      </x:c>
      <x:c r="H23" s="4" t="s">
        <x:v>244</x:v>
      </x:c>
      <x:c r="K23" s="4" t="s">
        <x:v>40</x:v>
      </x:c>
      <x:c r="L23" s="4" t="s">
        <x:v>370</x:v>
      </x:c>
      <x:c r="M23" s="1" t="s">
        <x:v>371</x:v>
      </x:c>
      <x:c r="N23" s="1" t="str">
        <x:f t="shared" si="1"/>
        <x:v>yiwonki</x:v>
      </x:c>
    </x:row>
    <x:row r="24" spans="1:14">
      <x:c r="A24" s="4">
        <x:v>20191740</x:v>
      </x:c>
      <x:c r="B24" s="4" t="s">
        <x:v>124</x:v>
      </x:c>
      <x:c r="C24" s="4" t="s">
        <x:v>60</x:v>
      </x:c>
      <x:c r="D24" s="4" t="s">
        <x:v>244</x:v>
      </x:c>
      <x:c r="E24" s="4">
        <x:v>75.739999999999995</x:v>
      </x:c>
      <x:c r="K24" s="4" t="s">
        <x:v>31</x:v>
      </x:c>
      <x:c r="L24" s="4" t="s">
        <x:v>368</x:v>
      </x:c>
      <x:c r="M24" s="1" t="s">
        <x:v>372</x:v>
      </x:c>
      <x:c r="N24" s="1" t="str">
        <x:f t="shared" si="1"/>
        <x:v>mission</x:v>
      </x:c>
    </x:row>
    <x:row r="25" spans="1:5">
      <x:c r="A25" s="75" t="s">
        <x:v>458</x:v>
      </x:c>
      <x:c r="B25" s="75"/>
      <x:c r="C25" s="75"/>
      <x:c r="D25" s="75"/>
      <x:c r="E25" s="4">
        <x:f>ROUNDDOWN(DSUM(A15:E24,E15,G22:H23),1)</x:f>
        <x:v>129.19999999999999</x:v>
      </x:c>
    </x:row>
    <x:row r="27" spans="1:7">
      <x:c r="A27" s="9" t="s">
        <x:v>84</x:v>
      </x:c>
      <x:c r="G27" s="5" t="s">
        <x:v>82</x:v>
      </x:c>
    </x:row>
    <x:row r="28" spans="1:11">
      <x:c r="A28" s="50" t="s">
        <x:v>119</x:v>
      </x:c>
      <x:c r="B28" s="50" t="s">
        <x:v>42</x:v>
      </x:c>
      <x:c r="C28" s="50" t="s">
        <x:v>122</x:v>
      </x:c>
      <x:c r="D28" s="50" t="s">
        <x:v>145</x:v>
      </x:c>
      <x:c r="E28" s="50" t="s">
        <x:v>263</x:v>
      </x:c>
      <x:c r="G28" s="50" t="s">
        <x:v>262</x:v>
      </x:c>
      <x:c r="H28" s="50" t="s">
        <x:v>134</x:v>
      </x:c>
      <x:c r="I28" s="50" t="s">
        <x:v>140</x:v>
      </x:c>
      <x:c r="J28" s="50" t="s">
        <x:v>56</x:v>
      </x:c>
      <x:c r="K28" s="3" t="s">
        <x:v>47</x:v>
      </x:c>
    </x:row>
    <x:row r="29" spans="1:11">
      <x:c r="A29" s="4">
        <x:v>202236001</x:v>
      </x:c>
      <x:c r="B29" s="4" t="s">
        <x:v>125</x:v>
      </x:c>
      <x:c r="C29" s="4">
        <x:v>90</x:v>
      </x:c>
      <x:c r="D29" s="4">
        <x:v>65</x:v>
      </x:c>
      <x:c r="E29" s="6">
        <x:v>77.5</x:v>
      </x:c>
      <x:c r="G29" s="10" t="s">
        <x:v>267</x:v>
      </x:c>
      <x:c r="H29" s="19">
        <x:v>813</x:v>
      </x:c>
      <x:c r="I29" s="19">
        <x:v>900</x:v>
      </x:c>
      <x:c r="J29" s="20">
        <x:v>839.09999999999991</x:v>
      </x:c>
      <x:c r="K29" s="4" t="str">
        <x:f>IFERROR(CHOOSE(_xlfn.RANK.EQ(J29,$J$29:$J$38,0),"수석","차석"),"")</x:f>
        <x:v>차석</x:v>
      </x:c>
    </x:row>
    <x:row r="30" spans="1:11">
      <x:c r="A30" s="4">
        <x:v>202236002</x:v>
      </x:c>
      <x:c r="B30" s="4" t="s">
        <x:v>143</x:v>
      </x:c>
      <x:c r="C30" s="4">
        <x:v>55</x:v>
      </x:c>
      <x:c r="D30" s="4">
        <x:v>70</x:v>
      </x:c>
      <x:c r="E30" s="6">
        <x:v>62.5</x:v>
      </x:c>
      <x:c r="G30" s="10" t="s">
        <x:v>266</x:v>
      </x:c>
      <x:c r="H30" s="19">
        <x:v>775</x:v>
      </x:c>
      <x:c r="I30" s="19">
        <x:v>862</x:v>
      </x:c>
      <x:c r="J30" s="20">
        <x:v>801.09999999999991</x:v>
      </x:c>
      <x:c r="K30" s="4" t="str">
        <x:f t="shared" ref="K30:K38" si="2">IFERROR(CHOOSE(_xlfn.RANK.EQ(J30,$J$29:$J$38,0),"수석","차석"),"")</x:f>
        <x:v/>
      </x:c>
    </x:row>
    <x:row r="31" spans="1:11">
      <x:c r="A31" s="4">
        <x:v>202236003</x:v>
      </x:c>
      <x:c r="B31" s="4" t="s">
        <x:v>34</x:v>
      </x:c>
      <x:c r="C31" s="4">
        <x:v>75</x:v>
      </x:c>
      <x:c r="D31" s="4">
        <x:v>75</x:v>
      </x:c>
      <x:c r="E31" s="6">
        <x:v>75</x:v>
      </x:c>
      <x:c r="G31" s="10" t="s">
        <x:v>270</x:v>
      </x:c>
      <x:c r="H31" s="19">
        <x:v>661</x:v>
      </x:c>
      <x:c r="I31" s="19">
        <x:v>850</x:v>
      </x:c>
      <x:c r="J31" s="20">
        <x:v>717.70000000000005</x:v>
      </x:c>
      <x:c r="K31" s="4" t="str">
        <x:f t="shared" si="2"/>
        <x:v/>
      </x:c>
    </x:row>
    <x:row r="32" spans="1:11">
      <x:c r="A32" s="4">
        <x:v>202236004</x:v>
      </x:c>
      <x:c r="B32" s="4" t="s">
        <x:v>36</x:v>
      </x:c>
      <x:c r="C32" s="4">
        <x:v>70</x:v>
      </x:c>
      <x:c r="D32" s="4">
        <x:v>100</x:v>
      </x:c>
      <x:c r="E32" s="6">
        <x:v>85</x:v>
      </x:c>
      <x:c r="G32" s="10" t="s">
        <x:v>273</x:v>
      </x:c>
      <x:c r="H32" s="19">
        <x:v>738</x:v>
      </x:c>
      <x:c r="I32" s="19">
        <x:v>790</x:v>
      </x:c>
      <x:c r="J32" s="20">
        <x:v>753.60000000000002</x:v>
      </x:c>
      <x:c r="K32" s="4" t="str">
        <x:f t="shared" si="2"/>
        <x:v/>
      </x:c>
    </x:row>
    <x:row r="33" spans="1:11">
      <x:c r="A33" s="4">
        <x:v>202236005</x:v>
      </x:c>
      <x:c r="B33" s="4" t="s">
        <x:v>35</x:v>
      </x:c>
      <x:c r="C33" s="4">
        <x:v>75</x:v>
      </x:c>
      <x:c r="D33" s="4">
        <x:v>50</x:v>
      </x:c>
      <x:c r="E33" s="6">
        <x:v>62.5</x:v>
      </x:c>
      <x:c r="G33" s="10" t="s">
        <x:v>268</x:v>
      </x:c>
      <x:c r="H33" s="19">
        <x:v>760</x:v>
      </x:c>
      <x:c r="I33" s="19">
        <x:v>950</x:v>
      </x:c>
      <x:c r="J33" s="20">
        <x:v>817</x:v>
      </x:c>
      <x:c r="K33" s="4" t="str">
        <x:f t="shared" si="2"/>
        <x:v/>
      </x:c>
    </x:row>
    <x:row r="34" spans="1:11">
      <x:c r="A34" s="4">
        <x:v>202236006</x:v>
      </x:c>
      <x:c r="B34" s="4" t="s">
        <x:v>130</x:v>
      </x:c>
      <x:c r="C34" s="4">
        <x:v>85</x:v>
      </x:c>
      <x:c r="D34" s="4">
        <x:v>45</x:v>
      </x:c>
      <x:c r="E34" s="6">
        <x:v>65</x:v>
      </x:c>
      <x:c r="G34" s="10" t="s">
        <x:v>271</x:v>
      </x:c>
      <x:c r="H34" s="19">
        <x:v>885</x:v>
      </x:c>
      <x:c r="I34" s="19">
        <x:v>730</x:v>
      </x:c>
      <x:c r="J34" s="20">
        <x:v>838.5</x:v>
      </x:c>
      <x:c r="K34" s="4" t="str">
        <x:f t="shared" si="2"/>
        <x:v/>
      </x:c>
    </x:row>
    <x:row r="35" spans="1:11">
      <x:c r="A35" s="4">
        <x:v>202236007</x:v>
      </x:c>
      <x:c r="B35" s="4" t="s">
        <x:v>40</x:v>
      </x:c>
      <x:c r="C35" s="4">
        <x:v>60</x:v>
      </x:c>
      <x:c r="D35" s="4">
        <x:v>80</x:v>
      </x:c>
      <x:c r="E35" s="6">
        <x:v>70</x:v>
      </x:c>
      <x:c r="G35" s="10" t="s">
        <x:v>269</x:v>
      </x:c>
      <x:c r="H35" s="19">
        <x:v>850</x:v>
      </x:c>
      <x:c r="I35" s="19">
        <x:v>820</x:v>
      </x:c>
      <x:c r="J35" s="20">
        <x:v>841</x:v>
      </x:c>
      <x:c r="K35" s="4" t="str">
        <x:f t="shared" si="2"/>
        <x:v>수석</x:v>
      </x:c>
    </x:row>
    <x:row r="36" spans="1:11">
      <x:c r="A36" s="4">
        <x:v>202236008</x:v>
      </x:c>
      <x:c r="B36" s="4" t="s">
        <x:v>39</x:v>
      </x:c>
      <x:c r="C36" s="4">
        <x:v>60</x:v>
      </x:c>
      <x:c r="D36" s="4">
        <x:v>85</x:v>
      </x:c>
      <x:c r="E36" s="6">
        <x:v>72.5</x:v>
      </x:c>
      <x:c r="G36" s="10" t="s">
        <x:v>272</x:v>
      </x:c>
      <x:c r="H36" s="19">
        <x:v>769</x:v>
      </x:c>
      <x:c r="I36" s="19">
        <x:v>910</x:v>
      </x:c>
      <x:c r="J36" s="20">
        <x:v>811.29999999999995</x:v>
      </x:c>
      <x:c r="K36" s="4" t="str">
        <x:f t="shared" si="2"/>
        <x:v/>
      </x:c>
    </x:row>
    <x:row r="37" spans="1:11">
      <x:c r="A37" s="4">
        <x:v>202236009</x:v>
      </x:c>
      <x:c r="B37" s="4" t="s">
        <x:v>132</x:v>
      </x:c>
      <x:c r="C37" s="4">
        <x:v>85</x:v>
      </x:c>
      <x:c r="D37" s="4">
        <x:v>70</x:v>
      </x:c>
      <x:c r="E37" s="6">
        <x:v>77.5</x:v>
      </x:c>
      <x:c r="G37" s="10" t="s">
        <x:v>274</x:v>
      </x:c>
      <x:c r="H37" s="19">
        <x:v>813</x:v>
      </x:c>
      <x:c r="I37" s="19">
        <x:v>850</x:v>
      </x:c>
      <x:c r="J37" s="20">
        <x:v>824.09999999999991</x:v>
      </x:c>
      <x:c r="K37" s="4" t="str">
        <x:f t="shared" si="2"/>
        <x:v/>
      </x:c>
    </x:row>
    <x:row r="38" spans="1:11">
      <x:c r="A38" s="4">
        <x:v>202236010</x:v>
      </x:c>
      <x:c r="B38" s="4" t="s">
        <x:v>131</x:v>
      </x:c>
      <x:c r="C38" s="4">
        <x:v>80</x:v>
      </x:c>
      <x:c r="D38" s="4">
        <x:v>60</x:v>
      </x:c>
      <x:c r="E38" s="6">
        <x:v>70</x:v>
      </x:c>
      <x:c r="G38" s="10" t="s">
        <x:v>275</x:v>
      </x:c>
      <x:c r="H38" s="19">
        <x:v>790</x:v>
      </x:c>
      <x:c r="I38" s="19">
        <x:v>888</x:v>
      </x:c>
      <x:c r="J38" s="20">
        <x:v>819.39999999999998</x:v>
      </x:c>
      <x:c r="K38" s="4" t="str">
        <x:f t="shared" si="2"/>
        <x:v/>
      </x:c>
    </x:row>
    <x:row r="39" spans="1:10">
      <x:c r="A39" s="76" t="s">
        <x:v>21</x:v>
      </x:c>
      <x:c r="B39" s="76"/>
      <x:c r="C39" s="76"/>
      <x:c r="D39" s="76"/>
      <x:c r="E39" s="4">
        <x:f>COUNTIFS(C29:C38,"&gt;=70",D29:D38,"&gt;=70",E29:E38,"&gt;="&amp;AVERAGE(E29:E38))</x:f>
        <x:v>3</x:v>
      </x:c>
      <x:c r="I39" s="12"/>
      <x:c r="J39" s="12"/>
    </x:row>
    <x:row r="40" spans="10:10">
      <x:c r="J40" s="11"/>
    </x:row>
    <x:row r="41" spans="10:10">
      <x:c r="J41" s="11"/>
    </x:row>
  </x:sheetData>
  <x:sortState columnSort="0" caseSensitive="0" ref="B3:B12">
    <x:sortCondition descending="0" sortBy="value" ref="B3:B12"/>
  </x:sortState>
  <x:mergeCells count="4">
    <x:mergeCell ref="H2:K2"/>
    <x:mergeCell ref="F4:F7"/>
    <x:mergeCell ref="A25:D25"/>
    <x:mergeCell ref="A39:D39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4294967293" verticalDpi="600" copies="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A1:J31"/>
  <x:sheetViews>
    <x:sheetView topLeftCell="A10" zoomScaleNormal="100" zoomScaleSheetLayoutView="75" workbookViewId="0">
      <x:selection activeCell="E14" activeCellId="0" sqref="E14:E14"/>
    </x:sheetView>
  </x:sheetViews>
  <x:sheetFormatPr defaultColWidth="9" defaultRowHeight="16.39999999999999857891"/>
  <x:cols>
    <x:col min="1" max="9" width="10.25" customWidth="1"/>
  </x:cols>
  <x:sheetData>
    <x:row r="1" spans="1:6">
      <x:c r="A1" t="s">
        <x:v>76</x:v>
      </x:c>
      <x:c r="F1" t="s">
        <x:v>85</x:v>
      </x:c>
    </x:row>
    <x:row r="2" spans="1:9">
      <x:c r="A2" s="50" t="s">
        <x:v>81</x:v>
      </x:c>
      <x:c r="B2" s="50" t="s">
        <x:v>144</x:v>
      </x:c>
      <x:c r="C2" s="50" t="s">
        <x:v>120</x:v>
      </x:c>
      <x:c r="D2" s="3" t="s">
        <x:v>123</x:v>
      </x:c>
      <x:c r="F2" s="50" t="s">
        <x:v>54</x:v>
      </x:c>
      <x:c r="G2" s="50" t="s">
        <x:v>160</x:v>
      </x:c>
      <x:c r="H2" s="50" t="s">
        <x:v>152</x:v>
      </x:c>
      <x:c r="I2" s="50" t="s">
        <x:v>177</x:v>
      </x:c>
    </x:row>
    <x:row r="3" spans="1:10">
      <x:c r="A3" s="4" t="s">
        <x:v>302</x:v>
      </x:c>
      <x:c r="B3" s="4" t="s">
        <x:v>57</x:v>
      </x:c>
      <x:c r="C3" s="4">
        <x:v>114</x:v>
      </x:c>
      <x:c r="D3" s="2">
        <x:f>IF(AND(B3="학교",C3&gt;=120),15000,10000)</x:f>
        <x:v>10000</x:v>
      </x:c>
      <x:c r="F3" s="4" t="s">
        <x:v>173</x:v>
      </x:c>
      <x:c r="G3" s="1">
        <x:v>15</x:v>
      </x:c>
      <x:c r="H3" s="1">
        <x:v>1</x:v>
      </x:c>
      <x:c r="I3" s="2">
        <x:v>75000</x:v>
      </x:c>
      <x:c r="J3" s="18"/>
    </x:row>
    <x:row r="4" spans="1:10">
      <x:c r="A4" s="4" t="s">
        <x:v>284</x:v>
      </x:c>
      <x:c r="B4" s="4" t="s">
        <x:v>149</x:v>
      </x:c>
      <x:c r="C4" s="4">
        <x:v>81</x:v>
      </x:c>
      <x:c r="D4" s="2">
        <x:f t="shared" ref="D4:D10" si="0">IF(AND(B4="학교",C4&gt;=120),15000,10000)</x:f>
        <x:v>10000</x:v>
      </x:c>
      <x:c r="F4" s="4" t="s">
        <x:v>153</x:v>
      </x:c>
      <x:c r="G4" s="1">
        <x:v>20</x:v>
      </x:c>
      <x:c r="H4" s="1">
        <x:v>9</x:v>
      </x:c>
      <x:c r="I4" s="2">
        <x:v>380000</x:v>
      </x:c>
      <x:c r="J4" s="18"/>
    </x:row>
    <x:row r="5" spans="1:10">
      <x:c r="A5" s="4" t="s">
        <x:v>279</x:v>
      </x:c>
      <x:c r="B5" s="4" t="s">
        <x:v>57</x:v>
      </x:c>
      <x:c r="C5" s="4">
        <x:v>150</x:v>
      </x:c>
      <x:c r="D5" s="2">
        <x:f t="shared" si="0"/>
        <x:v>15000</x:v>
      </x:c>
      <x:c r="F5" s="4" t="s">
        <x:v>154</x:v>
      </x:c>
      <x:c r="G5" s="1">
        <x:v>17</x:v>
      </x:c>
      <x:c r="H5" s="1">
        <x:v>15</x:v>
      </x:c>
      <x:c r="I5" s="2">
        <x:v>150000</x:v>
      </x:c>
      <x:c r="J5" s="18"/>
    </x:row>
    <x:row r="6" spans="1:10">
      <x:c r="A6" s="4" t="s">
        <x:v>282</x:v>
      </x:c>
      <x:c r="B6" s="4" t="s">
        <x:v>149</x:v>
      </x:c>
      <x:c r="C6" s="4">
        <x:v>77</x:v>
      </x:c>
      <x:c r="D6" s="2">
        <x:f t="shared" si="0"/>
        <x:v>10000</x:v>
      </x:c>
      <x:c r="F6" s="4" t="s">
        <x:v>179</x:v>
      </x:c>
      <x:c r="G6" s="1">
        <x:v>13</x:v>
      </x:c>
      <x:c r="H6" s="1">
        <x:v>10</x:v>
      </x:c>
      <x:c r="I6" s="2">
        <x:v>40000</x:v>
      </x:c>
      <x:c r="J6" s="18"/>
    </x:row>
    <x:row r="7" spans="1:10">
      <x:c r="A7" s="4" t="s">
        <x:v>286</x:v>
      </x:c>
      <x:c r="B7" s="4" t="s">
        <x:v>57</x:v>
      </x:c>
      <x:c r="C7" s="4">
        <x:v>123</x:v>
      </x:c>
      <x:c r="D7" s="2">
        <x:f t="shared" si="0"/>
        <x:v>15000</x:v>
      </x:c>
      <x:c r="F7" s="4" t="s">
        <x:v>176</x:v>
      </x:c>
      <x:c r="G7" s="1">
        <x:v>15</x:v>
      </x:c>
      <x:c r="H7" s="1">
        <x:v>8</x:v>
      </x:c>
      <x:c r="I7" s="2">
        <x:v>90000</x:v>
      </x:c>
      <x:c r="J7" s="18"/>
    </x:row>
    <x:row r="8" spans="1:10">
      <x:c r="A8" s="4" t="s">
        <x:v>287</x:v>
      </x:c>
      <x:c r="B8" s="4" t="s">
        <x:v>149</x:v>
      </x:c>
      <x:c r="C8" s="4">
        <x:v>43</x:v>
      </x:c>
      <x:c r="D8" s="2">
        <x:f t="shared" si="0"/>
        <x:v>10000</x:v>
      </x:c>
      <x:c r="F8" s="4" t="s">
        <x:v>173</x:v>
      </x:c>
      <x:c r="G8" s="1">
        <x:v>30</x:v>
      </x:c>
      <x:c r="H8" s="1">
        <x:v>9</x:v>
      </x:c>
      <x:c r="I8" s="2">
        <x:v>250000</x:v>
      </x:c>
      <x:c r="J8" s="18"/>
    </x:row>
    <x:row r="9" spans="1:10">
      <x:c r="A9" s="4" t="s">
        <x:v>280</x:v>
      </x:c>
      <x:c r="B9" s="4" t="s">
        <x:v>57</x:v>
      </x:c>
      <x:c r="C9" s="4">
        <x:v>719</x:v>
      </x:c>
      <x:c r="D9" s="2">
        <x:f t="shared" si="0"/>
        <x:v>15000</x:v>
      </x:c>
      <x:c r="F9" s="4" t="s">
        <x:v>155</x:v>
      </x:c>
      <x:c r="G9" s="1">
        <x:v>24</x:v>
      </x:c>
      <x:c r="H9" s="1">
        <x:v>1</x:v>
      </x:c>
      <x:c r="I9" s="2">
        <x:v>150000</x:v>
      </x:c>
      <x:c r="J9" s="18"/>
    </x:row>
    <x:row r="10" spans="1:10">
      <x:c r="A10" s="4" t="s">
        <x:v>278</x:v>
      </x:c>
      <x:c r="B10" s="4" t="s">
        <x:v>57</x:v>
      </x:c>
      <x:c r="C10" s="4">
        <x:v>107</x:v>
      </x:c>
      <x:c r="D10" s="2">
        <x:f t="shared" si="0"/>
        <x:v>10000</x:v>
      </x:c>
      <x:c r="F10" s="4" t="s">
        <x:v>178</x:v>
      </x:c>
      <x:c r="G10" s="1">
        <x:v>29</x:v>
      </x:c>
      <x:c r="H10" s="1">
        <x:v>7</x:v>
      </x:c>
      <x:c r="I10" s="2">
        <x:v>160000</x:v>
      </x:c>
      <x:c r="J10" s="18"/>
    </x:row>
    <x:row r="11" spans="6:9">
      <x:c r="F11" s="75" t="s">
        <x:v>447</x:v>
      </x:c>
      <x:c r="G11" s="75"/>
      <x:c r="H11" s="75"/>
      <x:c r="I11" s="17">
        <x:f>COUNTIFS(I3:I10,"&gt;=100000",I3:I10,"&lt;200000")/COUNT(I3:I10)</x:f>
        <x:v>0.375</x:v>
      </x:c>
    </x:row>
    <x:row r="12" spans="1:2">
      <x:c r="A12" s="13" t="s">
        <x:v>83</x:v>
      </x:c>
      <x:c r="B12" s="14"/>
    </x:row>
    <x:row r="13" spans="1:6">
      <x:c r="A13" s="50" t="s">
        <x:v>161</x:v>
      </x:c>
      <x:c r="B13" s="50" t="s">
        <x:v>297</x:v>
      </x:c>
      <x:c r="C13" s="50" t="s">
        <x:v>289</x:v>
      </x:c>
      <x:c r="D13" s="3" t="s">
        <x:v>133</x:v>
      </x:c>
      <x:c r="F13" t="s">
        <x:v>300</x:v>
      </x:c>
    </x:row>
    <x:row r="14" spans="1:8">
      <x:c r="A14" s="4" t="s">
        <x:v>353</x:v>
      </x:c>
      <x:c r="B14" s="15">
        <x:v>2566</x:v>
      </x:c>
      <x:c r="C14" s="15">
        <x:v>4567</x:v>
      </x:c>
      <x:c r="D14" s="21">
        <x:f>C14*(1-VLOOKUP(C14-B14,$F$15:$H$18,3,1))</x:f>
        <x:v>3196.8999999999996</x:v>
      </x:c>
      <x:c r="F14" s="77" t="s">
        <x:v>281</x:v>
      </x:c>
      <x:c r="G14" s="78"/>
      <x:c r="H14" s="50" t="s">
        <x:v>148</x:v>
      </x:c>
    </x:row>
    <x:row r="15" spans="1:8">
      <x:c r="A15" s="4" t="s">
        <x:v>354</x:v>
      </x:c>
      <x:c r="B15" s="15">
        <x:v>4765</x:v>
      </x:c>
      <x:c r="C15" s="15">
        <x:v>5565</x:v>
      </x:c>
      <x:c r="D15" s="21">
        <x:f t="shared" ref="D15:D20" si="1">C15*(1-VLOOKUP(C15-B15,$F$15:$H$18,3,1))</x:f>
        <x:v>5008.5</x:v>
      </x:c>
      <x:c r="F15" s="16">
        <x:v>0</x:v>
      </x:c>
      <x:c r="G15" s="4">
        <x:v>999</x:v>
      </x:c>
      <x:c r="H15" s="17">
        <x:v>0.10000000000000001</x:v>
      </x:c>
    </x:row>
    <x:row r="16" spans="1:8">
      <x:c r="A16" s="4" t="s">
        <x:v>355</x:v>
      </x:c>
      <x:c r="B16" s="15">
        <x:v>3325</x:v>
      </x:c>
      <x:c r="C16" s="15">
        <x:v>4378</x:v>
      </x:c>
      <x:c r="D16" s="21">
        <x:f t="shared" si="1"/>
        <x:v>3502.4000000000001</x:v>
      </x:c>
      <x:c r="F16" s="16">
        <x:v>1000</x:v>
      </x:c>
      <x:c r="G16" s="4">
        <x:v>1999</x:v>
      </x:c>
      <x:c r="H16" s="17">
        <x:v>0.20000000000000001</x:v>
      </x:c>
    </x:row>
    <x:row r="17" spans="1:8">
      <x:c r="A17" s="4" t="s">
        <x:v>352</x:v>
      </x:c>
      <x:c r="B17" s="15">
        <x:v>6678</x:v>
      </x:c>
      <x:c r="C17" s="15">
        <x:v>11567</x:v>
      </x:c>
      <x:c r="D17" s="21">
        <x:f t="shared" si="1"/>
        <x:v>6940.1999999999998</x:v>
      </x:c>
      <x:c r="F17" s="16">
        <x:v>2000</x:v>
      </x:c>
      <x:c r="G17" s="4">
        <x:v>2000</x:v>
      </x:c>
      <x:c r="H17" s="17">
        <x:v>0.29999999999999999</x:v>
      </x:c>
    </x:row>
    <x:row r="18" spans="1:8">
      <x:c r="A18" s="4" t="s">
        <x:v>351</x:v>
      </x:c>
      <x:c r="B18" s="15">
        <x:v>5689</x:v>
      </x:c>
      <x:c r="C18" s="15">
        <x:v>7734</x:v>
      </x:c>
      <x:c r="D18" s="21">
        <x:f t="shared" si="1"/>
        <x:v>5413.7999999999993</x:v>
      </x:c>
      <x:c r="F18" s="16">
        <x:v>3000</x:v>
      </x:c>
      <x:c r="G18" s="4" t="s">
        <x:v>117</x:v>
      </x:c>
      <x:c r="H18" s="17">
        <x:v>0.40000000000000002</x:v>
      </x:c>
    </x:row>
    <x:row r="19" spans="1:4">
      <x:c r="A19" s="4" t="s">
        <x:v>356</x:v>
      </x:c>
      <x:c r="B19" s="15">
        <x:v>4867</x:v>
      </x:c>
      <x:c r="C19" s="15">
        <x:v>6688</x:v>
      </x:c>
      <x:c r="D19" s="21">
        <x:f t="shared" si="1"/>
        <x:v>5350.4000000000005</x:v>
      </x:c>
    </x:row>
    <x:row r="20" spans="1:4">
      <x:c r="A20" s="4" t="s">
        <x:v>350</x:v>
      </x:c>
      <x:c r="B20" s="15">
        <x:v>6478</x:v>
      </x:c>
      <x:c r="C20" s="15">
        <x:v>6555</x:v>
      </x:c>
      <x:c r="D20" s="21">
        <x:f t="shared" si="1"/>
        <x:v>5899.5</x:v>
      </x:c>
    </x:row>
    <x:row r="22" spans="1:6">
      <x:c r="A22" s="9" t="s">
        <x:v>84</x:v>
      </x:c>
      <x:c r="F22" t="s">
        <x:v>82</x:v>
      </x:c>
    </x:row>
    <x:row r="23" spans="1:9">
      <x:c r="A23" s="50" t="s">
        <x:v>42</x:v>
      </x:c>
      <x:c r="B23" s="50" t="s">
        <x:v>150</x:v>
      </x:c>
      <x:c r="C23" s="50" t="s">
        <x:v>62</x:v>
      </x:c>
      <x:c r="D23" s="50" t="s">
        <x:v>44</x:v>
      </x:c>
      <x:c r="F23" s="50" t="s">
        <x:v>167</x:v>
      </x:c>
      <x:c r="G23" s="50" t="s">
        <x:v>291</x:v>
      </x:c>
      <x:c r="H23" s="50" t="s">
        <x:v>156</x:v>
      </x:c>
      <x:c r="I23" s="3" t="s">
        <x:v>58</x:v>
      </x:c>
    </x:row>
    <x:row r="24" spans="1:9">
      <x:c r="A24" s="4" t="s">
        <x:v>22</x:v>
      </x:c>
      <x:c r="B24" s="4" t="s">
        <x:v>170</x:v>
      </x:c>
      <x:c r="C24" s="4" t="s">
        <x:v>171</x:v>
      </x:c>
      <x:c r="D24" s="4">
        <x:v>85</x:v>
      </x:c>
      <x:c r="F24" s="4" t="s">
        <x:v>141</x:v>
      </x:c>
      <x:c r="G24" s="4" t="s">
        <x:v>162</x:v>
      </x:c>
      <x:c r="H24" s="4">
        <x:v>252</x:v>
      </x:c>
      <x:c r="I24" s="4" t="str">
        <x:f>IFERROR(CHOOSE(_xlfn.RANK.EQ(H24,$H$24:$H$31,0),"나쁨","나쁨","주의"),"보통")</x:f>
        <x:v>나쁨</x:v>
      </x:c>
    </x:row>
    <x:row r="25" spans="1:9">
      <x:c r="A25" s="4" t="s">
        <x:v>38</x:v>
      </x:c>
      <x:c r="B25" s="4" t="s">
        <x:v>151</x:v>
      </x:c>
      <x:c r="C25" s="4" t="s">
        <x:v>159</x:v>
      </x:c>
      <x:c r="D25" s="4">
        <x:v>70</x:v>
      </x:c>
      <x:c r="F25" s="4" t="s">
        <x:v>127</x:v>
      </x:c>
      <x:c r="G25" s="4" t="s">
        <x:v>296</x:v>
      </x:c>
      <x:c r="H25" s="4">
        <x:v>81</x:v>
      </x:c>
      <x:c r="I25" s="4" t="str">
        <x:f t="shared" ref="I25:I31" si="2">IFERROR(CHOOSE(_xlfn.RANK.EQ(H25,$H$24:$H$31,0),"나쁨","나쁨","주의"),"보통")</x:f>
        <x:v>보통</x:v>
      </x:c>
    </x:row>
    <x:row r="26" spans="1:9">
      <x:c r="A26" s="4" t="s">
        <x:v>34</x:v>
      </x:c>
      <x:c r="B26" s="4" t="s">
        <x:v>151</x:v>
      </x:c>
      <x:c r="C26" s="4" t="s">
        <x:v>171</x:v>
      </x:c>
      <x:c r="D26" s="4">
        <x:v>65</x:v>
      </x:c>
      <x:c r="F26" s="4" t="s">
        <x:v>138</x:v>
      </x:c>
      <x:c r="G26" s="4" t="s">
        <x:v>162</x:v>
      </x:c>
      <x:c r="H26" s="4">
        <x:v>75</x:v>
      </x:c>
      <x:c r="I26" s="4" t="str">
        <x:f t="shared" si="2"/>
        <x:v>보통</x:v>
      </x:c>
    </x:row>
    <x:row r="27" spans="1:9">
      <x:c r="A27" s="4" t="s">
        <x:v>64</x:v>
      </x:c>
      <x:c r="B27" s="4" t="s">
        <x:v>170</x:v>
      </x:c>
      <x:c r="C27" s="4" t="s">
        <x:v>159</x:v>
      </x:c>
      <x:c r="D27" s="4">
        <x:v>40</x:v>
      </x:c>
      <x:c r="F27" s="4" t="s">
        <x:v>128</x:v>
      </x:c>
      <x:c r="G27" s="4" t="s">
        <x:v>296</x:v>
      </x:c>
      <x:c r="H27" s="4">
        <x:v>102</x:v>
      </x:c>
      <x:c r="I27" s="4" t="str">
        <x:f t="shared" si="2"/>
        <x:v>주의</x:v>
      </x:c>
    </x:row>
    <x:row r="28" spans="1:9">
      <x:c r="A28" s="4" t="s">
        <x:v>53</x:v>
      </x:c>
      <x:c r="B28" s="4" t="s">
        <x:v>151</x:v>
      </x:c>
      <x:c r="C28" s="4" t="s">
        <x:v>171</x:v>
      </x:c>
      <x:c r="D28" s="4">
        <x:v>90</x:v>
      </x:c>
      <x:c r="F28" s="4" t="s">
        <x:v>137</x:v>
      </x:c>
      <x:c r="G28" s="4" t="s">
        <x:v>162</x:v>
      </x:c>
      <x:c r="H28" s="4">
        <x:v>156</x:v>
      </x:c>
      <x:c r="I28" s="4" t="str">
        <x:f t="shared" si="2"/>
        <x:v>나쁨</x:v>
      </x:c>
    </x:row>
    <x:row r="29" spans="1:9">
      <x:c r="A29" s="4" t="s">
        <x:v>26</x:v>
      </x:c>
      <x:c r="B29" s="4" t="s">
        <x:v>151</x:v>
      </x:c>
      <x:c r="C29" s="4" t="s">
        <x:v>171</x:v>
      </x:c>
      <x:c r="D29" s="4">
        <x:v>65</x:v>
      </x:c>
      <x:c r="F29" s="4" t="s">
        <x:v>135</x:v>
      </x:c>
      <x:c r="G29" s="4" t="s">
        <x:v>290</x:v>
      </x:c>
      <x:c r="H29" s="4">
        <x:v>80</x:v>
      </x:c>
      <x:c r="I29" s="4" t="str">
        <x:f t="shared" si="2"/>
        <x:v>보통</x:v>
      </x:c>
    </x:row>
    <x:row r="30" spans="1:9">
      <x:c r="A30" s="4" t="s">
        <x:v>24</x:v>
      </x:c>
      <x:c r="B30" s="4" t="s">
        <x:v>170</x:v>
      </x:c>
      <x:c r="C30" s="4" t="s">
        <x:v>159</x:v>
      </x:c>
      <x:c r="D30" s="4">
        <x:v>40</x:v>
      </x:c>
      <x:c r="F30" s="4" t="s">
        <x:v>118</x:v>
      </x:c>
      <x:c r="G30" s="4" t="s">
        <x:v>296</x:v>
      </x:c>
      <x:c r="H30" s="4">
        <x:v>77</x:v>
      </x:c>
      <x:c r="I30" s="4" t="str">
        <x:f t="shared" si="2"/>
        <x:v>보통</x:v>
      </x:c>
    </x:row>
    <x:row r="31" spans="1:9">
      <x:c r="A31" s="76" t="s">
        <x:v>448</x:v>
      </x:c>
      <x:c r="B31" s="76"/>
      <x:c r="C31" s="76"/>
      <x:c r="D31" s="4">
        <x:f>ABS(AVERAGEIF(C24:C30,"남자",D24:D30)-AVERAGEIF(C24:C30,"여자",D24:D30))</x:f>
        <x:v>26.25</x:v>
      </x:c>
      <x:c r="F31" s="4" t="s">
        <x:v>121</x:v>
      </x:c>
      <x:c r="G31" s="4" t="s">
        <x:v>296</x:v>
      </x:c>
      <x:c r="H31" s="4">
        <x:v>83</x:v>
      </x:c>
      <x:c r="I31" s="4" t="str">
        <x:f t="shared" si="2"/>
        <x:v>보통</x:v>
      </x:c>
    </x:row>
  </x:sheetData>
  <x:mergeCells count="3">
    <x:mergeCell ref="F14:G14"/>
    <x:mergeCell ref="F11:H11"/>
    <x:mergeCell ref="A31:C31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drawing r:id="rId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A1:L45"/>
  <x:sheetViews>
    <x:sheetView topLeftCell="A31" zoomScale="150" zoomScaleNormal="150" zoomScaleSheetLayoutView="75" workbookViewId="0">
      <x:selection activeCell="C42" activeCellId="0" sqref="C42:C42"/>
    </x:sheetView>
  </x:sheetViews>
  <x:sheetFormatPr defaultColWidth="9" defaultRowHeight="16.39999999999999857891"/>
  <x:cols>
    <x:col min="1" max="1" width="11.375" customWidth="1"/>
    <x:col min="2" max="2" width="12.125" customWidth="1"/>
    <x:col min="3" max="3" width="11.875" customWidth="1"/>
    <x:col min="4" max="4" width="9.75" customWidth="1"/>
    <x:col min="5" max="5" width="13" customWidth="1"/>
    <x:col min="6" max="6" width="12.375" customWidth="1"/>
    <x:col min="7" max="7" width="11.375" customWidth="1"/>
    <x:col min="9" max="9" width="12.625" customWidth="1"/>
    <x:col min="10" max="10" width="14.125" customWidth="1"/>
    <x:col min="11" max="11" width="13.125" customWidth="1"/>
    <x:col min="12" max="12" width="11.25" bestFit="1" customWidth="1"/>
  </x:cols>
  <x:sheetData>
    <x:row r="1" spans="1:11">
      <x:c r="A1" t="s">
        <x:v>76</x:v>
      </x:c>
      <x:c r="B1" s="28" t="s">
        <x:v>378</x:v>
      </x:c>
      <x:c r="C1" s="29"/>
      <x:c r="D1" s="22" t="s">
        <x:v>292</x:v>
      </x:c>
      <x:c r="E1" s="23">
        <x:f ca="1">TODAY()</x:f>
        <x:v>45066</x:v>
      </x:c>
      <x:c r="G1" t="s">
        <x:v>85</x:v>
      </x:c>
      <x:c r="H1" s="28" t="s">
        <x:v>363</x:v>
      </x:c>
      <x:c r="I1" s="29"/>
      <x:c r="J1" s="22"/>
      <x:c r="K1" s="23"/>
    </x:row>
    <x:row r="2" spans="1:12">
      <x:c r="A2" s="24" t="s">
        <x:v>283</x:v>
      </x:c>
      <x:c r="B2" s="24" t="s">
        <x:v>42</x:v>
      </x:c>
      <x:c r="C2" s="24" t="s">
        <x:v>27</x:v>
      </x:c>
      <x:c r="D2" s="24" t="s">
        <x:v>62</x:v>
      </x:c>
      <x:c r="E2" s="51" t="s">
        <x:v>299</x:v>
      </x:c>
      <x:c r="G2" s="24" t="s">
        <x:v>285</x:v>
      </x:c>
      <x:c r="H2" s="24" t="s">
        <x:v>174</x:v>
      </x:c>
      <x:c r="I2" s="24" t="s">
        <x:v>265</x:v>
      </x:c>
      <x:c r="J2" s="24" t="s">
        <x:v>374</x:v>
      </x:c>
      <x:c r="K2" s="51" t="s">
        <x:v>180</x:v>
      </x:c>
      <x:c r="L2" s="25"/>
    </x:row>
    <x:row r="3" spans="1:11">
      <x:c r="A3" s="26" t="s">
        <x:v>373</x:v>
      </x:c>
      <x:c r="B3" s="27" t="s">
        <x:v>163</x:v>
      </x:c>
      <x:c r="C3" s="26" t="s">
        <x:v>157</x:v>
      </x:c>
      <x:c r="D3" s="26" t="s">
        <x:v>65</x:v>
      </x:c>
      <x:c r="E3" s="88">
        <x:f>YEAR($E$1)-IF(MID(A3,4,1)="9",1900,2000)-MID(A3,4,2)</x:f>
        <x:v>28</x:v>
      </x:c>
      <x:c r="G3" s="26" t="s">
        <x:v>50</x:v>
      </x:c>
      <x:c r="H3" s="26" t="s">
        <x:v>164</x:v>
      </x:c>
      <x:c r="I3" s="26" t="s">
        <x:v>360</x:v>
      </x:c>
      <x:c r="J3" s="26">
        <x:v>18</x:v>
      </x:c>
      <x:c r="K3" s="26" t="str">
        <x:f>IF(SUM($J$3:J3)&gt;=100,"흑자","적자")</x:f>
        <x:v>적자</x:v>
      </x:c>
    </x:row>
    <x:row r="4" spans="1:11">
      <x:c r="A4" s="26" t="s">
        <x:v>377</x:v>
      </x:c>
      <x:c r="B4" s="27" t="s">
        <x:v>158</x:v>
      </x:c>
      <x:c r="C4" s="26" t="s">
        <x:v>165</x:v>
      </x:c>
      <x:c r="D4" s="26" t="s">
        <x:v>63</x:v>
      </x:c>
      <x:c r="E4" s="88">
        <x:f t="shared" ref="E4:E12" si="0">YEAR($E$1)-IF(MID(A4,4,1)="9",1900,2000)-MID(A4,4,2)</x:f>
        <x:v>14</x:v>
      </x:c>
      <x:c r="G4" s="26" t="s">
        <x:v>60</x:v>
      </x:c>
      <x:c r="H4" s="26" t="s">
        <x:v>175</x:v>
      </x:c>
      <x:c r="I4" s="26" t="s">
        <x:v>360</x:v>
      </x:c>
      <x:c r="J4" s="26">
        <x:v>30</x:v>
      </x:c>
      <x:c r="K4" s="26" t="str">
        <x:f t="shared" ref="K4:K12" si="1">IF(SUM($J$3:J4)&gt;=100,"흑자","적자")</x:f>
        <x:v>적자</x:v>
      </x:c>
    </x:row>
    <x:row r="5" spans="1:11">
      <x:c r="A5" s="26" t="s">
        <x:v>379</x:v>
      </x:c>
      <x:c r="B5" s="27" t="s">
        <x:v>169</x:v>
      </x:c>
      <x:c r="C5" s="26" t="s">
        <x:v>157</x:v>
      </x:c>
      <x:c r="D5" s="26" t="s">
        <x:v>65</x:v>
      </x:c>
      <x:c r="E5" s="88">
        <x:f t="shared" si="0"/>
        <x:v>12</x:v>
      </x:c>
      <x:c r="G5" s="26" t="s">
        <x:v>166</x:v>
      </x:c>
      <x:c r="H5" s="26" t="s">
        <x:v>168</x:v>
      </x:c>
      <x:c r="I5" s="26" t="s">
        <x:v>360</x:v>
      </x:c>
      <x:c r="J5" s="26">
        <x:v>15</x:v>
      </x:c>
      <x:c r="K5" s="26" t="str">
        <x:f t="shared" si="1"/>
        <x:v>적자</x:v>
      </x:c>
    </x:row>
    <x:row r="6" spans="1:11">
      <x:c r="A6" s="26" t="s">
        <x:v>375</x:v>
      </x:c>
      <x:c r="B6" s="27" t="s">
        <x:v>193</x:v>
      </x:c>
      <x:c r="C6" s="26" t="s">
        <x:v>157</x:v>
      </x:c>
      <x:c r="D6" s="26" t="s">
        <x:v>65</x:v>
      </x:c>
      <x:c r="E6" s="88">
        <x:f t="shared" si="0"/>
        <x:v>16</x:v>
      </x:c>
      <x:c r="G6" s="26" t="s">
        <x:v>166</x:v>
      </x:c>
      <x:c r="H6" s="26" t="s">
        <x:v>196</x:v>
      </x:c>
      <x:c r="I6" s="26" t="s">
        <x:v>360</x:v>
      </x:c>
      <x:c r="J6" s="26">
        <x:v>17</x:v>
      </x:c>
      <x:c r="K6" s="26" t="str">
        <x:f t="shared" si="1"/>
        <x:v>적자</x:v>
      </x:c>
    </x:row>
    <x:row r="7" spans="1:11">
      <x:c r="A7" s="26" t="s">
        <x:v>376</x:v>
      </x:c>
      <x:c r="B7" s="27" t="s">
        <x:v>199</x:v>
      </x:c>
      <x:c r="C7" s="26" t="s">
        <x:v>165</x:v>
      </x:c>
      <x:c r="D7" s="26" t="s">
        <x:v>65</x:v>
      </x:c>
      <x:c r="E7" s="88">
        <x:f t="shared" si="0"/>
        <x:v>25</x:v>
      </x:c>
      <x:c r="G7" s="26" t="s">
        <x:v>50</x:v>
      </x:c>
      <x:c r="H7" s="26" t="s">
        <x:v>181</x:v>
      </x:c>
      <x:c r="I7" s="26" t="s">
        <x:v>360</x:v>
      </x:c>
      <x:c r="J7" s="26">
        <x:v>18</x:v>
      </x:c>
      <x:c r="K7" s="26" t="str">
        <x:f t="shared" si="1"/>
        <x:v>적자</x:v>
      </x:c>
    </x:row>
    <x:row r="8" spans="1:11">
      <x:c r="A8" s="26" t="s">
        <x:v>385</x:v>
      </x:c>
      <x:c r="B8" s="27" t="s">
        <x:v>191</x:v>
      </x:c>
      <x:c r="C8" s="26" t="s">
        <x:v>157</x:v>
      </x:c>
      <x:c r="D8" s="26" t="s">
        <x:v>65</x:v>
      </x:c>
      <x:c r="E8" s="88">
        <x:f t="shared" si="0"/>
        <x:v>10</x:v>
      </x:c>
      <x:c r="G8" s="26" t="s">
        <x:v>60</x:v>
      </x:c>
      <x:c r="H8" s="26" t="s">
        <x:v>184</x:v>
      </x:c>
      <x:c r="I8" s="26" t="s">
        <x:v>360</x:v>
      </x:c>
      <x:c r="J8" s="26">
        <x:v>12</x:v>
      </x:c>
      <x:c r="K8" s="26" t="str">
        <x:f t="shared" si="1"/>
        <x:v>흑자</x:v>
      </x:c>
    </x:row>
    <x:row r="9" spans="1:11">
      <x:c r="A9" s="26" t="s">
        <x:v>382</x:v>
      </x:c>
      <x:c r="B9" s="27" t="s">
        <x:v>205</x:v>
      </x:c>
      <x:c r="C9" s="26" t="s">
        <x:v>157</x:v>
      </x:c>
      <x:c r="D9" s="26" t="s">
        <x:v>63</x:v>
      </x:c>
      <x:c r="E9" s="88">
        <x:f t="shared" si="0"/>
        <x:v>26</x:v>
      </x:c>
      <x:c r="G9" s="26" t="s">
        <x:v>166</x:v>
      </x:c>
      <x:c r="H9" s="26" t="s">
        <x:v>207</x:v>
      </x:c>
      <x:c r="I9" s="26" t="s">
        <x:v>360</x:v>
      </x:c>
      <x:c r="J9" s="26">
        <x:v>20</x:v>
      </x:c>
      <x:c r="K9" s="26" t="str">
        <x:f t="shared" si="1"/>
        <x:v>흑자</x:v>
      </x:c>
    </x:row>
    <x:row r="10" spans="1:11">
      <x:c r="A10" s="26" t="s">
        <x:v>380</x:v>
      </x:c>
      <x:c r="B10" s="27" t="s">
        <x:v>198</x:v>
      </x:c>
      <x:c r="C10" s="26" t="s">
        <x:v>165</x:v>
      </x:c>
      <x:c r="D10" s="26" t="s">
        <x:v>63</x:v>
      </x:c>
      <x:c r="E10" s="88">
        <x:f t="shared" si="0"/>
        <x:v>8</x:v>
      </x:c>
      <x:c r="G10" s="26" t="s">
        <x:v>50</x:v>
      </x:c>
      <x:c r="H10" s="26" t="s">
        <x:v>182</x:v>
      </x:c>
      <x:c r="I10" s="26" t="s">
        <x:v>360</x:v>
      </x:c>
      <x:c r="J10" s="26">
        <x:v>11</x:v>
      </x:c>
      <x:c r="K10" s="26" t="str">
        <x:f t="shared" si="1"/>
        <x:v>흑자</x:v>
      </x:c>
    </x:row>
    <x:row r="11" spans="1:11">
      <x:c r="A11" s="26" t="s">
        <x:v>383</x:v>
      </x:c>
      <x:c r="B11" s="27" t="s">
        <x:v>200</x:v>
      </x:c>
      <x:c r="C11" s="26" t="s">
        <x:v>157</x:v>
      </x:c>
      <x:c r="D11" s="26" t="s">
        <x:v>63</x:v>
      </x:c>
      <x:c r="E11" s="88">
        <x:f t="shared" si="0"/>
        <x:v>30</x:v>
      </x:c>
      <x:c r="G11" s="26" t="s">
        <x:v>60</x:v>
      </x:c>
      <x:c r="H11" s="26" t="s">
        <x:v>192</x:v>
      </x:c>
      <x:c r="I11" s="26" t="s">
        <x:v>360</x:v>
      </x:c>
      <x:c r="J11" s="26">
        <x:v>21</x:v>
      </x:c>
      <x:c r="K11" s="26" t="str">
        <x:f t="shared" si="1"/>
        <x:v>흑자</x:v>
      </x:c>
    </x:row>
    <x:row r="12" spans="1:11">
      <x:c r="A12" s="26" t="s">
        <x:v>381</x:v>
      </x:c>
      <x:c r="B12" s="27" t="s">
        <x:v>197</x:v>
      </x:c>
      <x:c r="C12" s="26" t="s">
        <x:v>157</x:v>
      </x:c>
      <x:c r="D12" s="26" t="s">
        <x:v>65</x:v>
      </x:c>
      <x:c r="E12" s="88">
        <x:f t="shared" si="0"/>
        <x:v>15</x:v>
      </x:c>
      <x:c r="G12" s="26" t="s">
        <x:v>50</x:v>
      </x:c>
      <x:c r="H12" s="26" t="s">
        <x:v>188</x:v>
      </x:c>
      <x:c r="I12" s="26" t="s">
        <x:v>360</x:v>
      </x:c>
      <x:c r="J12" s="26">
        <x:v>22</x:v>
      </x:c>
      <x:c r="K12" s="26" t="str">
        <x:f t="shared" si="1"/>
        <x:v>흑자</x:v>
      </x:c>
    </x:row>
    <x:row r="15" spans="1:11">
      <x:c r="A15" t="s">
        <x:v>83</x:v>
      </x:c>
      <x:c r="B15" s="28" t="s">
        <x:v>384</x:v>
      </x:c>
      <x:c r="C15" s="29"/>
      <x:c r="D15" s="22"/>
      <x:c r="E15" s="23"/>
      <x:c r="G15" t="s">
        <x:v>84</x:v>
      </x:c>
      <x:c r="H15" s="54" t="s">
        <x:v>388</x:v>
      </x:c>
      <x:c r="I15" s="55"/>
      <x:c r="J15" s="56"/>
      <x:c r="K15" s="57"/>
    </x:row>
    <x:row r="16" spans="1:11">
      <x:c r="A16" s="24" t="s">
        <x:v>52</x:v>
      </x:c>
      <x:c r="B16" s="24" t="s">
        <x:v>201</x:v>
      </x:c>
      <x:c r="C16" s="24" t="s">
        <x:v>29</x:v>
      </x:c>
      <x:c r="D16" s="24" t="s">
        <x:v>209</x:v>
      </x:c>
      <x:c r="E16" s="24" t="s">
        <x:v>202</x:v>
      </x:c>
      <x:c r="G16" s="38" t="s">
        <x:v>307</x:v>
      </x:c>
      <x:c r="H16" s="38" t="s">
        <x:v>52</x:v>
      </x:c>
      <x:c r="I16" s="38" t="s">
        <x:v>62</x:v>
      </x:c>
      <x:c r="J16" s="38" t="s">
        <x:v>321</x:v>
      </x:c>
      <x:c r="K16" s="60" t="s">
        <x:v>308</x:v>
      </x:c>
    </x:row>
    <x:row r="17" spans="1:11">
      <x:c r="A17" s="26" t="s">
        <x:v>204</x:v>
      </x:c>
      <x:c r="B17" s="26" t="s">
        <x:v>165</x:v>
      </x:c>
      <x:c r="C17" s="26" t="s">
        <x:v>33</x:v>
      </x:c>
      <x:c r="D17" s="26">
        <x:v>5</x:v>
      </x:c>
      <x:c r="E17" s="31">
        <x:v>2855000</x:v>
      </x:c>
      <x:c r="G17" s="39" t="s">
        <x:v>323</x:v>
      </x:c>
      <x:c r="H17" s="39" t="s">
        <x:v>419</x:v>
      </x:c>
      <x:c r="I17" s="39" t="s">
        <x:v>65</x:v>
      </x:c>
      <x:c r="J17" s="58">
        <x:v>43467</x:v>
      </x:c>
      <x:c r="K17" s="34" t="str">
        <x:f>IF(OR(WEEKDAY(J17,1)=1,WEEKDAY(J17,1)=7),"휴일접수","평일접수")</x:f>
        <x:v>평일접수</x:v>
      </x:c>
    </x:row>
    <x:row r="18" spans="1:11">
      <x:c r="A18" s="26" t="s">
        <x:v>187</x:v>
      </x:c>
      <x:c r="B18" s="26" t="s">
        <x:v>165</x:v>
      </x:c>
      <x:c r="C18" s="26" t="s">
        <x:v>66</x:v>
      </x:c>
      <x:c r="D18" s="26">
        <x:v>3</x:v>
      </x:c>
      <x:c r="E18" s="31">
        <x:v>2153000</x:v>
      </x:c>
      <x:c r="G18" s="39" t="s">
        <x:v>324</x:v>
      </x:c>
      <x:c r="H18" s="39" t="s">
        <x:v>425</x:v>
      </x:c>
      <x:c r="I18" s="39" t="s">
        <x:v>63</x:v>
      </x:c>
      <x:c r="J18" s="58">
        <x:v>43471</x:v>
      </x:c>
      <x:c r="K18" s="34" t="str">
        <x:f t="shared" ref="K18:K24" si="2">IF(OR(WEEKDAY(J18,1)=1,WEEKDAY(J18,1)=7),"휴일접수","평일접수")</x:f>
        <x:v>휴일접수</x:v>
      </x:c>
    </x:row>
    <x:row r="19" spans="1:11">
      <x:c r="A19" s="26" t="s">
        <x:v>206</x:v>
      </x:c>
      <x:c r="B19" s="26" t="s">
        <x:v>165</x:v>
      </x:c>
      <x:c r="C19" s="26" t="s">
        <x:v>41</x:v>
      </x:c>
      <x:c r="D19" s="26">
        <x:v>2</x:v>
      </x:c>
      <x:c r="E19" s="31">
        <x:v>1657000</x:v>
      </x:c>
      <x:c r="G19" s="39" t="s">
        <x:v>322</x:v>
      </x:c>
      <x:c r="H19" s="39" t="s">
        <x:v>426</x:v>
      </x:c>
      <x:c r="I19" s="39" t="s">
        <x:v>63</x:v>
      </x:c>
      <x:c r="J19" s="58">
        <x:v>43472</x:v>
      </x:c>
      <x:c r="K19" s="34" t="str">
        <x:f t="shared" si="2"/>
        <x:v>평일접수</x:v>
      </x:c>
    </x:row>
    <x:row r="20" spans="1:11">
      <x:c r="A20" s="26" t="s">
        <x:v>195</x:v>
      </x:c>
      <x:c r="B20" s="26" t="s">
        <x:v>157</x:v>
      </x:c>
      <x:c r="C20" s="26" t="s">
        <x:v>33</x:v>
      </x:c>
      <x:c r="D20" s="26">
        <x:v>4</x:v>
      </x:c>
      <x:c r="E20" s="31">
        <x:v>2653000</x:v>
      </x:c>
      <x:c r="G20" s="39" t="s">
        <x:v>325</x:v>
      </x:c>
      <x:c r="H20" s="39" t="s">
        <x:v>427</x:v>
      </x:c>
      <x:c r="I20" s="39" t="s">
        <x:v>65</x:v>
      </x:c>
      <x:c r="J20" s="58">
        <x:v>43473</x:v>
      </x:c>
      <x:c r="K20" s="34" t="str">
        <x:f t="shared" si="2"/>
        <x:v>평일접수</x:v>
      </x:c>
    </x:row>
    <x:row r="21" spans="1:11">
      <x:c r="A21" s="26" t="s">
        <x:v>208</x:v>
      </x:c>
      <x:c r="B21" s="26" t="s">
        <x:v>157</x:v>
      </x:c>
      <x:c r="C21" s="26" t="s">
        <x:v>66</x:v>
      </x:c>
      <x:c r="D21" s="26">
        <x:v>3</x:v>
      </x:c>
      <x:c r="E21" s="31">
        <x:v>2156000</x:v>
      </x:c>
      <x:c r="G21" s="39" t="s">
        <x:v>326</x:v>
      </x:c>
      <x:c r="H21" s="39" t="s">
        <x:v>428</x:v>
      </x:c>
      <x:c r="I21" s="39" t="s">
        <x:v>65</x:v>
      </x:c>
      <x:c r="J21" s="58">
        <x:v>43478</x:v>
      </x:c>
      <x:c r="K21" s="34" t="str">
        <x:f t="shared" si="2"/>
        <x:v>휴일접수</x:v>
      </x:c>
    </x:row>
    <x:row r="22" spans="1:11">
      <x:c r="A22" s="26" t="s">
        <x:v>203</x:v>
      </x:c>
      <x:c r="B22" s="26" t="s">
        <x:v>157</x:v>
      </x:c>
      <x:c r="C22" s="26" t="s">
        <x:v>41</x:v>
      </x:c>
      <x:c r="D22" s="26">
        <x:v>3</x:v>
      </x:c>
      <x:c r="E22" s="31">
        <x:v>1814000</x:v>
      </x:c>
      <x:c r="G22" s="39" t="s">
        <x:v>318</x:v>
      </x:c>
      <x:c r="H22" s="39" t="s">
        <x:v>225</x:v>
      </x:c>
      <x:c r="I22" s="39" t="s">
        <x:v>65</x:v>
      </x:c>
      <x:c r="J22" s="58">
        <x:v>43483</x:v>
      </x:c>
      <x:c r="K22" s="34" t="str">
        <x:f t="shared" si="2"/>
        <x:v>평일접수</x:v>
      </x:c>
    </x:row>
    <x:row r="23" spans="1:11">
      <x:c r="A23" s="26" t="s">
        <x:v>37</x:v>
      </x:c>
      <x:c r="B23" s="26" t="s">
        <x:v>210</x:v>
      </x:c>
      <x:c r="C23" s="26" t="s">
        <x:v>33</x:v>
      </x:c>
      <x:c r="D23" s="26">
        <x:v>2</x:v>
      </x:c>
      <x:c r="E23" s="31">
        <x:v>2435000</x:v>
      </x:c>
      <x:c r="G23" s="34" t="s">
        <x:v>330</x:v>
      </x:c>
      <x:c r="H23" s="34" t="s">
        <x:v>429</x:v>
      </x:c>
      <x:c r="I23" s="34" t="s">
        <x:v>63</x:v>
      </x:c>
      <x:c r="J23" s="59">
        <x:v>43484</x:v>
      </x:c>
      <x:c r="K23" s="34" t="str">
        <x:f t="shared" si="2"/>
        <x:v>휴일접수</x:v>
      </x:c>
    </x:row>
    <x:row r="24" spans="1:11">
      <x:c r="A24" s="26" t="s">
        <x:v>194</x:v>
      </x:c>
      <x:c r="B24" s="26" t="s">
        <x:v>210</x:v>
      </x:c>
      <x:c r="C24" s="26" t="s">
        <x:v>66</x:v>
      </x:c>
      <x:c r="D24" s="26">
        <x:v>1</x:v>
      </x:c>
      <x:c r="E24" s="31">
        <x:v>1922000</x:v>
      </x:c>
      <x:c r="G24" s="34" t="s">
        <x:v>309</x:v>
      </x:c>
      <x:c r="H24" s="34" t="s">
        <x:v>409</x:v>
      </x:c>
      <x:c r="I24" s="34" t="s">
        <x:v>65</x:v>
      </x:c>
      <x:c r="J24" s="59">
        <x:v>43485</x:v>
      </x:c>
      <x:c r="K24" s="34" t="str">
        <x:f t="shared" si="2"/>
        <x:v>휴일접수</x:v>
      </x:c>
    </x:row>
    <x:row r="25" spans="1:5">
      <x:c r="A25" s="26" t="s">
        <x:v>183</x:v>
      </x:c>
      <x:c r="B25" s="26" t="s">
        <x:v>210</x:v>
      </x:c>
      <x:c r="C25" s="26" t="s">
        <x:v>41</x:v>
      </x:c>
      <x:c r="D25" s="26">
        <x:v>2</x:v>
      </x:c>
      <x:c r="E25" s="31">
        <x:v>1655000</x:v>
      </x:c>
    </x:row>
    <x:row r="26" spans="1:5">
      <x:c r="A26" s="79" t="s">
        <x:v>459</x:v>
      </x:c>
      <x:c r="B26" s="79"/>
      <x:c r="C26" s="79"/>
      <x:c r="D26" s="79"/>
      <x:c r="E26" s="52">
        <x:f>AVERAGE(DMAX(A16:E25,E16,C16:C17),DMIN(A16:E25,E16,C16:C17))</x:f>
        <x:v>2645000</x:v>
      </x:c>
    </x:row>
    <x:row r="28" spans="1:1">
      <x:c r="A28" s="5"/>
    </x:row>
    <x:row r="29" spans="1:2">
      <x:c r="A29" t="s">
        <x:v>82</x:v>
      </x:c>
      <x:c r="B29" s="14" t="s">
        <x:v>288</x:v>
      </x:c>
    </x:row>
    <x:row r="30" spans="1:5">
      <x:c r="A30" s="32" t="s">
        <x:v>150</x:v>
      </x:c>
      <x:c r="B30" s="33" t="s">
        <x:v>45</x:v>
      </x:c>
      <x:c r="C30" s="33" t="s">
        <x:v>44</x:v>
      </x:c>
      <x:c r="D30" s="33" t="s">
        <x:v>75</x:v>
      </x:c>
      <x:c r="E30" s="32" t="s">
        <x:v>185</x:v>
      </x:c>
    </x:row>
    <x:row r="31" spans="1:5">
      <x:c r="A31" s="34" t="s">
        <x:v>211</x:v>
      </x:c>
      <x:c r="B31" s="35">
        <x:v>69</x:v>
      </x:c>
      <x:c r="C31" s="35">
        <x:v>31</x:v>
      </x:c>
      <x:c r="D31" s="35">
        <x:v>40</x:v>
      </x:c>
      <x:c r="E31" s="34">
        <x:f>SUM(B31:D31)</x:f>
        <x:v>140</x:v>
      </x:c>
    </x:row>
    <x:row r="32" spans="1:5">
      <x:c r="A32" s="34" t="s">
        <x:v>212</x:v>
      </x:c>
      <x:c r="B32" s="35">
        <x:v>70</x:v>
      </x:c>
      <x:c r="C32" s="35">
        <x:v>70</x:v>
      </x:c>
      <x:c r="D32" s="35">
        <x:v>60</x:v>
      </x:c>
      <x:c r="E32" s="34">
        <x:f t="shared" ref="E32:E39" si="3">SUM(B32:D32)</x:f>
        <x:v>200</x:v>
      </x:c>
    </x:row>
    <x:row r="33" spans="1:5">
      <x:c r="A33" s="34" t="s">
        <x:v>186</x:v>
      </x:c>
      <x:c r="B33" s="35">
        <x:v>60</x:v>
      </x:c>
      <x:c r="C33" s="35">
        <x:v>76</x:v>
      </x:c>
      <x:c r="D33" s="35">
        <x:v>65</x:v>
      </x:c>
      <x:c r="E33" s="34">
        <x:f t="shared" si="3"/>
        <x:v>201</x:v>
      </x:c>
    </x:row>
    <x:row r="34" spans="1:5">
      <x:c r="A34" s="34" t="s">
        <x:v>211</x:v>
      </x:c>
      <x:c r="B34" s="35">
        <x:v>50</x:v>
      </x:c>
      <x:c r="C34" s="35">
        <x:v>80</x:v>
      </x:c>
      <x:c r="D34" s="35">
        <x:v>60</x:v>
      </x:c>
      <x:c r="E34" s="34">
        <x:f t="shared" si="3"/>
        <x:v>190</x:v>
      </x:c>
    </x:row>
    <x:row r="35" spans="1:5">
      <x:c r="A35" s="34" t="s">
        <x:v>212</x:v>
      </x:c>
      <x:c r="B35" s="35">
        <x:v>80</x:v>
      </x:c>
      <x:c r="C35" s="35">
        <x:v>60</x:v>
      </x:c>
      <x:c r="D35" s="35">
        <x:v>70</x:v>
      </x:c>
      <x:c r="E35" s="34">
        <x:f t="shared" si="3"/>
        <x:v>210</x:v>
      </x:c>
    </x:row>
    <x:row r="36" spans="1:5">
      <x:c r="A36" s="34" t="s">
        <x:v>186</x:v>
      </x:c>
      <x:c r="B36" s="35">
        <x:v>90</x:v>
      </x:c>
      <x:c r="C36" s="35">
        <x:v>100</x:v>
      </x:c>
      <x:c r="D36" s="35">
        <x:v>93</x:v>
      </x:c>
      <x:c r="E36" s="34">
        <x:f t="shared" si="3"/>
        <x:v>283</x:v>
      </x:c>
    </x:row>
    <x:row r="37" spans="1:5">
      <x:c r="A37" s="34" t="s">
        <x:v>211</x:v>
      </x:c>
      <x:c r="B37" s="35">
        <x:v>50</x:v>
      </x:c>
      <x:c r="C37" s="35">
        <x:v>83</x:v>
      </x:c>
      <x:c r="D37" s="35">
        <x:v>75</x:v>
      </x:c>
      <x:c r="E37" s="34">
        <x:f t="shared" si="3"/>
        <x:v>208</x:v>
      </x:c>
    </x:row>
    <x:row r="38" spans="1:5">
      <x:c r="A38" s="34" t="s">
        <x:v>212</x:v>
      </x:c>
      <x:c r="B38" s="35">
        <x:v>60</x:v>
      </x:c>
      <x:c r="C38" s="35">
        <x:v>64</x:v>
      </x:c>
      <x:c r="D38" s="35">
        <x:v>64</x:v>
      </x:c>
      <x:c r="E38" s="34">
        <x:f t="shared" si="3"/>
        <x:v>188</x:v>
      </x:c>
    </x:row>
    <x:row r="39" spans="1:5">
      <x:c r="A39" s="34" t="s">
        <x:v>186</x:v>
      </x:c>
      <x:c r="B39" s="35">
        <x:v>90</x:v>
      </x:c>
      <x:c r="C39" s="35">
        <x:v>80</x:v>
      </x:c>
      <x:c r="D39" s="35">
        <x:v>79</x:v>
      </x:c>
      <x:c r="E39" s="34">
        <x:f t="shared" si="3"/>
        <x:v>249</x:v>
      </x:c>
    </x:row>
    <x:row r="41" spans="1:1">
      <x:c r="A41" s="36" t="s">
        <x:v>298</x:v>
      </x:c>
    </x:row>
    <x:row r="42" spans="1:2">
      <x:c r="A42" s="32" t="s">
        <x:v>150</x:v>
      </x:c>
      <x:c r="B42" s="53" t="s">
        <x:v>293</x:v>
      </x:c>
    </x:row>
    <x:row r="43" spans="1:2">
      <x:c r="A43" s="34" t="s">
        <x:v>211</x:v>
      </x:c>
      <x:c r="B43" s="44">
        <x:f>ROUNDUP(AVERAGEIF($A$31:$E$39,A43,$C$31:$C$39),2)</x:f>
        <x:v>64.670000000000002</x:v>
      </x:c>
    </x:row>
    <x:row r="44" spans="1:2">
      <x:c r="A44" s="34" t="s">
        <x:v>212</x:v>
      </x:c>
      <x:c r="B44" s="44">
        <x:f t="shared" ref="B44:B45" si="4">ROUNDUP(AVERAGEIF($A$31:$E$39,A44,$C$31:$C$39),2)</x:f>
        <x:v>64.670000000000002</x:v>
      </x:c>
    </x:row>
    <x:row r="45" spans="1:2">
      <x:c r="A45" s="34" t="s">
        <x:v>186</x:v>
      </x:c>
      <x:c r="B45" s="44">
        <x:f t="shared" si="4"/>
        <x:v>85.340000000000003</x:v>
      </x:c>
    </x:row>
  </x:sheetData>
  <x:mergeCells count="1">
    <x:mergeCell ref="A26:D26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drawing r:id="rId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A1:L40"/>
  <x:sheetViews>
    <x:sheetView topLeftCell="A26" zoomScale="200" zoomScaleNormal="200" zoomScaleSheetLayoutView="75" workbookViewId="0">
      <x:selection activeCell="F37" activeCellId="0" sqref="F37:F37"/>
    </x:sheetView>
  </x:sheetViews>
  <x:sheetFormatPr defaultColWidth="9" defaultRowHeight="16.39999999999999857891"/>
  <x:cols>
    <x:col min="2" max="2" width="16.25" customWidth="1"/>
    <x:col min="3" max="3" width="13.75" bestFit="1" customWidth="1"/>
    <x:col min="4" max="4" width="15.875" customWidth="1"/>
    <x:col min="5" max="5" width="13.75" customWidth="1"/>
    <x:col min="6" max="6" width="8.625" customWidth="1"/>
    <x:col min="9" max="9" width="13.75" bestFit="1" customWidth="1"/>
    <x:col min="10" max="10" width="15.875" customWidth="1"/>
    <x:col min="11" max="11" width="10.625" bestFit="1" customWidth="1"/>
    <x:col min="12" max="12" width="10.625" customWidth="1"/>
  </x:cols>
  <x:sheetData>
    <x:row r="1" spans="1:8">
      <x:c r="A1" s="30" t="s">
        <x:v>76</x:v>
      </x:c>
      <x:c r="B1" s="14" t="s">
        <x:v>390</x:v>
      </x:c>
      <x:c r="G1" s="37" t="s">
        <x:v>85</x:v>
      </x:c>
      <x:c r="H1" s="14" t="s">
        <x:v>367</x:v>
      </x:c>
    </x:row>
    <x:row r="2" spans="1:12">
      <x:c r="A2" s="24" t="s">
        <x:v>29</x:v>
      </x:c>
      <x:c r="B2" s="24" t="s">
        <x:v>52</x:v>
      </x:c>
      <x:c r="C2" s="24" t="s">
        <x:v>62</x:v>
      </x:c>
      <x:c r="D2" s="24" t="s">
        <x:v>202</x:v>
      </x:c>
      <x:c r="E2" s="24" t="s">
        <x:v>327</x:v>
      </x:c>
      <x:c r="G2" s="38" t="s">
        <x:v>42</x:v>
      </x:c>
      <x:c r="H2" s="38" t="s">
        <x:v>189</x:v>
      </x:c>
      <x:c r="I2" s="38" t="s">
        <x:v>190</x:v>
      </x:c>
      <x:c r="J2" s="38" t="s">
        <x:v>214</x:v>
      </x:c>
      <x:c r="K2" s="38" t="s">
        <x:v>227</x:v>
      </x:c>
      <x:c r="L2" s="32" t="s">
        <x:v>218</x:v>
      </x:c>
    </x:row>
    <x:row r="3" spans="1:12">
      <x:c r="A3" s="26" t="s">
        <x:v>68</x:v>
      </x:c>
      <x:c r="B3" s="26" t="s">
        <x:v>407</x:v>
      </x:c>
      <x:c r="C3" s="26" t="s">
        <x:v>65</x:v>
      </x:c>
      <x:c r="D3" s="61">
        <x:v>3500000</x:v>
      </x:c>
      <x:c r="E3" s="61">
        <x:v>3980000</x:v>
      </x:c>
      <x:c r="G3" s="39" t="s">
        <x:v>239</x:v>
      </x:c>
      <x:c r="H3" s="39" t="s">
        <x:v>228</x:v>
      </x:c>
      <x:c r="I3" s="39" t="s">
        <x:v>223</x:v>
      </x:c>
      <x:c r="J3" s="40">
        <x:v>86</x:v>
      </x:c>
      <x:c r="K3" s="40">
        <x:v>79</x:v>
      </x:c>
      <x:c r="L3" s="41">
        <x:v>7.0833333333333286</x:v>
      </x:c>
    </x:row>
    <x:row r="4" spans="1:12">
      <x:c r="A4" s="26" t="s">
        <x:v>41</x:v>
      </x:c>
      <x:c r="B4" s="26" t="s">
        <x:v>413</x:v>
      </x:c>
      <x:c r="C4" s="26" t="s">
        <x:v>65</x:v>
      </x:c>
      <x:c r="D4" s="61">
        <x:v>2200000</x:v>
      </x:c>
      <x:c r="E4" s="61">
        <x:v>2236000</x:v>
      </x:c>
      <x:c r="G4" s="39" t="s">
        <x:v>235</x:v>
      </x:c>
      <x:c r="H4" s="39" t="s">
        <x:v>295</x:v>
      </x:c>
      <x:c r="I4" s="39" t="s">
        <x:v>232</x:v>
      </x:c>
      <x:c r="J4" s="40">
        <x:v>98</x:v>
      </x:c>
      <x:c r="K4" s="40">
        <x:v>94</x:v>
      </x:c>
      <x:c r="L4" s="41">
        <x:v>-6.4166666666666714</x:v>
      </x:c>
    </x:row>
    <x:row r="5" spans="1:12">
      <x:c r="A5" s="26" t="s">
        <x:v>66</x:v>
      </x:c>
      <x:c r="B5" s="26" t="s">
        <x:v>411</x:v>
      </x:c>
      <x:c r="C5" s="26" t="s">
        <x:v>63</x:v>
      </x:c>
      <x:c r="D5" s="61">
        <x:v>2400000</x:v>
      </x:c>
      <x:c r="E5" s="61">
        <x:v>2612000</x:v>
      </x:c>
      <x:c r="G5" s="39" t="s">
        <x:v>225</x:v>
      </x:c>
      <x:c r="H5" s="39" t="s">
        <x:v>233</x:v>
      </x:c>
      <x:c r="I5" s="39" t="s">
        <x:v>232</x:v>
      </x:c>
      <x:c r="J5" s="40">
        <x:v>95</x:v>
      </x:c>
      <x:c r="K5" s="40">
        <x:v>85</x:v>
      </x:c>
      <x:c r="L5" s="41">
        <x:v>-0.4166666666666714</x:v>
      </x:c>
    </x:row>
    <x:row r="6" spans="1:12">
      <x:c r="A6" s="26" t="s">
        <x:v>41</x:v>
      </x:c>
      <x:c r="B6" s="26" t="s">
        <x:v>412</x:v>
      </x:c>
      <x:c r="C6" s="26" t="s">
        <x:v>65</x:v>
      </x:c>
      <x:c r="D6" s="61">
        <x:v>2000000</x:v>
      </x:c>
      <x:c r="E6" s="61">
        <x:v>2060000</x:v>
      </x:c>
      <x:c r="G6" s="39" t="s">
        <x:v>229</x:v>
      </x:c>
      <x:c r="H6" s="39" t="s">
        <x:v>231</x:v>
      </x:c>
      <x:c r="I6" s="39" t="s">
        <x:v>232</x:v>
      </x:c>
      <x:c r="J6" s="40">
        <x:v>87</x:v>
      </x:c>
      <x:c r="K6" s="40">
        <x:v>88</x:v>
      </x:c>
      <x:c r="L6" s="41">
        <x:v>2.0833333333333286</x:v>
      </x:c>
    </x:row>
    <x:row r="7" spans="1:12">
      <x:c r="A7" s="26" t="s">
        <x:v>68</x:v>
      </x:c>
      <x:c r="B7" s="26" t="s">
        <x:v>415</x:v>
      </x:c>
      <x:c r="C7" s="26" t="s">
        <x:v>63</x:v>
      </x:c>
      <x:c r="D7" s="61">
        <x:v>3600000</x:v>
      </x:c>
      <x:c r="E7" s="61">
        <x:v>4068000</x:v>
      </x:c>
      <x:c r="G7" s="39" t="s">
        <x:v>226</x:v>
      </x:c>
      <x:c r="H7" s="39" t="s">
        <x:v>222</x:v>
      </x:c>
      <x:c r="I7" s="39" t="s">
        <x:v>223</x:v>
      </x:c>
      <x:c r="J7" s="40">
        <x:v>92</x:v>
      </x:c>
      <x:c r="K7" s="40">
        <x:v>91</x:v>
      </x:c>
      <x:c r="L7" s="41">
        <x:v>-1.9166666666666714</x:v>
      </x:c>
    </x:row>
    <x:row r="8" spans="1:12">
      <x:c r="A8" s="26" t="s">
        <x:v>41</x:v>
      </x:c>
      <x:c r="B8" s="26" t="s">
        <x:v>408</x:v>
      </x:c>
      <x:c r="C8" s="26" t="s">
        <x:v>65</x:v>
      </x:c>
      <x:c r="D8" s="61">
        <x:v>2200000</x:v>
      </x:c>
      <x:c r="E8" s="61">
        <x:v>2236000</x:v>
      </x:c>
      <x:c r="G8" s="39" t="s">
        <x:v>230</x:v>
      </x:c>
      <x:c r="H8" s="39" t="s">
        <x:v>217</x:v>
      </x:c>
      <x:c r="I8" s="39" t="s">
        <x:v>232</x:v>
      </x:c>
      <x:c r="J8" s="40">
        <x:v>91</x:v>
      </x:c>
      <x:c r="K8" s="40">
        <x:v>89</x:v>
      </x:c>
      <x:c r="L8" s="41">
        <x:v>-0.4166666666666714</x:v>
      </x:c>
    </x:row>
    <x:row r="9" spans="1:5">
      <x:c r="A9" s="26" t="s">
        <x:v>66</x:v>
      </x:c>
      <x:c r="B9" s="26" t="s">
        <x:v>414</x:v>
      </x:c>
      <x:c r="C9" s="26" t="s">
        <x:v>65</x:v>
      </x:c>
      <x:c r="D9" s="61">
        <x:v>2600000</x:v>
      </x:c>
      <x:c r="E9" s="61">
        <x:v>2788000</x:v>
      </x:c>
    </x:row>
    <x:row r="10" spans="1:12">
      <x:c r="A10" s="26" t="s">
        <x:v>33</x:v>
      </x:c>
      <x:c r="B10" s="26" t="s">
        <x:v>403</x:v>
      </x:c>
      <x:c r="C10" s="26" t="s">
        <x:v>63</x:v>
      </x:c>
      <x:c r="D10" s="61">
        <x:v>3000000</x:v>
      </x:c>
      <x:c r="E10" s="61">
        <x:v>3340000</x:v>
      </x:c>
      <x:c r="G10" s="44" t="s">
        <x:v>190</x:v>
      </x:c>
      <x:c r="H10" s="44" t="s">
        <x:v>214</x:v>
      </x:c>
      <x:c r="I10" s="80" t="s">
        <x:v>461</x:v>
      </x:c>
      <x:c r="J10" s="81"/>
      <x:c r="K10" s="81"/>
      <x:c r="L10" s="82"/>
    </x:row>
    <x:row r="11" spans="1:12">
      <x:c r="A11" s="26" t="s">
        <x:v>66</x:v>
      </x:c>
      <x:c r="B11" s="26" t="s">
        <x:v>405</x:v>
      </x:c>
      <x:c r="C11" s="26" t="s">
        <x:v>63</x:v>
      </x:c>
      <x:c r="D11" s="61">
        <x:v>2500000</x:v>
      </x:c>
      <x:c r="E11" s="61">
        <x:v>2700000</x:v>
      </x:c>
      <x:c r="G11" s="44" t="s">
        <x:v>232</x:v>
      </x:c>
      <x:c r="H11" s="44" t="s">
        <x:v>340</x:v>
      </x:c>
      <x:c r="I11" s="83">
        <x:f>ABS(DMIN(G2:L8,L2,G10:H11))</x:f>
        <x:v>6.4166666666666714</x:v>
      </x:c>
      <x:c r="J11" s="84"/>
      <x:c r="K11" s="84"/>
      <x:c r="L11" s="85"/>
    </x:row>
    <x:row r="12" spans="1:5">
      <x:c r="A12" s="86" t="s">
        <x:v>454</x:v>
      </x:c>
      <x:c r="B12" s="86"/>
      <x:c r="C12" s="86"/>
      <x:c r="D12" s="86"/>
      <x:c r="E12" s="61">
        <x:f>ROUNDUP(SUMIFS(E3:E11,A3:A11,"대리",C3:C11,"여"),-4)</x:f>
        <x:v>5320000</x:v>
      </x:c>
    </x:row>
    <x:row r="14" spans="1:8">
      <x:c r="A14" t="s">
        <x:v>83</x:v>
      </x:c>
      <x:c r="B14" s="14" t="s">
        <x:v>386</x:v>
      </x:c>
      <x:c r="G14" t="s">
        <x:v>84</x:v>
      </x:c>
      <x:c r="H14" s="14" t="s">
        <x:v>389</x:v>
      </x:c>
    </x:row>
    <x:row r="15" spans="1:11">
      <x:c r="A15" s="24" t="s">
        <x:v>242</x:v>
      </x:c>
      <x:c r="B15" s="24" t="s">
        <x:v>221</x:v>
      </x:c>
      <x:c r="C15" s="24" t="s">
        <x:v>215</x:v>
      </x:c>
      <x:c r="D15" s="24" t="s">
        <x:v>294</x:v>
      </x:c>
      <x:c r="E15" s="51" t="s">
        <x:v>276</x:v>
      </x:c>
      <x:c r="G15" s="24" t="s">
        <x:v>190</x:v>
      </x:c>
      <x:c r="H15" s="24" t="s">
        <x:v>52</x:v>
      </x:c>
      <x:c r="I15" s="24" t="s">
        <x:v>62</x:v>
      </x:c>
      <x:c r="J15" s="24" t="s">
        <x:v>43</x:v>
      </x:c>
      <x:c r="K15" s="51" t="s">
        <x:v>47</x:v>
      </x:c>
    </x:row>
    <x:row r="16" spans="1:11">
      <x:c r="A16" s="26" t="s">
        <x:v>216</x:v>
      </x:c>
      <x:c r="B16" s="42">
        <x:v>41338</x:v>
      </x:c>
      <x:c r="C16" s="26">
        <x:v>331</x:v>
      </x:c>
      <x:c r="D16" s="43">
        <x:v>20</x:v>
      </x:c>
      <x:c r="E16" s="43" t="str">
        <x:f>INT(C16/D16)&amp;"("&amp;MOD(C16,D16)&amp;")"</x:f>
        <x:v>16(11)</x:v>
      </x:c>
      <x:c r="G16" s="26">
        <x:v>1</x:v>
      </x:c>
      <x:c r="H16" s="26" t="s">
        <x:v>417</x:v>
      </x:c>
      <x:c r="I16" s="26" t="s">
        <x:v>65</x:v>
      </x:c>
      <x:c r="J16" s="26">
        <x:v>78</x:v>
      </x:c>
      <x:c r="K16" s="26" t="b">
        <x:f>IF(_xlfn.RANK.EQ(J16,$J$16:$J$25,0)&lt;=3,_xlfn.RANK.EQ(J16,$J$16:$J$25,0)&amp;"등")</x:f>
        <x:v>0</x:v>
      </x:c>
    </x:row>
    <x:row r="17" spans="1:11">
      <x:c r="A17" s="26" t="s">
        <x:v>236</x:v>
      </x:c>
      <x:c r="B17" s="42">
        <x:v>41338</x:v>
      </x:c>
      <x:c r="C17" s="26">
        <x:v>512</x:v>
      </x:c>
      <x:c r="D17" s="43">
        <x:v>35</x:v>
      </x:c>
      <x:c r="E17" s="43" t="str">
        <x:f t="shared" ref="E17:E23" si="0">INT(C17/D17)&amp;"("&amp;MOD(C17,D17)&amp;")"</x:f>
        <x:v>14(22)</x:v>
      </x:c>
      <x:c r="G17" s="26">
        <x:v>1</x:v>
      </x:c>
      <x:c r="H17" s="26" t="s">
        <x:v>418</x:v>
      </x:c>
      <x:c r="I17" s="26" t="s">
        <x:v>63</x:v>
      </x:c>
      <x:c r="J17" s="26">
        <x:v>86</x:v>
      </x:c>
      <x:c r="K17" s="26" t="b">
        <x:f t="shared" ref="K17:K25" si="1">IF(_xlfn.RANK.EQ(J17,$J$16:$J$25,0)&lt;=3,_xlfn.RANK.EQ(J17,$J$16:$J$25,0)&amp;"등")</x:f>
        <x:v>0</x:v>
      </x:c>
    </x:row>
    <x:row r="18" spans="1:11">
      <x:c r="A18" s="26" t="s">
        <x:v>224</x:v>
      </x:c>
      <x:c r="B18" s="42">
        <x:v>41338</x:v>
      </x:c>
      <x:c r="C18" s="26">
        <x:v>319</x:v>
      </x:c>
      <x:c r="D18" s="43">
        <x:v>35</x:v>
      </x:c>
      <x:c r="E18" s="43" t="str">
        <x:f t="shared" si="0"/>
        <x:v>9(4)</x:v>
      </x:c>
      <x:c r="G18" s="26">
        <x:v>1</x:v>
      </x:c>
      <x:c r="H18" s="26" t="s">
        <x:v>406</x:v>
      </x:c>
      <x:c r="I18" s="26" t="s">
        <x:v>63</x:v>
      </x:c>
      <x:c r="J18" s="26">
        <x:v>90</x:v>
      </x:c>
      <x:c r="K18" s="26" t="b">
        <x:f t="shared" si="1"/>
        <x:v>0</x:v>
      </x:c>
    </x:row>
    <x:row r="19" spans="1:11">
      <x:c r="A19" s="26" t="s">
        <x:v>220</x:v>
      </x:c>
      <x:c r="B19" s="42">
        <x:v>41338</x:v>
      </x:c>
      <x:c r="C19" s="26">
        <x:v>534</x:v>
      </x:c>
      <x:c r="D19" s="43">
        <x:v>30</x:v>
      </x:c>
      <x:c r="E19" s="43" t="str">
        <x:f t="shared" si="0"/>
        <x:v>17(24)</x:v>
      </x:c>
      <x:c r="G19" s="26">
        <x:v>1</x:v>
      </x:c>
      <x:c r="H19" s="26" t="s">
        <x:v>391</x:v>
      </x:c>
      <x:c r="I19" s="26" t="s">
        <x:v>65</x:v>
      </x:c>
      <x:c r="J19" s="26">
        <x:v>91</x:v>
      </x:c>
      <x:c r="K19" s="26" t="b">
        <x:f t="shared" si="1"/>
        <x:v>0</x:v>
      </x:c>
    </x:row>
    <x:row r="20" spans="1:11">
      <x:c r="A20" s="26" t="s">
        <x:v>234</x:v>
      </x:c>
      <x:c r="B20" s="42">
        <x:v>41338</x:v>
      </x:c>
      <x:c r="C20" s="26">
        <x:v>286</x:v>
      </x:c>
      <x:c r="D20" s="43">
        <x:v>15</x:v>
      </x:c>
      <x:c r="E20" s="43" t="str">
        <x:f t="shared" si="0"/>
        <x:v>19(1)</x:v>
      </x:c>
      <x:c r="G20" s="26">
        <x:v>2</x:v>
      </x:c>
      <x:c r="H20" s="26" t="s">
        <x:v>392</x:v>
      </x:c>
      <x:c r="I20" s="26" t="s">
        <x:v>65</x:v>
      </x:c>
      <x:c r="J20" s="26">
        <x:v>92</x:v>
      </x:c>
      <x:c r="K20" s="26" t="str">
        <x:f t="shared" si="1"/>
        <x:v>3등</x:v>
      </x:c>
    </x:row>
    <x:row r="21" spans="1:11">
      <x:c r="A21" s="26" t="s">
        <x:v>219</x:v>
      </x:c>
      <x:c r="B21" s="42">
        <x:v>41339</x:v>
      </x:c>
      <x:c r="C21" s="26">
        <x:v>521</x:v>
      </x:c>
      <x:c r="D21" s="43">
        <x:v>40</x:v>
      </x:c>
      <x:c r="E21" s="43" t="str">
        <x:f t="shared" si="0"/>
        <x:v>13(1)</x:v>
      </x:c>
      <x:c r="G21" s="26">
        <x:v>2</x:v>
      </x:c>
      <x:c r="H21" s="26" t="s">
        <x:v>393</x:v>
      </x:c>
      <x:c r="I21" s="26" t="s">
        <x:v>65</x:v>
      </x:c>
      <x:c r="J21" s="26">
        <x:v>82</x:v>
      </x:c>
      <x:c r="K21" s="26" t="b">
        <x:f t="shared" si="1"/>
        <x:v>0</x:v>
      </x:c>
    </x:row>
    <x:row r="22" spans="1:11">
      <x:c r="A22" s="26" t="s">
        <x:v>237</x:v>
      </x:c>
      <x:c r="B22" s="42">
        <x:v>41339</x:v>
      </x:c>
      <x:c r="C22" s="26">
        <x:v>597</x:v>
      </x:c>
      <x:c r="D22" s="43">
        <x:v>40</x:v>
      </x:c>
      <x:c r="E22" s="43" t="str">
        <x:f t="shared" si="0"/>
        <x:v>14(37)</x:v>
      </x:c>
      <x:c r="G22" s="26">
        <x:v>2</x:v>
      </x:c>
      <x:c r="H22" s="26" t="s">
        <x:v>394</x:v>
      </x:c>
      <x:c r="I22" s="26" t="s">
        <x:v>63</x:v>
      </x:c>
      <x:c r="J22" s="26">
        <x:v>94</x:v>
      </x:c>
      <x:c r="K22" s="26" t="str">
        <x:f t="shared" si="1"/>
        <x:v>1등</x:v>
      </x:c>
    </x:row>
    <x:row r="23" spans="1:11">
      <x:c r="A23" s="26" t="s">
        <x:v>238</x:v>
      </x:c>
      <x:c r="B23" s="42">
        <x:v>41339</x:v>
      </x:c>
      <x:c r="C23" s="26">
        <x:v>605</x:v>
      </x:c>
      <x:c r="D23" s="43">
        <x:v>45</x:v>
      </x:c>
      <x:c r="E23" s="43" t="str">
        <x:f t="shared" si="0"/>
        <x:v>13(20)</x:v>
      </x:c>
      <x:c r="G23" s="26">
        <x:v>3</x:v>
      </x:c>
      <x:c r="H23" s="26" t="s">
        <x:v>395</x:v>
      </x:c>
      <x:c r="I23" s="26" t="s">
        <x:v>65</x:v>
      </x:c>
      <x:c r="J23" s="26">
        <x:v>89</x:v>
      </x:c>
      <x:c r="K23" s="26" t="b">
        <x:f t="shared" si="1"/>
        <x:v>0</x:v>
      </x:c>
    </x:row>
    <x:row r="24" spans="7:11">
      <x:c r="G24" s="26">
        <x:v>3</x:v>
      </x:c>
      <x:c r="H24" s="26" t="s">
        <x:v>404</x:v>
      </x:c>
      <x:c r="I24" s="26" t="s">
        <x:v>63</x:v>
      </x:c>
      <x:c r="J24" s="26">
        <x:v>93</x:v>
      </x:c>
      <x:c r="K24" s="26" t="str">
        <x:f t="shared" si="1"/>
        <x:v>2등</x:v>
      </x:c>
    </x:row>
    <x:row r="25" spans="1:11">
      <x:c r="A25" t="s">
        <x:v>82</x:v>
      </x:c>
      <x:c r="B25" s="62" t="s">
        <x:v>13</x:v>
      </x:c>
      <x:c r="G25" s="26">
        <x:v>3</x:v>
      </x:c>
      <x:c r="H25" s="26" t="s">
        <x:v>396</x:v>
      </x:c>
      <x:c r="I25" s="26" t="s">
        <x:v>63</x:v>
      </x:c>
      <x:c r="J25" s="26">
        <x:v>87</x:v>
      </x:c>
      <x:c r="K25" s="26" t="b">
        <x:f t="shared" si="1"/>
        <x:v>0</x:v>
      </x:c>
    </x:row>
    <x:row r="26" spans="1:5">
      <x:c r="A26" s="32" t="s">
        <x:v>54</x:v>
      </x:c>
      <x:c r="B26" s="32" t="s">
        <x:v>240</x:v>
      </x:c>
      <x:c r="C26" s="32" t="s">
        <x:v>303</x:v>
      </x:c>
      <x:c r="D26" s="32" t="s">
        <x:v>67</x:v>
      </x:c>
      <x:c r="E26" s="32" t="s">
        <x:v>80</x:v>
      </x:c>
    </x:row>
    <x:row r="27" spans="1:5">
      <x:c r="A27" s="34" t="s">
        <x:v>416</x:v>
      </x:c>
      <x:c r="B27" s="34" t="s">
        <x:v>310</x:v>
      </x:c>
      <x:c r="C27" s="63">
        <x:v>1000</x:v>
      </x:c>
      <x:c r="D27" s="63">
        <x:v>554100</x:v>
      </x:c>
      <x:c r="E27" s="63">
        <x:v>554100000</x:v>
      </x:c>
    </x:row>
    <x:row r="28" spans="1:5">
      <x:c r="A28" s="34" t="s">
        <x:v>49</x:v>
      </x:c>
      <x:c r="B28" s="34" t="s">
        <x:v>312</x:v>
      </x:c>
      <x:c r="C28" s="63">
        <x:v>1500</x:v>
      </x:c>
      <x:c r="D28" s="63">
        <x:v>452600</x:v>
      </x:c>
      <x:c r="E28" s="63">
        <x:v>678900000</x:v>
      </x:c>
    </x:row>
    <x:row r="29" spans="1:5">
      <x:c r="A29" s="34" t="s">
        <x:v>410</x:v>
      </x:c>
      <x:c r="B29" s="34" t="s">
        <x:v>312</x:v>
      </x:c>
      <x:c r="C29" s="63">
        <x:v>1500</x:v>
      </x:c>
      <x:c r="D29" s="63">
        <x:v>519800</x:v>
      </x:c>
      <x:c r="E29" s="63">
        <x:v>779700000</x:v>
      </x:c>
    </x:row>
    <x:row r="30" spans="1:5">
      <x:c r="A30" s="34" t="s">
        <x:v>416</x:v>
      </x:c>
      <x:c r="B30" s="34" t="s">
        <x:v>398</x:v>
      </x:c>
      <x:c r="C30" s="63">
        <x:v>800</x:v>
      </x:c>
      <x:c r="D30" s="63">
        <x:v>398500</x:v>
      </x:c>
      <x:c r="E30" s="63">
        <x:v>318800000</x:v>
      </x:c>
    </x:row>
    <x:row r="31" spans="1:5">
      <x:c r="A31" s="34" t="s">
        <x:v>50</x:v>
      </x:c>
      <x:c r="B31" s="34" t="s">
        <x:v>312</x:v>
      </x:c>
      <x:c r="C31" s="63">
        <x:v>1500</x:v>
      </x:c>
      <x:c r="D31" s="63">
        <x:v>475800</x:v>
      </x:c>
      <x:c r="E31" s="63">
        <x:v>713700000</x:v>
      </x:c>
    </x:row>
    <x:row r="32" spans="1:5">
      <x:c r="A32" s="34" t="s">
        <x:v>410</x:v>
      </x:c>
      <x:c r="B32" s="34" t="s">
        <x:v>329</x:v>
      </x:c>
      <x:c r="C32" s="63">
        <x:v>1500</x:v>
      </x:c>
      <x:c r="D32" s="63">
        <x:v>438700</x:v>
      </x:c>
      <x:c r="E32" s="63">
        <x:v>658050000</x:v>
      </x:c>
    </x:row>
    <x:row r="33" spans="1:5">
      <x:c r="A33" s="34" t="s">
        <x:v>49</x:v>
      </x:c>
      <x:c r="B33" s="34" t="s">
        <x:v>310</x:v>
      </x:c>
      <x:c r="C33" s="63">
        <x:v>1000</x:v>
      </x:c>
      <x:c r="D33" s="63">
        <x:v>572000</x:v>
      </x:c>
      <x:c r="E33" s="63">
        <x:v>572000000</x:v>
      </x:c>
    </x:row>
    <x:row r="34" spans="1:7">
      <x:c r="A34" s="34" t="s">
        <x:v>416</x:v>
      </x:c>
      <x:c r="B34" s="34" t="s">
        <x:v>310</x:v>
      </x:c>
      <x:c r="C34" s="63">
        <x:v>1000</x:v>
      </x:c>
      <x:c r="D34" s="63">
        <x:v>357900</x:v>
      </x:c>
      <x:c r="E34" s="63">
        <x:v>357900000</x:v>
      </x:c>
      <x:c r="G34" s="24" t="s">
        <x:v>54</x:v>
      </x:c>
    </x:row>
    <x:row r="35" spans="1:7">
      <x:c r="A35" s="34" t="s">
        <x:v>49</x:v>
      </x:c>
      <x:c r="B35" s="34" t="s">
        <x:v>398</x:v>
      </x:c>
      <x:c r="C35" s="63">
        <x:v>800</x:v>
      </x:c>
      <x:c r="D35" s="63">
        <x:v>540000</x:v>
      </x:c>
      <x:c r="E35" s="63">
        <x:v>432000000</x:v>
      </x:c>
      <x:c r="G35" s="26" t="s">
        <x:v>416</x:v>
      </x:c>
    </x:row>
    <x:row r="36" spans="1:5">
      <x:c r="A36" s="34" t="s">
        <x:v>50</x:v>
      </x:c>
      <x:c r="B36" s="34" t="s">
        <x:v>312</x:v>
      </x:c>
      <x:c r="C36" s="63">
        <x:v>1500</x:v>
      </x:c>
      <x:c r="D36" s="63">
        <x:v>426800</x:v>
      </x:c>
      <x:c r="E36" s="63">
        <x:v>640200000</x:v>
      </x:c>
    </x:row>
    <x:row r="37" spans="1:5">
      <x:c r="A37" s="87" t="s">
        <x:v>15</x:v>
      </x:c>
      <x:c r="B37" s="87"/>
      <x:c r="C37" s="87"/>
      <x:c r="D37" s="87"/>
      <x:c r="E37" s="63">
        <x:f>ROUND(DSUM(A26:E36,5,G34:G35)/DCOUNT(A26:E36,5,G34:G35),-6)</x:f>
        <x:v>410000000</x:v>
      </x:c>
    </x:row>
    <x:row r="38" spans="6:6">
      <x:c r="F38" s="47"/>
    </x:row>
    <x:row r="39" spans="6:6">
      <x:c r="F39" s="47"/>
    </x:row>
    <x:row r="40" spans="6:6">
      <x:c r="F40" s="47"/>
    </x:row>
  </x:sheetData>
  <x:mergeCells count="4">
    <x:mergeCell ref="I10:L10"/>
    <x:mergeCell ref="I11:L11"/>
    <x:mergeCell ref="A12:D12"/>
    <x:mergeCell ref="A37:D37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J37"/>
  <x:sheetViews>
    <x:sheetView tabSelected="1" topLeftCell="B26" zoomScale="200" zoomScaleNormal="200" zoomScaleSheetLayoutView="75" workbookViewId="0">
      <x:selection activeCell="G27" activeCellId="0" sqref="G27:G27"/>
    </x:sheetView>
  </x:sheetViews>
  <x:sheetFormatPr defaultColWidth="9" defaultRowHeight="16.39999999999999857891"/>
  <x:cols>
    <x:col min="2" max="4" width="12.5" customWidth="1"/>
    <x:col min="5" max="5" width="18.625" bestFit="1" customWidth="1"/>
    <x:col min="6" max="6" width="9.875" customWidth="1"/>
    <x:col min="7" max="7" width="13" customWidth="1"/>
    <x:col min="8" max="8" width="13.75" bestFit="1" customWidth="1"/>
    <x:col min="9" max="9" width="15.875" customWidth="1"/>
  </x:cols>
  <x:sheetData>
    <x:row r="1" spans="1:7">
      <x:c r="A1" s="48" t="s">
        <x:v>76</x:v>
      </x:c>
      <x:c r="B1" s="49" t="s">
        <x:v>277</x:v>
      </x:c>
      <x:c r="C1" s="44"/>
      <x:c r="D1" s="44"/>
      <x:c r="F1" s="13" t="s">
        <x:v>85</x:v>
      </x:c>
      <x:c r="G1" s="14" t="s">
        <x:v>387</x:v>
      </x:c>
    </x:row>
    <x:row r="2" spans="1:9">
      <x:c r="A2" s="24" t="s">
        <x:v>311</x:v>
      </x:c>
      <x:c r="B2" s="24" t="s">
        <x:v>52</x:v>
      </x:c>
      <x:c r="C2" s="24" t="s">
        <x:v>328</x:v>
      </x:c>
      <x:c r="D2" s="51" t="s">
        <x:v>58</x:v>
      </x:c>
      <x:c r="F2" s="24" t="s">
        <x:v>421</x:v>
      </x:c>
      <x:c r="G2" s="24" t="s">
        <x:v>32</x:v>
      </x:c>
      <x:c r="H2" s="24" t="s">
        <x:v>67</x:v>
      </x:c>
      <x:c r="I2" s="24" t="s">
        <x:v>301</x:v>
      </x:c>
    </x:row>
    <x:row r="3" spans="1:9">
      <x:c r="A3" s="26">
        <x:v>120368</x:v>
      </x:c>
      <x:c r="B3" s="26" t="s">
        <x:v>241</x:v>
      </x:c>
      <x:c r="C3" s="26">
        <x:v>189</x:v>
      </x:c>
      <x:c r="D3" s="26" t="str">
        <x:f>IF(SUM($C$3:C3)&gt;=3000,"다이아몬드",IF(SUM($C$3:C3)&gt;=2000,"골드",IF(SUM($C$3:C3)&gt;=1000,"실버","루비")))</x:f>
        <x:v>루비</x:v>
      </x:c>
      <x:c r="F3" s="26" t="s">
        <x:v>433</x:v>
      </x:c>
      <x:c r="G3" s="26" t="s">
        <x:v>435</x:v>
      </x:c>
      <x:c r="H3" s="46">
        <x:v>957</x:v>
      </x:c>
      <x:c r="I3" s="46">
        <x:f t="shared" ref="I3:I12" si="0">H3*12000</x:f>
        <x:v>11484000</x:v>
      </x:c>
    </x:row>
    <x:row r="4" spans="1:9">
      <x:c r="A4" s="26">
        <x:v>120625</x:v>
      </x:c>
      <x:c r="B4" s="26" t="s">
        <x:v>213</x:v>
      </x:c>
      <x:c r="C4" s="26">
        <x:v>538</x:v>
      </x:c>
      <x:c r="D4" s="26" t="str">
        <x:f t="shared" ref="D4:D11" si="1">IF(SUM($C$3:C4)&gt;=3000,"다이아몬드",IF(SUM($C$3:C4)&gt;=2000,"골드",IF(SUM($C$3:C4)&gt;=1000,"실버","루비")))</x:f>
        <x:v>루비</x:v>
      </x:c>
      <x:c r="F4" s="26" t="s">
        <x:v>433</x:v>
      </x:c>
      <x:c r="G4" s="26" t="s">
        <x:v>437</x:v>
      </x:c>
      <x:c r="H4" s="46">
        <x:v>694</x:v>
      </x:c>
      <x:c r="I4" s="46">
        <x:f t="shared" si="0"/>
        <x:v>8328000</x:v>
      </x:c>
    </x:row>
    <x:row r="5" spans="1:9">
      <x:c r="A5" s="26">
        <x:v>120615</x:v>
      </x:c>
      <x:c r="B5" s="26" t="s">
        <x:v>431</x:v>
      </x:c>
      <x:c r="C5" s="26">
        <x:v>425</x:v>
      </x:c>
      <x:c r="D5" s="26" t="str">
        <x:f t="shared" si="1"/>
        <x:v>실버</x:v>
      </x:c>
      <x:c r="F5" s="26" t="s">
        <x:v>433</x:v>
      </x:c>
      <x:c r="G5" s="26" t="s">
        <x:v>442</x:v>
      </x:c>
      <x:c r="H5" s="46">
        <x:v>685</x:v>
      </x:c>
      <x:c r="I5" s="46">
        <x:f t="shared" si="0"/>
        <x:v>8220000</x:v>
      </x:c>
    </x:row>
    <x:row r="6" spans="1:9">
      <x:c r="A6" s="26">
        <x:v>120248</x:v>
      </x:c>
      <x:c r="B6" s="26" t="s">
        <x:v>443</x:v>
      </x:c>
      <x:c r="C6" s="26">
        <x:v>249</x:v>
      </x:c>
      <x:c r="D6" s="26" t="str">
        <x:f t="shared" si="1"/>
        <x:v>실버</x:v>
      </x:c>
      <x:c r="F6" s="26" t="s">
        <x:v>440</x:v>
      </x:c>
      <x:c r="G6" s="26" t="s">
        <x:v>420</x:v>
      </x:c>
      <x:c r="H6" s="46">
        <x:v>778</x:v>
      </x:c>
      <x:c r="I6" s="46">
        <x:f t="shared" si="0"/>
        <x:v>9336000</x:v>
      </x:c>
    </x:row>
    <x:row r="7" spans="1:9">
      <x:c r="A7" s="26">
        <x:v>120357</x:v>
      </x:c>
      <x:c r="B7" s="26" t="s">
        <x:v>434</x:v>
      </x:c>
      <x:c r="C7" s="26">
        <x:v>485</x:v>
      </x:c>
      <x:c r="D7" s="26" t="str">
        <x:f t="shared" si="1"/>
        <x:v>실버</x:v>
      </x:c>
      <x:c r="F7" s="26" t="s">
        <x:v>440</x:v>
      </x:c>
      <x:c r="G7" s="26" t="s">
        <x:v>423</x:v>
      </x:c>
      <x:c r="H7" s="46">
        <x:v>529</x:v>
      </x:c>
      <x:c r="I7" s="46">
        <x:f t="shared" si="0"/>
        <x:v>6348000</x:v>
      </x:c>
    </x:row>
    <x:row r="8" spans="1:9">
      <x:c r="A8" s="26">
        <x:v>120316</x:v>
      </x:c>
      <x:c r="B8" s="26" t="s">
        <x:v>424</x:v>
      </x:c>
      <x:c r="C8" s="26">
        <x:v>359</x:v>
      </x:c>
      <x:c r="D8" s="26" t="str">
        <x:f t="shared" si="1"/>
        <x:v>골드</x:v>
      </x:c>
      <x:c r="F8" s="26" t="s">
        <x:v>440</x:v>
      </x:c>
      <x:c r="G8" s="26" t="s">
        <x:v>422</x:v>
      </x:c>
      <x:c r="H8" s="46">
        <x:v>926</x:v>
      </x:c>
      <x:c r="I8" s="46">
        <x:f t="shared" si="0"/>
        <x:v>11112000</x:v>
      </x:c>
    </x:row>
    <x:row r="9" spans="1:9">
      <x:c r="A9" s="26">
        <x:v>120395</x:v>
      </x:c>
      <x:c r="B9" s="26" t="s">
        <x:v>432</x:v>
      </x:c>
      <x:c r="C9" s="26">
        <x:v>199</x:v>
      </x:c>
      <x:c r="D9" s="26" t="str">
        <x:f t="shared" si="1"/>
        <x:v>골드</x:v>
      </x:c>
      <x:c r="F9" s="26" t="s">
        <x:v>440</x:v>
      </x:c>
      <x:c r="G9" s="26" t="s">
        <x:v>438</x:v>
      </x:c>
      <x:c r="H9" s="46">
        <x:v>801</x:v>
      </x:c>
      <x:c r="I9" s="46">
        <x:f t="shared" si="0"/>
        <x:v>9612000</x:v>
      </x:c>
    </x:row>
    <x:row r="10" spans="1:9">
      <x:c r="A10" s="26">
        <x:v>120574</x:v>
      </x:c>
      <x:c r="B10" s="26" t="s">
        <x:v>430</x:v>
      </x:c>
      <x:c r="C10" s="26">
        <x:v>352</x:v>
      </x:c>
      <x:c r="D10" s="26" t="str">
        <x:f t="shared" si="1"/>
        <x:v>골드</x:v>
      </x:c>
      <x:c r="F10" s="26" t="s">
        <x:v>433</x:v>
      </x:c>
      <x:c r="G10" s="26" t="s">
        <x:v>441</x:v>
      </x:c>
      <x:c r="H10" s="46">
        <x:v>796</x:v>
      </x:c>
      <x:c r="I10" s="46">
        <x:f t="shared" si="0"/>
        <x:v>9552000</x:v>
      </x:c>
    </x:row>
    <x:row r="11" spans="1:9">
      <x:c r="A11" s="26">
        <x:v>120458</x:v>
      </x:c>
      <x:c r="B11" s="26" t="s">
        <x:v>439</x:v>
      </x:c>
      <x:c r="C11" s="26">
        <x:v>586</x:v>
      </x:c>
      <x:c r="D11" s="26" t="str">
        <x:f t="shared" si="1"/>
        <x:v>다이아몬드</x:v>
      </x:c>
      <x:c r="F11" s="26" t="s">
        <x:v>440</x:v>
      </x:c>
      <x:c r="G11" s="26" t="s">
        <x:v>444</x:v>
      </x:c>
      <x:c r="H11" s="46">
        <x:v>844</x:v>
      </x:c>
      <x:c r="I11" s="46">
        <x:f t="shared" si="0"/>
        <x:v>10128000</x:v>
      </x:c>
    </x:row>
    <x:row r="12" spans="6:9">
      <x:c r="F12" s="26" t="s">
        <x:v>433</x:v>
      </x:c>
      <x:c r="G12" s="26" t="s">
        <x:v>436</x:v>
      </x:c>
      <x:c r="H12" s="46">
        <x:v>684</x:v>
      </x:c>
      <x:c r="I12" s="46">
        <x:f t="shared" si="0"/>
        <x:v>8208000</x:v>
      </x:c>
    </x:row>
    <x:row r="13" spans="6:9">
      <x:c r="F13" s="86" t="s">
        <x:v>369</x:v>
      </x:c>
      <x:c r="G13" s="86"/>
      <x:c r="H13" s="86"/>
      <x:c r="I13" s="31">
        <x:f>ROUNDDOWN(DSUM(F2:I12,4,F2:F3)/DCOUNTA(F2:I12,4,F2:F3),-4)</x:f>
        <x:v>9150000</x:v>
      </x:c>
    </x:row>
    <x:row r="15" spans="1:10">
      <x:c r="A15" s="57" t="s">
        <x:v>83</x:v>
      </x:c>
      <x:c r="B15" s="14" t="s">
        <x:v>14</x:v>
      </x:c>
      <x:c r="C15" s="57"/>
      <x:c r="D15" s="57"/>
      <x:c r="E15" s="57"/>
      <x:c r="G15" s="57" t="s">
        <x:v>84</x:v>
      </x:c>
      <x:c r="H15" s="57" t="s">
        <x:v>445</x:v>
      </x:c>
      <x:c r="I15" s="57"/>
      <x:c r="J15" s="57"/>
    </x:row>
    <x:row r="16" spans="1:10">
      <x:c r="A16" s="64" t="s">
        <x:v>59</x:v>
      </x:c>
      <x:c r="B16" s="64" t="s">
        <x:v>397</x:v>
      </x:c>
      <x:c r="C16" s="64" t="s">
        <x:v>28</x:v>
      </x:c>
      <x:c r="D16" s="64" t="s">
        <x:v>399</x:v>
      </x:c>
      <x:c r="E16" s="65" t="s">
        <x:v>316</x:v>
      </x:c>
      <x:c r="G16" s="66" t="s">
        <x:v>57</x:v>
      </x:c>
      <x:c r="H16" s="32" t="s">
        <x:v>113</x:v>
      </x:c>
      <x:c r="I16" s="32" t="s">
        <x:v>114</x:v>
      </x:c>
      <x:c r="J16" s="65" t="s">
        <x:v>110</x:v>
      </x:c>
    </x:row>
    <x:row r="17" spans="1:10">
      <x:c r="A17" s="34">
        <x:v>1</x:v>
      </x:c>
      <x:c r="B17" s="34" t="s">
        <x:v>401</x:v>
      </x:c>
      <x:c r="C17" s="34" t="s">
        <x:v>313</x:v>
      </x:c>
      <x:c r="D17" s="67">
        <x:v>0.60899999999999999</x:v>
      </x:c>
      <x:c r="E17" s="63" t="str">
        <x:f>UPPER(B17)&amp;"["&amp;PROPER(C17)&amp;"]"</x:f>
        <x:v>NC[Dinos]</x:v>
      </x:c>
      <x:c r="G17" s="68" t="s">
        <x:v>336</x:v>
      </x:c>
      <x:c r="H17" s="34" t="s">
        <x:v>347</x:v>
      </x:c>
      <x:c r="I17" s="59">
        <x:v>43958</x:v>
      </x:c>
      <x:c r="J17" s="34" t="str">
        <x:f>IF(MONTH(I17)&lt;=6,"수시",IF(MONTH(I17)=9,"정시",""))</x:f>
        <x:v>수시</x:v>
      </x:c>
    </x:row>
    <x:row r="18" spans="1:10">
      <x:c r="A18" s="34">
        <x:v>2</x:v>
      </x:c>
      <x:c r="B18" s="34" t="s">
        <x:v>400</x:v>
      </x:c>
      <x:c r="C18" s="34" t="s">
        <x:v>402</x:v>
      </x:c>
      <x:c r="D18" s="67">
        <x:v>0.56499999999999995</x:v>
      </x:c>
      <x:c r="E18" s="63" t="str">
        <x:f t="shared" ref="E18:E25" si="2">UPPER(B18)&amp;"["&amp;PROPER(C18)&amp;"]"</x:f>
        <x:v>KT[Wiz]</x:v>
      </x:c>
      <x:c r="G18" s="68" t="s">
        <x:v>349</x:v>
      </x:c>
      <x:c r="H18" s="34" t="s">
        <x:v>341</x:v>
      </x:c>
      <x:c r="I18" s="59">
        <x:v>44002</x:v>
      </x:c>
      <x:c r="J18" s="34" t="str">
        <x:f t="shared" ref="J18:J24" si="3">IF(MONTH(I18)&lt;=6,"수시",IF(MONTH(I18)=9,"정시",""))</x:f>
        <x:v>수시</x:v>
      </x:c>
    </x:row>
    <x:row r="19" spans="1:10">
      <x:c r="A19" s="34">
        <x:v>3</x:v>
      </x:c>
      <x:c r="B19" s="34" t="s">
        <x:v>98</x:v>
      </x:c>
      <x:c r="C19" s="34" t="s">
        <x:v>314</x:v>
      </x:c>
      <x:c r="D19" s="67">
        <x:v>0.56100000000000005</x:v>
      </x:c>
      <x:c r="E19" s="63" t="str">
        <x:f t="shared" si="2"/>
        <x:v>LG[Twins]</x:v>
      </x:c>
      <x:c r="G19" s="68" t="s">
        <x:v>348</x:v>
      </x:c>
      <x:c r="H19" s="34" t="s">
        <x:v>347</x:v>
      </x:c>
      <x:c r="I19" s="59">
        <x:v>44012</x:v>
      </x:c>
      <x:c r="J19" s="34" t="str">
        <x:f t="shared" si="3"/>
        <x:v>수시</x:v>
      </x:c>
    </x:row>
    <x:row r="20" spans="1:10">
      <x:c r="A20" s="34">
        <x:v>4</x:v>
      </x:c>
      <x:c r="B20" s="34" t="s">
        <x:v>331</x:v>
      </x:c>
      <x:c r="C20" s="34" t="s">
        <x:v>319</x:v>
      </x:c>
      <x:c r="D20" s="67">
        <x:v>0.55800000000000005</x:v>
      </x:c>
      <x:c r="E20" s="63" t="str">
        <x:f t="shared" si="2"/>
        <x:v>DOOSAN[Bears]</x:v>
      </x:c>
      <x:c r="G20" s="68" t="s">
        <x:v>337</x:v>
      </x:c>
      <x:c r="H20" s="34" t="s">
        <x:v>341</x:v>
      </x:c>
      <x:c r="I20" s="59">
        <x:v>44042</x:v>
      </x:c>
      <x:c r="J20" s="34" t="str">
        <x:f t="shared" si="3"/>
        <x:v/>
      </x:c>
    </x:row>
    <x:row r="21" spans="1:10">
      <x:c r="A21" s="34">
        <x:v>5</x:v>
      </x:c>
      <x:c r="B21" s="34" t="s">
        <x:v>332</x:v>
      </x:c>
      <x:c r="C21" s="34" t="s">
        <x:v>304</x:v>
      </x:c>
      <x:c r="D21" s="67">
        <x:v>0.55500000000000005</x:v>
      </x:c>
      <x:c r="E21" s="63" t="str">
        <x:f t="shared" si="2"/>
        <x:v>KIWOOM[Heros]</x:v>
      </x:c>
      <x:c r="G21" s="68" t="s">
        <x:v>344</x:v>
      </x:c>
      <x:c r="H21" s="34" t="s">
        <x:v>347</x:v>
      </x:c>
      <x:c r="I21" s="59">
        <x:v>44058</x:v>
      </x:c>
      <x:c r="J21" s="34" t="str">
        <x:f t="shared" si="3"/>
        <x:v/>
      </x:c>
    </x:row>
    <x:row r="22" spans="1:10">
      <x:c r="A22" s="34">
        <x:v>6</x:v>
      </x:c>
      <x:c r="B22" s="34" t="s">
        <x:v>315</x:v>
      </x:c>
      <x:c r="C22" s="34" t="s">
        <x:v>317</x:v>
      </x:c>
      <x:c r="D22" s="67">
        <x:v>0.51900000000000002</x:v>
      </x:c>
      <x:c r="E22" s="63" t="str">
        <x:f t="shared" si="2"/>
        <x:v>LOTTE[Giants]</x:v>
      </x:c>
      <x:c r="G22" s="68" t="s">
        <x:v>338</x:v>
      </x:c>
      <x:c r="H22" s="34" t="s">
        <x:v>341</x:v>
      </x:c>
      <x:c r="I22" s="59">
        <x:v>44095</x:v>
      </x:c>
      <x:c r="J22" s="34" t="str">
        <x:f t="shared" si="3"/>
        <x:v>정시</x:v>
      </x:c>
    </x:row>
    <x:row r="23" spans="1:10">
      <x:c r="A23" s="34">
        <x:v>7</x:v>
      </x:c>
      <x:c r="B23" s="34" t="s">
        <x:v>103</x:v>
      </x:c>
      <x:c r="C23" s="34" t="s">
        <x:v>305</x:v>
      </x:c>
      <x:c r="D23" s="67">
        <x:v>0.51500000000000001</x:v>
      </x:c>
      <x:c r="E23" s="63" t="str">
        <x:f t="shared" si="2"/>
        <x:v>KIA[Tigers]</x:v>
      </x:c>
      <x:c r="G23" s="68" t="s">
        <x:v>345</x:v>
      </x:c>
      <x:c r="H23" s="34" t="s">
        <x:v>347</x:v>
      </x:c>
      <x:c r="I23" s="59">
        <x:v>44099</x:v>
      </x:c>
      <x:c r="J23" s="34" t="str">
        <x:f t="shared" si="3"/>
        <x:v>정시</x:v>
      </x:c>
    </x:row>
    <x:row r="24" spans="1:10">
      <x:c r="A24" s="34">
        <x:v>8</x:v>
      </x:c>
      <x:c r="B24" s="34" t="s">
        <x:v>320</x:v>
      </x:c>
      <x:c r="C24" s="34" t="s">
        <x:v>306</x:v>
      </x:c>
      <x:c r="D24" s="67">
        <x:v>0.44600000000000001</x:v>
      </x:c>
      <x:c r="E24" s="63" t="str">
        <x:f t="shared" si="2"/>
        <x:v>SAMSUNG[Lions]</x:v>
      </x:c>
      <x:c r="G24" s="68" t="s">
        <x:v>339</x:v>
      </x:c>
      <x:c r="H24" s="34" t="s">
        <x:v>341</x:v>
      </x:c>
      <x:c r="I24" s="59">
        <x:v>44114</x:v>
      </x:c>
      <x:c r="J24" s="34" t="str">
        <x:f t="shared" si="3"/>
        <x:v/>
      </x:c>
    </x:row>
    <x:row r="25" spans="1:5">
      <x:c r="A25" s="34">
        <x:v>9</x:v>
      </x:c>
      <x:c r="B25" s="34" t="s">
        <x:v>96</x:v>
      </x:c>
      <x:c r="C25" s="34" t="s">
        <x:v>335</x:v>
      </x:c>
      <x:c r="D25" s="67">
        <x:v>0.34599999999999997</x:v>
      </x:c>
      <x:c r="E25" s="63" t="str">
        <x:f t="shared" si="2"/>
        <x:v>SK[Wyberns]</x:v>
      </x:c>
    </x:row>
    <x:row r="27" spans="1:6">
      <x:c r="A27" s="57" t="s">
        <x:v>82</x:v>
      </x:c>
      <x:c r="B27" s="45" t="s">
        <x:v>451</x:v>
      </x:c>
      <x:c r="C27" s="57"/>
      <x:c r="D27" s="57"/>
      <x:c r="E27" s="57"/>
      <x:c r="F27" s="57"/>
    </x:row>
    <x:row r="28" spans="1:6">
      <x:c r="A28" s="64" t="s">
        <x:v>59</x:v>
      </x:c>
      <x:c r="B28" s="64" t="s">
        <x:v>99</x:v>
      </x:c>
      <x:c r="C28" s="64" t="s">
        <x:v>28</x:v>
      </x:c>
      <x:c r="D28" s="64" t="s">
        <x:v>107</x:v>
      </x:c>
      <x:c r="E28" s="64" t="s">
        <x:v>106</x:v>
      </x:c>
      <x:c r="F28" s="65" t="s">
        <x:v>46</x:v>
      </x:c>
    </x:row>
    <x:row r="29" spans="1:6">
      <x:c r="A29" s="34">
        <x:v>1</x:v>
      </x:c>
      <x:c r="B29" s="69" t="s">
        <x:v>105</x:v>
      </x:c>
      <x:c r="C29" s="68" t="s">
        <x:v>104</x:v>
      </x:c>
      <x:c r="D29" s="70">
        <x:v>7</x:v>
      </x:c>
      <x:c r="E29" s="70">
        <x:v>0</x:v>
      </x:c>
      <x:c r="F29" s="69" t="str">
        <x:f>IF(D29&gt;=LARGE($D$29:$D$37,2),"★",IF(D29&lt;=SMALL($D$29:$D$37,2),"☆",""))</x:f>
        <x:v>★</x:v>
      </x:c>
    </x:row>
    <x:row r="30" spans="1:6">
      <x:c r="A30" s="34">
        <x:v>2</x:v>
      </x:c>
      <x:c r="B30" s="69" t="s">
        <x:v>97</x:v>
      </x:c>
      <x:c r="C30" s="68" t="s">
        <x:v>100</x:v>
      </x:c>
      <x:c r="D30" s="70">
        <x:v>6</x:v>
      </x:c>
      <x:c r="E30" s="70">
        <x:v>1</x:v>
      </x:c>
      <x:c r="F30" s="69" t="str">
        <x:f t="shared" ref="F30:F37" si="4">IF(D30&gt;=LARGE($D$29:$D$37,2),"★",IF(D30&lt;=SMALL($D$29:$D$37,2),"☆",""))</x:f>
        <x:v>★</x:v>
      </x:c>
    </x:row>
    <x:row r="31" spans="1:6">
      <x:c r="A31" s="34">
        <x:v>3</x:v>
      </x:c>
      <x:c r="B31" s="69" t="s">
        <x:v>101</x:v>
      </x:c>
      <x:c r="C31" s="34" t="s">
        <x:v>102</x:v>
      </x:c>
      <x:c r="D31" s="70">
        <x:v>5</x:v>
      </x:c>
      <x:c r="E31" s="70">
        <x:v>0</x:v>
      </x:c>
      <x:c r="F31" s="69" t="str">
        <x:f t="shared" si="4"/>
        <x:v/>
      </x:c>
    </x:row>
    <x:row r="32" spans="1:6">
      <x:c r="A32" s="34">
        <x:v>4</x:v>
      </x:c>
      <x:c r="B32" s="69" t="s">
        <x:v>95</x:v>
      </x:c>
      <x:c r="C32" s="71" t="s">
        <x:v>115</x:v>
      </x:c>
      <x:c r="D32" s="70">
        <x:v>5</x:v>
      </x:c>
      <x:c r="E32" s="70">
        <x:v>0</x:v>
      </x:c>
      <x:c r="F32" s="69" t="str">
        <x:f t="shared" si="4"/>
        <x:v/>
      </x:c>
    </x:row>
    <x:row r="33" spans="1:6">
      <x:c r="A33" s="34">
        <x:v>5</x:v>
      </x:c>
      <x:c r="B33" s="69" t="s">
        <x:v>108</x:v>
      </x:c>
      <x:c r="C33" s="68" t="s">
        <x:v>116</x:v>
      </x:c>
      <x:c r="D33" s="70">
        <x:v>4</x:v>
      </x:c>
      <x:c r="E33" s="70">
        <x:v>1</x:v>
      </x:c>
      <x:c r="F33" s="69" t="str">
        <x:f t="shared" si="4"/>
        <x:v/>
      </x:c>
    </x:row>
    <x:row r="34" spans="1:6">
      <x:c r="A34" s="34">
        <x:v>6</x:v>
      </x:c>
      <x:c r="B34" s="69" t="s">
        <x:v>112</x:v>
      </x:c>
      <x:c r="C34" s="68" t="s">
        <x:v>343</x:v>
      </x:c>
      <x:c r="D34" s="70">
        <x:v>4</x:v>
      </x:c>
      <x:c r="E34" s="70">
        <x:v>1</x:v>
      </x:c>
      <x:c r="F34" s="69" t="str">
        <x:f t="shared" si="4"/>
        <x:v/>
      </x:c>
    </x:row>
    <x:row r="35" spans="1:6">
      <x:c r="A35" s="34">
        <x:v>7</x:v>
      </x:c>
      <x:c r="B35" s="69" t="s">
        <x:v>342</x:v>
      </x:c>
      <x:c r="C35" s="68" t="s">
        <x:v>111</x:v>
      </x:c>
      <x:c r="D35" s="70">
        <x:v>3</x:v>
      </x:c>
      <x:c r="E35" s="72">
        <x:v>0</x:v>
      </x:c>
      <x:c r="F35" s="69" t="str">
        <x:f t="shared" si="4"/>
        <x:v/>
      </x:c>
    </x:row>
    <x:row r="36" spans="1:6">
      <x:c r="A36" s="34">
        <x:v>8</x:v>
      </x:c>
      <x:c r="B36" s="69" t="s">
        <x:v>346</x:v>
      </x:c>
      <x:c r="C36" s="68" t="s">
        <x:v>333</x:v>
      </x:c>
      <x:c r="D36" s="70">
        <x:v>2</x:v>
      </x:c>
      <x:c r="E36" s="70">
        <x:v>3</x:v>
      </x:c>
      <x:c r="F36" s="69" t="str">
        <x:f t="shared" si="4"/>
        <x:v>☆</x:v>
      </x:c>
    </x:row>
    <x:row r="37" spans="1:6">
      <x:c r="A37" s="34">
        <x:v>9</x:v>
      </x:c>
      <x:c r="B37" s="69" t="s">
        <x:v>334</x:v>
      </x:c>
      <x:c r="C37" s="69" t="s">
        <x:v>109</x:v>
      </x:c>
      <x:c r="D37" s="69">
        <x:v>1</x:v>
      </x:c>
      <x:c r="E37" s="70">
        <x:v>1</x:v>
      </x:c>
      <x:c r="F37" s="69" t="str">
        <x:f t="shared" si="4"/>
        <x:v>☆</x:v>
      </x:c>
    </x:row>
  </x:sheetData>
  <x:mergeCells count="1">
    <x:mergeCell ref="F13:H13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5" baseType="lpstr">
      <vt:lpstr>계산작업1</vt:lpstr>
      <vt:lpstr>계산작업2</vt:lpstr>
      <vt:lpstr>계산작업3</vt:lpstr>
      <vt:lpstr>계산작업4</vt:lpstr>
      <vt:lpstr>계산작업5</vt:lpstr>
    </vt:vector>
  </ep:TitlesOfParts>
  <ep:TotalTime>119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mondi</cp:lastModifiedBy>
  <cp:revision>12</cp:revision>
  <cp:lastPrinted>2020-06-27T09:24:11.000</cp:lastPrinted>
  <dcterms:created xsi:type="dcterms:W3CDTF">2011-08-10T07:46:52.000</dcterms:created>
  <dcterms:modified xsi:type="dcterms:W3CDTF">2023-05-20T09:15:29.600</dcterms:modified>
  <cp:version>1200.0100.01</cp:version>
</cp:coreProperties>
</file>